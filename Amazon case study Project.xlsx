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ownloads\"/>
    </mc:Choice>
  </mc:AlternateContent>
  <bookViews>
    <workbookView xWindow="0" yWindow="0" windowWidth="20490" windowHeight="7365" firstSheet="1" activeTab="2"/>
  </bookViews>
  <sheets>
    <sheet name="Sheet1" sheetId="8" r:id="rId1"/>
    <sheet name="PIVOT TABLE" sheetId="3" r:id="rId2"/>
    <sheet name="AMAZON DASHBOARD" sheetId="7" r:id="rId3"/>
    <sheet name="AMAZON  RAW SHEET" sheetId="1" r:id="rId4"/>
  </sheets>
  <definedNames>
    <definedName name="_xlnm._FilterDatabase" localSheetId="3" hidden="1">'AMAZON  RAW SHEET'!$D$1:$N$1376</definedName>
    <definedName name="_xlcn.WorksheetConnection_AmazoncasestudyProject.xlsxTable11" hidden="1">Table1[]</definedName>
    <definedName name="Slicer_DISCOUNT_RANGE_BUCKET">#N/A</definedName>
    <definedName name="Slicer_MAIN_CATEGORY">#N/A</definedName>
    <definedName name="Slicer_RATING">#N/A</definedName>
  </definedNames>
  <calcPr calcId="152511"/>
  <pivotCaches>
    <pivotCache cacheId="3" r:id="rId5"/>
    <pivotCache cacheId="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4203526b-1299-43bf-ad8f-abdbb05c0993" name="Table1" connection="WorksheetConnection_Amazon case study Project.xlsx!Table1"/>
        </x15:modelTables>
      </x15:dataModel>
    </ext>
  </extLst>
</workbook>
</file>

<file path=xl/calcChain.xml><?xml version="1.0" encoding="utf-8"?>
<calcChain xmlns="http://schemas.openxmlformats.org/spreadsheetml/2006/main">
  <c r="M1378" i="1" l="1"/>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O1376" i="1" l="1"/>
  <c r="J1376" i="1"/>
  <c r="O1375" i="1"/>
  <c r="J1375" i="1"/>
  <c r="O1374" i="1"/>
  <c r="J1374" i="1"/>
  <c r="O1373" i="1"/>
  <c r="J1373" i="1"/>
  <c r="O1372" i="1"/>
  <c r="J1372" i="1"/>
  <c r="O1371" i="1"/>
  <c r="J1371" i="1"/>
  <c r="O1370" i="1"/>
  <c r="J1370" i="1"/>
  <c r="O1369" i="1"/>
  <c r="J1369" i="1"/>
  <c r="O1368" i="1"/>
  <c r="J1368" i="1"/>
  <c r="O1367" i="1"/>
  <c r="J1367" i="1"/>
  <c r="O1366" i="1"/>
  <c r="J1366" i="1"/>
  <c r="O1365" i="1"/>
  <c r="J1365" i="1"/>
  <c r="O1364" i="1"/>
  <c r="J1364" i="1"/>
  <c r="O1363" i="1"/>
  <c r="J1363" i="1"/>
  <c r="O1362" i="1"/>
  <c r="J1362" i="1"/>
  <c r="O1361" i="1"/>
  <c r="J1361" i="1"/>
  <c r="O1360" i="1"/>
  <c r="J1360" i="1"/>
  <c r="O1359" i="1"/>
  <c r="J1359" i="1"/>
  <c r="O1358" i="1"/>
  <c r="J1358" i="1"/>
  <c r="O1357" i="1"/>
  <c r="J1357" i="1"/>
  <c r="O1356" i="1"/>
  <c r="J1356" i="1"/>
  <c r="O1355" i="1"/>
  <c r="J1355" i="1"/>
  <c r="O1354" i="1"/>
  <c r="J1354" i="1"/>
  <c r="O1353" i="1"/>
  <c r="J1353" i="1"/>
  <c r="O1352" i="1"/>
  <c r="J1352" i="1"/>
  <c r="O1351" i="1"/>
  <c r="J1351" i="1"/>
  <c r="O1350" i="1"/>
  <c r="J1350" i="1"/>
  <c r="O1349" i="1"/>
  <c r="J1349" i="1"/>
  <c r="O1348" i="1"/>
  <c r="J1348" i="1"/>
  <c r="O1347" i="1"/>
  <c r="J1347" i="1"/>
  <c r="O1346" i="1"/>
  <c r="J1346" i="1"/>
  <c r="O1345" i="1"/>
  <c r="J1345" i="1"/>
  <c r="O1344" i="1"/>
  <c r="J1344" i="1"/>
  <c r="O1343" i="1"/>
  <c r="J1343" i="1"/>
  <c r="O1342" i="1"/>
  <c r="J1342" i="1"/>
  <c r="O1341" i="1"/>
  <c r="J1341" i="1"/>
  <c r="O1340" i="1"/>
  <c r="J1340" i="1"/>
  <c r="O1339" i="1"/>
  <c r="J1339" i="1"/>
  <c r="O1338" i="1"/>
  <c r="J1338" i="1"/>
  <c r="O1337" i="1"/>
  <c r="J1337" i="1"/>
  <c r="O1336" i="1"/>
  <c r="J1336" i="1"/>
  <c r="O1335" i="1"/>
  <c r="J1335" i="1"/>
  <c r="O1334" i="1"/>
  <c r="J1334" i="1"/>
  <c r="O1333" i="1"/>
  <c r="J1333" i="1"/>
  <c r="O1332" i="1"/>
  <c r="J1332" i="1"/>
  <c r="O1331" i="1"/>
  <c r="J1331" i="1"/>
  <c r="O1330" i="1"/>
  <c r="J1330" i="1"/>
  <c r="O1329" i="1"/>
  <c r="J1329" i="1"/>
  <c r="O1328" i="1"/>
  <c r="J1328" i="1"/>
  <c r="O1327" i="1"/>
  <c r="J1327" i="1"/>
  <c r="O1326" i="1"/>
  <c r="J1326" i="1"/>
  <c r="O1325" i="1"/>
  <c r="J1325" i="1"/>
  <c r="O1324" i="1"/>
  <c r="J1324" i="1"/>
  <c r="O1323" i="1"/>
  <c r="J1323" i="1"/>
  <c r="O1322" i="1"/>
  <c r="J1322" i="1"/>
  <c r="O1321" i="1"/>
  <c r="J1321" i="1"/>
  <c r="O1320" i="1"/>
  <c r="J1320" i="1"/>
  <c r="O1319" i="1"/>
  <c r="J1319" i="1"/>
  <c r="O1318" i="1"/>
  <c r="J1318" i="1"/>
  <c r="O1317" i="1"/>
  <c r="J1317" i="1"/>
  <c r="O1316" i="1"/>
  <c r="J1316" i="1"/>
  <c r="O1315" i="1"/>
  <c r="J1315" i="1"/>
  <c r="O1314" i="1"/>
  <c r="J1314" i="1"/>
  <c r="O1313" i="1"/>
  <c r="J1313" i="1"/>
  <c r="O1312" i="1"/>
  <c r="J1312" i="1"/>
  <c r="O1311" i="1"/>
  <c r="J1311" i="1"/>
  <c r="O1310" i="1"/>
  <c r="J1310" i="1"/>
  <c r="O1309" i="1"/>
  <c r="J1309" i="1"/>
  <c r="O1308" i="1"/>
  <c r="J1308" i="1"/>
  <c r="O1307" i="1"/>
  <c r="J1307" i="1"/>
  <c r="O1306" i="1"/>
  <c r="J1306" i="1"/>
  <c r="O1305" i="1"/>
  <c r="J1305" i="1"/>
  <c r="O1304" i="1"/>
  <c r="J1304" i="1"/>
  <c r="O1303" i="1"/>
  <c r="J1303" i="1"/>
  <c r="O1302" i="1"/>
  <c r="J1302" i="1"/>
  <c r="O1301" i="1"/>
  <c r="J1301" i="1"/>
  <c r="O1300" i="1"/>
  <c r="J1300" i="1"/>
  <c r="O1299" i="1"/>
  <c r="J1299" i="1"/>
  <c r="O1298" i="1"/>
  <c r="J1298" i="1"/>
  <c r="O1297" i="1"/>
  <c r="J1297" i="1"/>
  <c r="O1296" i="1"/>
  <c r="J1296" i="1"/>
  <c r="O1295" i="1"/>
  <c r="J1295" i="1"/>
  <c r="O1294" i="1"/>
  <c r="J1294" i="1"/>
  <c r="O1293" i="1"/>
  <c r="J1293" i="1"/>
  <c r="O1292" i="1"/>
  <c r="J1292" i="1"/>
  <c r="O1291" i="1"/>
  <c r="J1291" i="1"/>
  <c r="O1290" i="1"/>
  <c r="J1290" i="1"/>
  <c r="O1289" i="1"/>
  <c r="J1289" i="1"/>
  <c r="O1288" i="1"/>
  <c r="J1288" i="1"/>
  <c r="O1287" i="1"/>
  <c r="J1287" i="1"/>
  <c r="O1286" i="1"/>
  <c r="J1286" i="1"/>
  <c r="O1285" i="1"/>
  <c r="J1285" i="1"/>
  <c r="O1284" i="1"/>
  <c r="J1284" i="1"/>
  <c r="O1283" i="1"/>
  <c r="J1283" i="1"/>
  <c r="O1282" i="1"/>
  <c r="J1282" i="1"/>
  <c r="O1281" i="1"/>
  <c r="J1281" i="1"/>
  <c r="O1280" i="1"/>
  <c r="J1280" i="1"/>
  <c r="O1279" i="1"/>
  <c r="J1279" i="1"/>
  <c r="O1278" i="1"/>
  <c r="J1278" i="1"/>
  <c r="O1277" i="1"/>
  <c r="J1277" i="1"/>
  <c r="O1276" i="1"/>
  <c r="J1276" i="1"/>
  <c r="O1275" i="1"/>
  <c r="J1275" i="1"/>
  <c r="O1274" i="1"/>
  <c r="J1274" i="1"/>
  <c r="O1273" i="1"/>
  <c r="J1273" i="1"/>
  <c r="O1272" i="1"/>
  <c r="J1272" i="1"/>
  <c r="O1271" i="1"/>
  <c r="J1271" i="1"/>
  <c r="O1270" i="1"/>
  <c r="J1270" i="1"/>
  <c r="O1269" i="1"/>
  <c r="J1269" i="1"/>
  <c r="O1268" i="1"/>
  <c r="J1268" i="1"/>
  <c r="O1267" i="1"/>
  <c r="J1267" i="1"/>
  <c r="O1266" i="1"/>
  <c r="J1266" i="1"/>
  <c r="O1265" i="1"/>
  <c r="J1265" i="1"/>
  <c r="O1264" i="1"/>
  <c r="J1264" i="1"/>
  <c r="O1263" i="1"/>
  <c r="J1263" i="1"/>
  <c r="O1262" i="1"/>
  <c r="J1262" i="1"/>
  <c r="O1261" i="1"/>
  <c r="J1261" i="1"/>
  <c r="O1260" i="1"/>
  <c r="J1260" i="1"/>
  <c r="O1259" i="1"/>
  <c r="J1259" i="1"/>
  <c r="O1258" i="1"/>
  <c r="J1258" i="1"/>
  <c r="O1257" i="1"/>
  <c r="J1257" i="1"/>
  <c r="O1256" i="1"/>
  <c r="J1256" i="1"/>
  <c r="O1255" i="1"/>
  <c r="J1255" i="1"/>
  <c r="O1254" i="1"/>
  <c r="J1254" i="1"/>
  <c r="O1253" i="1"/>
  <c r="J1253" i="1"/>
  <c r="O1252" i="1"/>
  <c r="J1252" i="1"/>
  <c r="O1251" i="1"/>
  <c r="J1251" i="1"/>
  <c r="O1250" i="1"/>
  <c r="J1250" i="1"/>
  <c r="O1249" i="1"/>
  <c r="J1249" i="1"/>
  <c r="O1248" i="1"/>
  <c r="J1248" i="1"/>
  <c r="O1247" i="1"/>
  <c r="J1247" i="1"/>
  <c r="O1246" i="1"/>
  <c r="J1246" i="1"/>
  <c r="O1245" i="1"/>
  <c r="J1245" i="1"/>
  <c r="O1244" i="1"/>
  <c r="J1244" i="1"/>
  <c r="O1243" i="1"/>
  <c r="J1243" i="1"/>
  <c r="O1242" i="1"/>
  <c r="J1242" i="1"/>
  <c r="O1241" i="1"/>
  <c r="J1241" i="1"/>
  <c r="O1240" i="1"/>
  <c r="J1240" i="1"/>
  <c r="O1239" i="1"/>
  <c r="J1239" i="1"/>
  <c r="O1238" i="1"/>
  <c r="J1238" i="1"/>
  <c r="O1237" i="1"/>
  <c r="J1237" i="1"/>
  <c r="O1236" i="1"/>
  <c r="J1236" i="1"/>
  <c r="O1235" i="1"/>
  <c r="J1235" i="1"/>
  <c r="O1234" i="1"/>
  <c r="J1234" i="1"/>
  <c r="O1233" i="1"/>
  <c r="J1233" i="1"/>
  <c r="O1232" i="1"/>
  <c r="J1232" i="1"/>
  <c r="O1231" i="1"/>
  <c r="J1231" i="1"/>
  <c r="O1230" i="1"/>
  <c r="J1230" i="1"/>
  <c r="O1229" i="1"/>
  <c r="J1229" i="1"/>
  <c r="O1228" i="1"/>
  <c r="J1228" i="1"/>
  <c r="O1227" i="1"/>
  <c r="J1227" i="1"/>
  <c r="O1226" i="1"/>
  <c r="J1226" i="1"/>
  <c r="O1225" i="1"/>
  <c r="J1225" i="1"/>
  <c r="O1224" i="1"/>
  <c r="J1224" i="1"/>
  <c r="O1223" i="1"/>
  <c r="J1223" i="1"/>
  <c r="O1222" i="1"/>
  <c r="J1222" i="1"/>
  <c r="O1221" i="1"/>
  <c r="J1221" i="1"/>
  <c r="O1220" i="1"/>
  <c r="J1220" i="1"/>
  <c r="O1219" i="1"/>
  <c r="J1219" i="1"/>
  <c r="O1218" i="1"/>
  <c r="J1218" i="1"/>
  <c r="O1217" i="1"/>
  <c r="J1217" i="1"/>
  <c r="O1216" i="1"/>
  <c r="J1216" i="1"/>
  <c r="O1215" i="1"/>
  <c r="J1215" i="1"/>
  <c r="O1214" i="1"/>
  <c r="J1214" i="1"/>
  <c r="O1213" i="1"/>
  <c r="J1213" i="1"/>
  <c r="O1212" i="1"/>
  <c r="J1212" i="1"/>
  <c r="O1211" i="1"/>
  <c r="J1211" i="1"/>
  <c r="O1210" i="1"/>
  <c r="J1210" i="1"/>
  <c r="O1209" i="1"/>
  <c r="J1209" i="1"/>
  <c r="O1208" i="1"/>
  <c r="J1208" i="1"/>
  <c r="O1207" i="1"/>
  <c r="J1207" i="1"/>
  <c r="O1206" i="1"/>
  <c r="J1206" i="1"/>
  <c r="O1205" i="1"/>
  <c r="J1205" i="1"/>
  <c r="O1204" i="1"/>
  <c r="J1204" i="1"/>
  <c r="O1203" i="1"/>
  <c r="J1203" i="1"/>
  <c r="O1202" i="1"/>
  <c r="J1202" i="1"/>
  <c r="O1201" i="1"/>
  <c r="J1201" i="1"/>
  <c r="O1200" i="1"/>
  <c r="J1200" i="1"/>
  <c r="O1199" i="1"/>
  <c r="J1199" i="1"/>
  <c r="O1198" i="1"/>
  <c r="J1198" i="1"/>
  <c r="O1197" i="1"/>
  <c r="J1197" i="1"/>
  <c r="O1196" i="1"/>
  <c r="J1196" i="1"/>
  <c r="O1195" i="1"/>
  <c r="J1195" i="1"/>
  <c r="O1194" i="1"/>
  <c r="J1194" i="1"/>
  <c r="O1193" i="1"/>
  <c r="J1193" i="1"/>
  <c r="O1192" i="1"/>
  <c r="J1192" i="1"/>
  <c r="O1191" i="1"/>
  <c r="J1191" i="1"/>
  <c r="O1190" i="1"/>
  <c r="J1190" i="1"/>
  <c r="O1189" i="1"/>
  <c r="J1189" i="1"/>
  <c r="O1188" i="1"/>
  <c r="J1188" i="1"/>
  <c r="O1187" i="1"/>
  <c r="J1187" i="1"/>
  <c r="O1186" i="1"/>
  <c r="J1186" i="1"/>
  <c r="O1185" i="1"/>
  <c r="J1185" i="1"/>
  <c r="O1184" i="1"/>
  <c r="J1184" i="1"/>
  <c r="O1183" i="1"/>
  <c r="J1183" i="1"/>
  <c r="O1182" i="1"/>
  <c r="J1182" i="1"/>
  <c r="O1181" i="1"/>
  <c r="J1181" i="1"/>
  <c r="O1180" i="1"/>
  <c r="J1180" i="1"/>
  <c r="O1179" i="1"/>
  <c r="J1179" i="1"/>
  <c r="O1178" i="1"/>
  <c r="J1178" i="1"/>
  <c r="O1177" i="1"/>
  <c r="J1177" i="1"/>
  <c r="O1176" i="1"/>
  <c r="J1176" i="1"/>
  <c r="O1175" i="1"/>
  <c r="J1175" i="1"/>
  <c r="O1174" i="1"/>
  <c r="J1174" i="1"/>
  <c r="O1173" i="1"/>
  <c r="J1173" i="1"/>
  <c r="O1172" i="1"/>
  <c r="J1172" i="1"/>
  <c r="O1171" i="1"/>
  <c r="J1171" i="1"/>
  <c r="O1170" i="1"/>
  <c r="J1170" i="1"/>
  <c r="O1169" i="1"/>
  <c r="J1169" i="1"/>
  <c r="O1168" i="1"/>
  <c r="J1168" i="1"/>
  <c r="O1167" i="1"/>
  <c r="J1167" i="1"/>
  <c r="O1166" i="1"/>
  <c r="J1166" i="1"/>
  <c r="O1165" i="1"/>
  <c r="J1165" i="1"/>
  <c r="O1164" i="1"/>
  <c r="J1164" i="1"/>
  <c r="O1163" i="1"/>
  <c r="J1163" i="1"/>
  <c r="O1162" i="1"/>
  <c r="J1162" i="1"/>
  <c r="O1161" i="1"/>
  <c r="J1161" i="1"/>
  <c r="O1160" i="1"/>
  <c r="J1160" i="1"/>
  <c r="O1159" i="1"/>
  <c r="J1159" i="1"/>
  <c r="O1158" i="1"/>
  <c r="J1158" i="1"/>
  <c r="O1157" i="1"/>
  <c r="J1157" i="1"/>
  <c r="O1156" i="1"/>
  <c r="J1156" i="1"/>
  <c r="O1155" i="1"/>
  <c r="J1155" i="1"/>
  <c r="O1154" i="1"/>
  <c r="J1154" i="1"/>
  <c r="O1153" i="1"/>
  <c r="J1153" i="1"/>
  <c r="O1152" i="1"/>
  <c r="J1152" i="1"/>
  <c r="O1151" i="1"/>
  <c r="J1151" i="1"/>
  <c r="O1150" i="1"/>
  <c r="J1150" i="1"/>
  <c r="O1149" i="1"/>
  <c r="J1149" i="1"/>
  <c r="O1148" i="1"/>
  <c r="J1148" i="1"/>
  <c r="O1147" i="1"/>
  <c r="J1147" i="1"/>
  <c r="O1146" i="1"/>
  <c r="J1146" i="1"/>
  <c r="O1145" i="1"/>
  <c r="J1145" i="1"/>
  <c r="O1144" i="1"/>
  <c r="J1144" i="1"/>
  <c r="O1143" i="1"/>
  <c r="J1143" i="1"/>
  <c r="O1142" i="1"/>
  <c r="J1142" i="1"/>
  <c r="O1141" i="1"/>
  <c r="J1141" i="1"/>
  <c r="O1140" i="1"/>
  <c r="J1140" i="1"/>
  <c r="O1139" i="1"/>
  <c r="J1139" i="1"/>
  <c r="O1138" i="1"/>
  <c r="J1138" i="1"/>
  <c r="O1137" i="1"/>
  <c r="J1137" i="1"/>
  <c r="O1136" i="1"/>
  <c r="J1136" i="1"/>
  <c r="O1135" i="1"/>
  <c r="J1135" i="1"/>
  <c r="O1134" i="1"/>
  <c r="J1134" i="1"/>
  <c r="O1133" i="1"/>
  <c r="J1133" i="1"/>
  <c r="O1132" i="1"/>
  <c r="J1132" i="1"/>
  <c r="O1131" i="1"/>
  <c r="J1131" i="1"/>
  <c r="O1130" i="1"/>
  <c r="J1130" i="1"/>
  <c r="O1129" i="1"/>
  <c r="J1129" i="1"/>
  <c r="O1128" i="1"/>
  <c r="J1128" i="1"/>
  <c r="O1127" i="1"/>
  <c r="J1127" i="1"/>
  <c r="O1126" i="1"/>
  <c r="J1126" i="1"/>
  <c r="O1125" i="1"/>
  <c r="J1125" i="1"/>
  <c r="O1124" i="1"/>
  <c r="J1124" i="1"/>
  <c r="O1123" i="1"/>
  <c r="J1123" i="1"/>
  <c r="O1122" i="1"/>
  <c r="J1122" i="1"/>
  <c r="O1121" i="1"/>
  <c r="J1121" i="1"/>
  <c r="O1120" i="1"/>
  <c r="J1120" i="1"/>
  <c r="O1119" i="1"/>
  <c r="J1119" i="1"/>
  <c r="O1118" i="1"/>
  <c r="J1118" i="1"/>
  <c r="O1117" i="1"/>
  <c r="J1117" i="1"/>
  <c r="O1116" i="1"/>
  <c r="J1116" i="1"/>
  <c r="O1115" i="1"/>
  <c r="J1115" i="1"/>
  <c r="O1114" i="1"/>
  <c r="J1114" i="1"/>
  <c r="O1113" i="1"/>
  <c r="J1113" i="1"/>
  <c r="O1112" i="1"/>
  <c r="J1112" i="1"/>
  <c r="O1111" i="1"/>
  <c r="J1111" i="1"/>
  <c r="O1110" i="1"/>
  <c r="J1110" i="1"/>
  <c r="O1109" i="1"/>
  <c r="J1109" i="1"/>
  <c r="O1108" i="1"/>
  <c r="J1108" i="1"/>
  <c r="O1107" i="1"/>
  <c r="J1107" i="1"/>
  <c r="O1106" i="1"/>
  <c r="J1106" i="1"/>
  <c r="O1105" i="1"/>
  <c r="J1105" i="1"/>
  <c r="O1104" i="1"/>
  <c r="J1104" i="1"/>
  <c r="O1103" i="1"/>
  <c r="J1103" i="1"/>
  <c r="O1102" i="1"/>
  <c r="J1102" i="1"/>
  <c r="O1101" i="1"/>
  <c r="J1101" i="1"/>
  <c r="O1100" i="1"/>
  <c r="J1100" i="1"/>
  <c r="O1099" i="1"/>
  <c r="J1099" i="1"/>
  <c r="O1098" i="1"/>
  <c r="J1098" i="1"/>
  <c r="O1097" i="1"/>
  <c r="J1097" i="1"/>
  <c r="O1096" i="1"/>
  <c r="J1096" i="1"/>
  <c r="O1095" i="1"/>
  <c r="J1095" i="1"/>
  <c r="O1094" i="1"/>
  <c r="J1094" i="1"/>
  <c r="O1093" i="1"/>
  <c r="J1093" i="1"/>
  <c r="O1092" i="1"/>
  <c r="J1092" i="1"/>
  <c r="O1091" i="1"/>
  <c r="J1091" i="1"/>
  <c r="O1090" i="1"/>
  <c r="J1090" i="1"/>
  <c r="O1089" i="1"/>
  <c r="J1089" i="1"/>
  <c r="O1088" i="1"/>
  <c r="J1088" i="1"/>
  <c r="O1087" i="1"/>
  <c r="J1087" i="1"/>
  <c r="O1086" i="1"/>
  <c r="J1086" i="1"/>
  <c r="O1085" i="1"/>
  <c r="J1085" i="1"/>
  <c r="O1084" i="1"/>
  <c r="J1084" i="1"/>
  <c r="O1083" i="1"/>
  <c r="J1083" i="1"/>
  <c r="O1082" i="1"/>
  <c r="J1082" i="1"/>
  <c r="O1081" i="1"/>
  <c r="J1081" i="1"/>
  <c r="O1080" i="1"/>
  <c r="J1080" i="1"/>
  <c r="O1079" i="1"/>
  <c r="J1079" i="1"/>
  <c r="O1078" i="1"/>
  <c r="J1078" i="1"/>
  <c r="O1077" i="1"/>
  <c r="J1077" i="1"/>
  <c r="O1076" i="1"/>
  <c r="J1076" i="1"/>
  <c r="O1075" i="1"/>
  <c r="J1075" i="1"/>
  <c r="O1074" i="1"/>
  <c r="J1074" i="1"/>
  <c r="O1073" i="1"/>
  <c r="J1073" i="1"/>
  <c r="O1072" i="1"/>
  <c r="J1072" i="1"/>
  <c r="O1071" i="1"/>
  <c r="J1071" i="1"/>
  <c r="O1070" i="1"/>
  <c r="J1070" i="1"/>
  <c r="O1069" i="1"/>
  <c r="J1069" i="1"/>
  <c r="O1068" i="1"/>
  <c r="J1068" i="1"/>
  <c r="O1067" i="1"/>
  <c r="J1067" i="1"/>
  <c r="O1066" i="1"/>
  <c r="J1066" i="1"/>
  <c r="O1065" i="1"/>
  <c r="J1065" i="1"/>
  <c r="O1064" i="1"/>
  <c r="J1064" i="1"/>
  <c r="O1063" i="1"/>
  <c r="J1063" i="1"/>
  <c r="O1062" i="1"/>
  <c r="J1062" i="1"/>
  <c r="O1061" i="1"/>
  <c r="J1061" i="1"/>
  <c r="O1060" i="1"/>
  <c r="J1060" i="1"/>
  <c r="O1059" i="1"/>
  <c r="J1059" i="1"/>
  <c r="O1058" i="1"/>
  <c r="J1058" i="1"/>
  <c r="O1057" i="1"/>
  <c r="J1057" i="1"/>
  <c r="O1056" i="1"/>
  <c r="J1056" i="1"/>
  <c r="O1055" i="1"/>
  <c r="J1055" i="1"/>
  <c r="O1054" i="1"/>
  <c r="J1054" i="1"/>
  <c r="O1053" i="1"/>
  <c r="J1053" i="1"/>
  <c r="O1052" i="1"/>
  <c r="J1052" i="1"/>
  <c r="O1051" i="1"/>
  <c r="J1051" i="1"/>
  <c r="O1050" i="1"/>
  <c r="J1050" i="1"/>
  <c r="O1049" i="1"/>
  <c r="J1049" i="1"/>
  <c r="O1048" i="1"/>
  <c r="J1048" i="1"/>
  <c r="O1047" i="1"/>
  <c r="J1047" i="1"/>
  <c r="O1046" i="1"/>
  <c r="J1046" i="1"/>
  <c r="O1045" i="1"/>
  <c r="J1045" i="1"/>
  <c r="O1044" i="1"/>
  <c r="J1044" i="1"/>
  <c r="O1043" i="1"/>
  <c r="J1043" i="1"/>
  <c r="O1042" i="1"/>
  <c r="J1042" i="1"/>
  <c r="O1041" i="1"/>
  <c r="J1041" i="1"/>
  <c r="O1040" i="1"/>
  <c r="J1040" i="1"/>
  <c r="O1039" i="1"/>
  <c r="J1039" i="1"/>
  <c r="O1038" i="1"/>
  <c r="J1038" i="1"/>
  <c r="O1037" i="1"/>
  <c r="J1037" i="1"/>
  <c r="O1036" i="1"/>
  <c r="J1036" i="1"/>
  <c r="O1035" i="1"/>
  <c r="J1035" i="1"/>
  <c r="O1034" i="1"/>
  <c r="J1034" i="1"/>
  <c r="O1033" i="1"/>
  <c r="J1033" i="1"/>
  <c r="O1032" i="1"/>
  <c r="J1032" i="1"/>
  <c r="O1031" i="1"/>
  <c r="J1031" i="1"/>
  <c r="O1030" i="1"/>
  <c r="J1030" i="1"/>
  <c r="O1029" i="1"/>
  <c r="J1029" i="1"/>
  <c r="O1028" i="1"/>
  <c r="J1028" i="1"/>
  <c r="O1027" i="1"/>
  <c r="J1027" i="1"/>
  <c r="O1026" i="1"/>
  <c r="J1026" i="1"/>
  <c r="O1025" i="1"/>
  <c r="J1025" i="1"/>
  <c r="O1024" i="1"/>
  <c r="J1024" i="1"/>
  <c r="O1023" i="1"/>
  <c r="J1023" i="1"/>
  <c r="O1022" i="1"/>
  <c r="J1022" i="1"/>
  <c r="O1021" i="1"/>
  <c r="J1021" i="1"/>
  <c r="O1020" i="1"/>
  <c r="J1020" i="1"/>
  <c r="O1019" i="1"/>
  <c r="J1019" i="1"/>
  <c r="O1018" i="1"/>
  <c r="J1018" i="1"/>
  <c r="O1017" i="1"/>
  <c r="J1017" i="1"/>
  <c r="O1016" i="1"/>
  <c r="J1016" i="1"/>
  <c r="O1015" i="1"/>
  <c r="J1015" i="1"/>
  <c r="O1014" i="1"/>
  <c r="J1014" i="1"/>
  <c r="O1013" i="1"/>
  <c r="J1013" i="1"/>
  <c r="O1012" i="1"/>
  <c r="J1012" i="1"/>
  <c r="O1011" i="1"/>
  <c r="J1011" i="1"/>
  <c r="O1010" i="1"/>
  <c r="J1010" i="1"/>
  <c r="O1009" i="1"/>
  <c r="J1009" i="1"/>
  <c r="O1008" i="1"/>
  <c r="J1008" i="1"/>
  <c r="O1007" i="1"/>
  <c r="J1007" i="1"/>
  <c r="O1006" i="1"/>
  <c r="J1006" i="1"/>
  <c r="O1005" i="1"/>
  <c r="J1005" i="1"/>
  <c r="O1004" i="1"/>
  <c r="J1004" i="1"/>
  <c r="O1003" i="1"/>
  <c r="J1003" i="1"/>
  <c r="O1002" i="1"/>
  <c r="J1002" i="1"/>
  <c r="O1001" i="1"/>
  <c r="J1001" i="1"/>
  <c r="O1000" i="1"/>
  <c r="J1000" i="1"/>
  <c r="O999" i="1"/>
  <c r="J999" i="1"/>
  <c r="O998" i="1"/>
  <c r="J998" i="1"/>
  <c r="O997" i="1"/>
  <c r="J997" i="1"/>
  <c r="O996" i="1"/>
  <c r="J996" i="1"/>
  <c r="O995" i="1"/>
  <c r="J995" i="1"/>
  <c r="O994" i="1"/>
  <c r="J994" i="1"/>
  <c r="O993" i="1"/>
  <c r="J993" i="1"/>
  <c r="O992" i="1"/>
  <c r="J992" i="1"/>
  <c r="O991" i="1"/>
  <c r="J991" i="1"/>
  <c r="O990" i="1"/>
  <c r="J990" i="1"/>
  <c r="O989" i="1"/>
  <c r="J989" i="1"/>
  <c r="O988" i="1"/>
  <c r="J988" i="1"/>
  <c r="O987" i="1"/>
  <c r="J987" i="1"/>
  <c r="O986" i="1"/>
  <c r="J986" i="1"/>
  <c r="O985" i="1"/>
  <c r="J985" i="1"/>
  <c r="O984" i="1"/>
  <c r="J984" i="1"/>
  <c r="O983" i="1"/>
  <c r="J983" i="1"/>
  <c r="O982" i="1"/>
  <c r="J982" i="1"/>
  <c r="O981" i="1"/>
  <c r="J981" i="1"/>
  <c r="O980" i="1"/>
  <c r="J980" i="1"/>
  <c r="O979" i="1"/>
  <c r="J979" i="1"/>
  <c r="O978" i="1"/>
  <c r="J978" i="1"/>
  <c r="O977" i="1"/>
  <c r="J977" i="1"/>
  <c r="O976" i="1"/>
  <c r="J976" i="1"/>
  <c r="O975" i="1"/>
  <c r="J975" i="1"/>
  <c r="O974" i="1"/>
  <c r="J974" i="1"/>
  <c r="O973" i="1"/>
  <c r="J973" i="1"/>
  <c r="O972" i="1"/>
  <c r="J972" i="1"/>
  <c r="O971" i="1"/>
  <c r="J971" i="1"/>
  <c r="O970" i="1"/>
  <c r="J970" i="1"/>
  <c r="O969" i="1"/>
  <c r="J969" i="1"/>
  <c r="O968" i="1"/>
  <c r="J968" i="1"/>
  <c r="O967" i="1"/>
  <c r="J967" i="1"/>
  <c r="O966" i="1"/>
  <c r="J966" i="1"/>
  <c r="O965" i="1"/>
  <c r="J965" i="1"/>
  <c r="O964" i="1"/>
  <c r="J964" i="1"/>
  <c r="O963" i="1"/>
  <c r="J963" i="1"/>
  <c r="O962" i="1"/>
  <c r="J962" i="1"/>
  <c r="O961" i="1"/>
  <c r="J961" i="1"/>
  <c r="O960" i="1"/>
  <c r="J960" i="1"/>
  <c r="O959" i="1"/>
  <c r="J959" i="1"/>
  <c r="O958" i="1"/>
  <c r="J958" i="1"/>
  <c r="O957" i="1"/>
  <c r="J957" i="1"/>
  <c r="O956" i="1"/>
  <c r="J956" i="1"/>
  <c r="O955" i="1"/>
  <c r="J955" i="1"/>
  <c r="O954" i="1"/>
  <c r="J954" i="1"/>
  <c r="O953" i="1"/>
  <c r="J953" i="1"/>
  <c r="O952" i="1"/>
  <c r="J952" i="1"/>
  <c r="O951" i="1"/>
  <c r="J951" i="1"/>
  <c r="O950" i="1"/>
  <c r="J950" i="1"/>
  <c r="O949" i="1"/>
  <c r="J949" i="1"/>
  <c r="O948" i="1"/>
  <c r="J948" i="1"/>
  <c r="O947" i="1"/>
  <c r="J947" i="1"/>
  <c r="O946" i="1"/>
  <c r="J946" i="1"/>
  <c r="O945" i="1"/>
  <c r="J945" i="1"/>
  <c r="O944" i="1"/>
  <c r="J944" i="1"/>
  <c r="O943" i="1"/>
  <c r="J943" i="1"/>
  <c r="O942" i="1"/>
  <c r="J942" i="1"/>
  <c r="O941" i="1"/>
  <c r="J941" i="1"/>
  <c r="O940" i="1"/>
  <c r="J940" i="1"/>
  <c r="O939" i="1"/>
  <c r="J939" i="1"/>
  <c r="O938" i="1"/>
  <c r="J938" i="1"/>
  <c r="O937" i="1"/>
  <c r="J937" i="1"/>
  <c r="O936" i="1"/>
  <c r="J936" i="1"/>
  <c r="O935" i="1"/>
  <c r="J935" i="1"/>
  <c r="O934" i="1"/>
  <c r="J934" i="1"/>
  <c r="O933" i="1"/>
  <c r="J933" i="1"/>
  <c r="O932" i="1"/>
  <c r="J932" i="1"/>
  <c r="O931" i="1"/>
  <c r="J931" i="1"/>
  <c r="O930" i="1"/>
  <c r="J930" i="1"/>
  <c r="O929" i="1"/>
  <c r="J929" i="1"/>
  <c r="O928" i="1"/>
  <c r="J928" i="1"/>
  <c r="O927" i="1"/>
  <c r="J927" i="1"/>
  <c r="O926" i="1"/>
  <c r="J926" i="1"/>
  <c r="O925" i="1"/>
  <c r="J925" i="1"/>
  <c r="O924" i="1"/>
  <c r="J924" i="1"/>
  <c r="O923" i="1"/>
  <c r="J923" i="1"/>
  <c r="O922" i="1"/>
  <c r="J922" i="1"/>
  <c r="O921" i="1"/>
  <c r="J921" i="1"/>
  <c r="O920" i="1"/>
  <c r="J920" i="1"/>
  <c r="O919" i="1"/>
  <c r="J919" i="1"/>
  <c r="O918" i="1"/>
  <c r="J918" i="1"/>
  <c r="O917" i="1"/>
  <c r="J917" i="1"/>
  <c r="O916" i="1"/>
  <c r="J916" i="1"/>
  <c r="O915" i="1"/>
  <c r="J915" i="1"/>
  <c r="O914" i="1"/>
  <c r="J914" i="1"/>
  <c r="O913" i="1"/>
  <c r="J913" i="1"/>
  <c r="O912" i="1"/>
  <c r="J912" i="1"/>
  <c r="O911" i="1"/>
  <c r="J911" i="1"/>
  <c r="O910" i="1"/>
  <c r="J910" i="1"/>
  <c r="O909" i="1"/>
  <c r="J909" i="1"/>
  <c r="O908" i="1"/>
  <c r="J908" i="1"/>
  <c r="O907" i="1"/>
  <c r="J907" i="1"/>
  <c r="O906" i="1"/>
  <c r="J906" i="1"/>
  <c r="O905" i="1"/>
  <c r="J905" i="1"/>
  <c r="O904" i="1"/>
  <c r="J904" i="1"/>
  <c r="O903" i="1"/>
  <c r="J903" i="1"/>
  <c r="O902" i="1"/>
  <c r="J902" i="1"/>
  <c r="O901" i="1"/>
  <c r="J901" i="1"/>
  <c r="O900" i="1"/>
  <c r="J900" i="1"/>
  <c r="O899" i="1"/>
  <c r="J899" i="1"/>
  <c r="O898" i="1"/>
  <c r="J898" i="1"/>
  <c r="O897" i="1"/>
  <c r="J897" i="1"/>
  <c r="O896" i="1"/>
  <c r="J896" i="1"/>
  <c r="O895" i="1"/>
  <c r="J895" i="1"/>
  <c r="O894" i="1"/>
  <c r="J894" i="1"/>
  <c r="O893" i="1"/>
  <c r="J893" i="1"/>
  <c r="O892" i="1"/>
  <c r="J892" i="1"/>
  <c r="O891" i="1"/>
  <c r="J891" i="1"/>
  <c r="O890" i="1"/>
  <c r="J890" i="1"/>
  <c r="O889" i="1"/>
  <c r="J889" i="1"/>
  <c r="O888" i="1"/>
  <c r="J888" i="1"/>
  <c r="O887" i="1"/>
  <c r="J887" i="1"/>
  <c r="O886" i="1"/>
  <c r="J886" i="1"/>
  <c r="O885" i="1"/>
  <c r="J885" i="1"/>
  <c r="O884" i="1"/>
  <c r="J884" i="1"/>
  <c r="O883" i="1"/>
  <c r="J883" i="1"/>
  <c r="O882" i="1"/>
  <c r="J882" i="1"/>
  <c r="O881" i="1"/>
  <c r="J881" i="1"/>
  <c r="O880" i="1"/>
  <c r="J880" i="1"/>
  <c r="O879" i="1"/>
  <c r="J879" i="1"/>
  <c r="O878" i="1"/>
  <c r="J878" i="1"/>
  <c r="O877" i="1"/>
  <c r="J877" i="1"/>
  <c r="O876" i="1"/>
  <c r="J876" i="1"/>
  <c r="O875" i="1"/>
  <c r="J875" i="1"/>
  <c r="O874" i="1"/>
  <c r="J874" i="1"/>
  <c r="O873" i="1"/>
  <c r="J873" i="1"/>
  <c r="O872" i="1"/>
  <c r="J872" i="1"/>
  <c r="O871" i="1"/>
  <c r="J871" i="1"/>
  <c r="O870" i="1"/>
  <c r="J870" i="1"/>
  <c r="O869" i="1"/>
  <c r="J869" i="1"/>
  <c r="O868" i="1"/>
  <c r="J868" i="1"/>
  <c r="O867" i="1"/>
  <c r="J867" i="1"/>
  <c r="O866" i="1"/>
  <c r="J866" i="1"/>
  <c r="O865" i="1"/>
  <c r="J865" i="1"/>
  <c r="O864" i="1"/>
  <c r="J864" i="1"/>
  <c r="O863" i="1"/>
  <c r="J863" i="1"/>
  <c r="O862" i="1"/>
  <c r="J862" i="1"/>
  <c r="O861" i="1"/>
  <c r="J861" i="1"/>
  <c r="O860" i="1"/>
  <c r="J860" i="1"/>
  <c r="O859" i="1"/>
  <c r="J859" i="1"/>
  <c r="O858" i="1"/>
  <c r="J858" i="1"/>
  <c r="O857" i="1"/>
  <c r="J857" i="1"/>
  <c r="O856" i="1"/>
  <c r="J856" i="1"/>
  <c r="O855" i="1"/>
  <c r="J855" i="1"/>
  <c r="O854" i="1"/>
  <c r="J854" i="1"/>
  <c r="O853" i="1"/>
  <c r="J853" i="1"/>
  <c r="O852" i="1"/>
  <c r="J852" i="1"/>
  <c r="O851" i="1"/>
  <c r="J851" i="1"/>
  <c r="O850" i="1"/>
  <c r="J850" i="1"/>
  <c r="O849" i="1"/>
  <c r="J849" i="1"/>
  <c r="O848" i="1"/>
  <c r="J848" i="1"/>
  <c r="O847" i="1"/>
  <c r="J847" i="1"/>
  <c r="O846" i="1"/>
  <c r="J846" i="1"/>
  <c r="O845" i="1"/>
  <c r="J845" i="1"/>
  <c r="O844" i="1"/>
  <c r="J844" i="1"/>
  <c r="O843" i="1"/>
  <c r="J843" i="1"/>
  <c r="O842" i="1"/>
  <c r="J842" i="1"/>
  <c r="O841" i="1"/>
  <c r="J841" i="1"/>
  <c r="O840" i="1"/>
  <c r="J840" i="1"/>
  <c r="O839" i="1"/>
  <c r="J839" i="1"/>
  <c r="O838" i="1"/>
  <c r="J838" i="1"/>
  <c r="O837" i="1"/>
  <c r="J837" i="1"/>
  <c r="O836" i="1"/>
  <c r="J836" i="1"/>
  <c r="O835" i="1"/>
  <c r="J835" i="1"/>
  <c r="O834" i="1"/>
  <c r="J834" i="1"/>
  <c r="O833" i="1"/>
  <c r="J833" i="1"/>
  <c r="O832" i="1"/>
  <c r="J832" i="1"/>
  <c r="O831" i="1"/>
  <c r="J831" i="1"/>
  <c r="O830" i="1"/>
  <c r="J830" i="1"/>
  <c r="O829" i="1"/>
  <c r="J829" i="1"/>
  <c r="O828" i="1"/>
  <c r="J828" i="1"/>
  <c r="O827" i="1"/>
  <c r="J827" i="1"/>
  <c r="O826" i="1"/>
  <c r="J826" i="1"/>
  <c r="O825" i="1"/>
  <c r="J825" i="1"/>
  <c r="O824" i="1"/>
  <c r="J824" i="1"/>
  <c r="O823" i="1"/>
  <c r="J823" i="1"/>
  <c r="O822" i="1"/>
  <c r="J822" i="1"/>
  <c r="O821" i="1"/>
  <c r="J821" i="1"/>
  <c r="O820" i="1"/>
  <c r="J820" i="1"/>
  <c r="O819" i="1"/>
  <c r="J819" i="1"/>
  <c r="O818" i="1"/>
  <c r="J818" i="1"/>
  <c r="O817" i="1"/>
  <c r="J817" i="1"/>
  <c r="O816" i="1"/>
  <c r="J816" i="1"/>
  <c r="O815" i="1"/>
  <c r="J815" i="1"/>
  <c r="O814" i="1"/>
  <c r="J814" i="1"/>
  <c r="O813" i="1"/>
  <c r="J813" i="1"/>
  <c r="O812" i="1"/>
  <c r="J812" i="1"/>
  <c r="O811" i="1"/>
  <c r="J811" i="1"/>
  <c r="O810" i="1"/>
  <c r="J810" i="1"/>
  <c r="O809" i="1"/>
  <c r="J809" i="1"/>
  <c r="O808" i="1"/>
  <c r="J808" i="1"/>
  <c r="O807" i="1"/>
  <c r="J807" i="1"/>
  <c r="O806" i="1"/>
  <c r="J806" i="1"/>
  <c r="O805" i="1"/>
  <c r="J805" i="1"/>
  <c r="O804" i="1"/>
  <c r="J804" i="1"/>
  <c r="O803" i="1"/>
  <c r="J803" i="1"/>
  <c r="O802" i="1"/>
  <c r="J802" i="1"/>
  <c r="O801" i="1"/>
  <c r="J801" i="1"/>
  <c r="O800" i="1"/>
  <c r="J800" i="1"/>
  <c r="O799" i="1"/>
  <c r="J799" i="1"/>
  <c r="O798" i="1"/>
  <c r="J798" i="1"/>
  <c r="O797" i="1"/>
  <c r="J797" i="1"/>
  <c r="O796" i="1"/>
  <c r="J796" i="1"/>
  <c r="O795" i="1"/>
  <c r="J795" i="1"/>
  <c r="O794" i="1"/>
  <c r="J794" i="1"/>
  <c r="O793" i="1"/>
  <c r="J793" i="1"/>
  <c r="O792" i="1"/>
  <c r="J792" i="1"/>
  <c r="O791" i="1"/>
  <c r="J791" i="1"/>
  <c r="O790" i="1"/>
  <c r="J790" i="1"/>
  <c r="O789" i="1"/>
  <c r="J789" i="1"/>
  <c r="O788" i="1"/>
  <c r="J788" i="1"/>
  <c r="O787" i="1"/>
  <c r="J787" i="1"/>
  <c r="O786" i="1"/>
  <c r="J786" i="1"/>
  <c r="O785" i="1"/>
  <c r="J785" i="1"/>
  <c r="O784" i="1"/>
  <c r="J784" i="1"/>
  <c r="O783" i="1"/>
  <c r="J783" i="1"/>
  <c r="O782" i="1"/>
  <c r="J782" i="1"/>
  <c r="O781" i="1"/>
  <c r="J781" i="1"/>
  <c r="O780" i="1"/>
  <c r="J780" i="1"/>
  <c r="O779" i="1"/>
  <c r="J779" i="1"/>
  <c r="O778" i="1"/>
  <c r="J778" i="1"/>
  <c r="O777" i="1"/>
  <c r="J777" i="1"/>
  <c r="O776" i="1"/>
  <c r="J776" i="1"/>
  <c r="O775" i="1"/>
  <c r="J775" i="1"/>
  <c r="O774" i="1"/>
  <c r="J774" i="1"/>
  <c r="O773" i="1"/>
  <c r="J773" i="1"/>
  <c r="O772" i="1"/>
  <c r="J772" i="1"/>
  <c r="O771" i="1"/>
  <c r="J771" i="1"/>
  <c r="O770" i="1"/>
  <c r="J770" i="1"/>
  <c r="O769" i="1"/>
  <c r="J769" i="1"/>
  <c r="O768" i="1"/>
  <c r="J768" i="1"/>
  <c r="O767" i="1"/>
  <c r="J767" i="1"/>
  <c r="O766" i="1"/>
  <c r="J766" i="1"/>
  <c r="O765" i="1"/>
  <c r="J765" i="1"/>
  <c r="O764" i="1"/>
  <c r="J764" i="1"/>
  <c r="O763" i="1"/>
  <c r="J763" i="1"/>
  <c r="O762" i="1"/>
  <c r="J762" i="1"/>
  <c r="O761" i="1"/>
  <c r="J761" i="1"/>
  <c r="O760" i="1"/>
  <c r="J760" i="1"/>
  <c r="O759" i="1"/>
  <c r="J759" i="1"/>
  <c r="O758" i="1"/>
  <c r="J758" i="1"/>
  <c r="O757" i="1"/>
  <c r="J757" i="1"/>
  <c r="O756" i="1"/>
  <c r="J756" i="1"/>
  <c r="O755" i="1"/>
  <c r="J755" i="1"/>
  <c r="O754" i="1"/>
  <c r="J754" i="1"/>
  <c r="O753" i="1"/>
  <c r="J753" i="1"/>
  <c r="O752" i="1"/>
  <c r="J752" i="1"/>
  <c r="O751" i="1"/>
  <c r="J751" i="1"/>
  <c r="O750" i="1"/>
  <c r="J750" i="1"/>
  <c r="O749" i="1"/>
  <c r="J749" i="1"/>
  <c r="O748" i="1"/>
  <c r="J748" i="1"/>
  <c r="O747" i="1"/>
  <c r="J747" i="1"/>
  <c r="O746" i="1"/>
  <c r="J746" i="1"/>
  <c r="O745" i="1"/>
  <c r="J745" i="1"/>
  <c r="O744" i="1"/>
  <c r="J744" i="1"/>
  <c r="O743" i="1"/>
  <c r="J743" i="1"/>
  <c r="O742" i="1"/>
  <c r="J742" i="1"/>
  <c r="O741" i="1"/>
  <c r="J741" i="1"/>
  <c r="O740" i="1"/>
  <c r="J740" i="1"/>
  <c r="O739" i="1"/>
  <c r="J739" i="1"/>
  <c r="O738" i="1"/>
  <c r="J738" i="1"/>
  <c r="O737" i="1"/>
  <c r="J737" i="1"/>
  <c r="O736" i="1"/>
  <c r="J736" i="1"/>
  <c r="O735" i="1"/>
  <c r="J735" i="1"/>
  <c r="O734" i="1"/>
  <c r="J734" i="1"/>
  <c r="O733" i="1"/>
  <c r="J733" i="1"/>
  <c r="O732" i="1"/>
  <c r="J732" i="1"/>
  <c r="O731" i="1"/>
  <c r="J731" i="1"/>
  <c r="O730" i="1"/>
  <c r="J730" i="1"/>
  <c r="O729" i="1"/>
  <c r="J729" i="1"/>
  <c r="O728" i="1"/>
  <c r="J728" i="1"/>
  <c r="O727" i="1"/>
  <c r="J727" i="1"/>
  <c r="O726" i="1"/>
  <c r="J726" i="1"/>
  <c r="O725" i="1"/>
  <c r="J725" i="1"/>
  <c r="O724" i="1"/>
  <c r="J724" i="1"/>
  <c r="O723" i="1"/>
  <c r="J723" i="1"/>
  <c r="O722" i="1"/>
  <c r="J722" i="1"/>
  <c r="O721" i="1"/>
  <c r="J721" i="1"/>
  <c r="O720" i="1"/>
  <c r="J720" i="1"/>
  <c r="O719" i="1"/>
  <c r="J719" i="1"/>
  <c r="O718" i="1"/>
  <c r="J718" i="1"/>
  <c r="O717" i="1"/>
  <c r="J717" i="1"/>
  <c r="O716" i="1"/>
  <c r="J716" i="1"/>
  <c r="O715" i="1"/>
  <c r="J715" i="1"/>
  <c r="O714" i="1"/>
  <c r="J714" i="1"/>
  <c r="O713" i="1"/>
  <c r="J713" i="1"/>
  <c r="O712" i="1"/>
  <c r="J712" i="1"/>
  <c r="O711" i="1"/>
  <c r="J711" i="1"/>
  <c r="O710" i="1"/>
  <c r="J710" i="1"/>
  <c r="O709" i="1"/>
  <c r="J709" i="1"/>
  <c r="O708" i="1"/>
  <c r="J708" i="1"/>
  <c r="O707" i="1"/>
  <c r="J707" i="1"/>
  <c r="O706" i="1"/>
  <c r="J706" i="1"/>
  <c r="O705" i="1"/>
  <c r="J705" i="1"/>
  <c r="O704" i="1"/>
  <c r="J704" i="1"/>
  <c r="O703" i="1"/>
  <c r="J703" i="1"/>
  <c r="O702" i="1"/>
  <c r="J702" i="1"/>
  <c r="O701" i="1"/>
  <c r="J701" i="1"/>
  <c r="O700" i="1"/>
  <c r="J700" i="1"/>
  <c r="O699" i="1"/>
  <c r="J699" i="1"/>
  <c r="O698" i="1"/>
  <c r="J698" i="1"/>
  <c r="O697" i="1"/>
  <c r="J697" i="1"/>
  <c r="O696" i="1"/>
  <c r="J696" i="1"/>
  <c r="O695" i="1"/>
  <c r="J695" i="1"/>
  <c r="O694" i="1"/>
  <c r="J694" i="1"/>
  <c r="O693" i="1"/>
  <c r="J693" i="1"/>
  <c r="O692" i="1"/>
  <c r="J692" i="1"/>
  <c r="O691" i="1"/>
  <c r="J691" i="1"/>
  <c r="O690" i="1"/>
  <c r="J690" i="1"/>
  <c r="O689" i="1"/>
  <c r="J689" i="1"/>
  <c r="O688" i="1"/>
  <c r="J688" i="1"/>
  <c r="O687" i="1"/>
  <c r="J687" i="1"/>
  <c r="O686" i="1"/>
  <c r="J686" i="1"/>
  <c r="O685" i="1"/>
  <c r="J685" i="1"/>
  <c r="O684" i="1"/>
  <c r="J684" i="1"/>
  <c r="O683" i="1"/>
  <c r="J683" i="1"/>
  <c r="O682" i="1"/>
  <c r="J682" i="1"/>
  <c r="O681" i="1"/>
  <c r="J681" i="1"/>
  <c r="O680" i="1"/>
  <c r="J680" i="1"/>
  <c r="O679" i="1"/>
  <c r="J679" i="1"/>
  <c r="O678" i="1"/>
  <c r="J678" i="1"/>
  <c r="O677" i="1"/>
  <c r="J677" i="1"/>
  <c r="O676" i="1"/>
  <c r="J676" i="1"/>
  <c r="O675" i="1"/>
  <c r="J675" i="1"/>
  <c r="O674" i="1"/>
  <c r="J674" i="1"/>
  <c r="O673" i="1"/>
  <c r="J673" i="1"/>
  <c r="O672" i="1"/>
  <c r="J672" i="1"/>
  <c r="O671" i="1"/>
  <c r="J671" i="1"/>
  <c r="O670" i="1"/>
  <c r="J670" i="1"/>
  <c r="O669" i="1"/>
  <c r="J669" i="1"/>
  <c r="O668" i="1"/>
  <c r="J668" i="1"/>
  <c r="O667" i="1"/>
  <c r="J667" i="1"/>
  <c r="O666" i="1"/>
  <c r="J666" i="1"/>
  <c r="O665" i="1"/>
  <c r="J665" i="1"/>
  <c r="O664" i="1"/>
  <c r="J664" i="1"/>
  <c r="O663" i="1"/>
  <c r="J663" i="1"/>
  <c r="O662" i="1"/>
  <c r="J662" i="1"/>
  <c r="O661" i="1"/>
  <c r="J661" i="1"/>
  <c r="O660" i="1"/>
  <c r="J660" i="1"/>
  <c r="O659" i="1"/>
  <c r="J659" i="1"/>
  <c r="O658" i="1"/>
  <c r="J658" i="1"/>
  <c r="O657" i="1"/>
  <c r="J657" i="1"/>
  <c r="O656" i="1"/>
  <c r="J656" i="1"/>
  <c r="O655" i="1"/>
  <c r="J655" i="1"/>
  <c r="O654" i="1"/>
  <c r="J654" i="1"/>
  <c r="O653" i="1"/>
  <c r="J653" i="1"/>
  <c r="O652" i="1"/>
  <c r="J652" i="1"/>
  <c r="O651" i="1"/>
  <c r="J651" i="1"/>
  <c r="O650" i="1"/>
  <c r="J650" i="1"/>
  <c r="O649" i="1"/>
  <c r="J649" i="1"/>
  <c r="O648" i="1"/>
  <c r="J648" i="1"/>
  <c r="O647" i="1"/>
  <c r="J647" i="1"/>
  <c r="O646" i="1"/>
  <c r="J646" i="1"/>
  <c r="O645" i="1"/>
  <c r="J645" i="1"/>
  <c r="O644" i="1"/>
  <c r="J644" i="1"/>
  <c r="O643" i="1"/>
  <c r="J643" i="1"/>
  <c r="O642" i="1"/>
  <c r="J642" i="1"/>
  <c r="O641" i="1"/>
  <c r="J641" i="1"/>
  <c r="O640" i="1"/>
  <c r="J640" i="1"/>
  <c r="O639" i="1"/>
  <c r="J639" i="1"/>
  <c r="O638" i="1"/>
  <c r="J638" i="1"/>
  <c r="O637" i="1"/>
  <c r="J637" i="1"/>
  <c r="O636" i="1"/>
  <c r="J636" i="1"/>
  <c r="O635" i="1"/>
  <c r="J635" i="1"/>
  <c r="O634" i="1"/>
  <c r="J634" i="1"/>
  <c r="O633" i="1"/>
  <c r="J633" i="1"/>
  <c r="O632" i="1"/>
  <c r="J632" i="1"/>
  <c r="O631" i="1"/>
  <c r="J631" i="1"/>
  <c r="O630" i="1"/>
  <c r="J630" i="1"/>
  <c r="O629" i="1"/>
  <c r="J629" i="1"/>
  <c r="O628" i="1"/>
  <c r="J628" i="1"/>
  <c r="O627" i="1"/>
  <c r="J627" i="1"/>
  <c r="O626" i="1"/>
  <c r="J626" i="1"/>
  <c r="O625" i="1"/>
  <c r="J625" i="1"/>
  <c r="O624" i="1"/>
  <c r="J624" i="1"/>
  <c r="O623" i="1"/>
  <c r="J623" i="1"/>
  <c r="O622" i="1"/>
  <c r="J622" i="1"/>
  <c r="O621" i="1"/>
  <c r="J621" i="1"/>
  <c r="O620" i="1"/>
  <c r="J620" i="1"/>
  <c r="O619" i="1"/>
  <c r="J619" i="1"/>
  <c r="O618" i="1"/>
  <c r="J618" i="1"/>
  <c r="O617" i="1"/>
  <c r="J617" i="1"/>
  <c r="O616" i="1"/>
  <c r="J616" i="1"/>
  <c r="O615" i="1"/>
  <c r="J615" i="1"/>
  <c r="O614" i="1"/>
  <c r="J614" i="1"/>
  <c r="O613" i="1"/>
  <c r="J613" i="1"/>
  <c r="O612" i="1"/>
  <c r="J612" i="1"/>
  <c r="O611" i="1"/>
  <c r="J611" i="1"/>
  <c r="O610" i="1"/>
  <c r="J610" i="1"/>
  <c r="O609" i="1"/>
  <c r="J609" i="1"/>
  <c r="O608" i="1"/>
  <c r="J608" i="1"/>
  <c r="O607" i="1"/>
  <c r="J607" i="1"/>
  <c r="O606" i="1"/>
  <c r="J606" i="1"/>
  <c r="O605" i="1"/>
  <c r="J605" i="1"/>
  <c r="O604" i="1"/>
  <c r="J604" i="1"/>
  <c r="O603" i="1"/>
  <c r="J603" i="1"/>
  <c r="O602" i="1"/>
  <c r="J602" i="1"/>
  <c r="O601" i="1"/>
  <c r="J601" i="1"/>
  <c r="O600" i="1"/>
  <c r="J600" i="1"/>
  <c r="O599" i="1"/>
  <c r="J599" i="1"/>
  <c r="O598" i="1"/>
  <c r="J598" i="1"/>
  <c r="O597" i="1"/>
  <c r="J597" i="1"/>
  <c r="O596" i="1"/>
  <c r="J596" i="1"/>
  <c r="O595" i="1"/>
  <c r="J595" i="1"/>
  <c r="O594" i="1"/>
  <c r="J594" i="1"/>
  <c r="O593" i="1"/>
  <c r="J593" i="1"/>
  <c r="O592" i="1"/>
  <c r="J592" i="1"/>
  <c r="O591" i="1"/>
  <c r="J591" i="1"/>
  <c r="O590" i="1"/>
  <c r="J590" i="1"/>
  <c r="O589" i="1"/>
  <c r="J589" i="1"/>
  <c r="O588" i="1"/>
  <c r="J588" i="1"/>
  <c r="O587" i="1"/>
  <c r="J587" i="1"/>
  <c r="O586" i="1"/>
  <c r="J586" i="1"/>
  <c r="O585" i="1"/>
  <c r="J585" i="1"/>
  <c r="O584" i="1"/>
  <c r="J584" i="1"/>
  <c r="O583" i="1"/>
  <c r="J583" i="1"/>
  <c r="O582" i="1"/>
  <c r="J582" i="1"/>
  <c r="O581" i="1"/>
  <c r="J581" i="1"/>
  <c r="O580" i="1"/>
  <c r="J580" i="1"/>
  <c r="O579" i="1"/>
  <c r="J579" i="1"/>
  <c r="O578" i="1"/>
  <c r="J578" i="1"/>
  <c r="O577" i="1"/>
  <c r="J577" i="1"/>
  <c r="O576" i="1"/>
  <c r="J576" i="1"/>
  <c r="O575" i="1"/>
  <c r="J575" i="1"/>
  <c r="O574" i="1"/>
  <c r="J574" i="1"/>
  <c r="O573" i="1"/>
  <c r="J573" i="1"/>
  <c r="O572" i="1"/>
  <c r="J572" i="1"/>
  <c r="O571" i="1"/>
  <c r="J571" i="1"/>
  <c r="O570" i="1"/>
  <c r="J570" i="1"/>
  <c r="O569" i="1"/>
  <c r="J569" i="1"/>
  <c r="O568" i="1"/>
  <c r="J568" i="1"/>
  <c r="O567" i="1"/>
  <c r="J567" i="1"/>
  <c r="O566" i="1"/>
  <c r="J566" i="1"/>
  <c r="O565" i="1"/>
  <c r="J565" i="1"/>
  <c r="O564" i="1"/>
  <c r="J564" i="1"/>
  <c r="O563" i="1"/>
  <c r="J563" i="1"/>
  <c r="O562" i="1"/>
  <c r="J562" i="1"/>
  <c r="O561" i="1"/>
  <c r="J561" i="1"/>
  <c r="O560" i="1"/>
  <c r="J560" i="1"/>
  <c r="O559" i="1"/>
  <c r="J559" i="1"/>
  <c r="O558" i="1"/>
  <c r="J558" i="1"/>
  <c r="O557" i="1"/>
  <c r="J557" i="1"/>
  <c r="O556" i="1"/>
  <c r="J556" i="1"/>
  <c r="O555" i="1"/>
  <c r="J555" i="1"/>
  <c r="O554" i="1"/>
  <c r="J554" i="1"/>
  <c r="O553" i="1"/>
  <c r="J553" i="1"/>
  <c r="O552" i="1"/>
  <c r="J552" i="1"/>
  <c r="O551" i="1"/>
  <c r="J551" i="1"/>
  <c r="O550" i="1"/>
  <c r="J550" i="1"/>
  <c r="O549" i="1"/>
  <c r="J549" i="1"/>
  <c r="O548" i="1"/>
  <c r="J548" i="1"/>
  <c r="O547" i="1"/>
  <c r="J547" i="1"/>
  <c r="O546" i="1"/>
  <c r="J546" i="1"/>
  <c r="O545" i="1"/>
  <c r="J545" i="1"/>
  <c r="O544" i="1"/>
  <c r="J544" i="1"/>
  <c r="O543" i="1"/>
  <c r="J543" i="1"/>
  <c r="O542" i="1"/>
  <c r="J542" i="1"/>
  <c r="O541" i="1"/>
  <c r="J541" i="1"/>
  <c r="O540" i="1"/>
  <c r="J540" i="1"/>
  <c r="O539" i="1"/>
  <c r="J539" i="1"/>
  <c r="O538" i="1"/>
  <c r="J538" i="1"/>
  <c r="O537" i="1"/>
  <c r="J537" i="1"/>
  <c r="O536" i="1"/>
  <c r="J536" i="1"/>
  <c r="O535" i="1"/>
  <c r="J535" i="1"/>
  <c r="O534" i="1"/>
  <c r="J534" i="1"/>
  <c r="O533" i="1"/>
  <c r="J533" i="1"/>
  <c r="O532" i="1"/>
  <c r="J532" i="1"/>
  <c r="O531" i="1"/>
  <c r="J531" i="1"/>
  <c r="O530" i="1"/>
  <c r="J530" i="1"/>
  <c r="O529" i="1"/>
  <c r="J529" i="1"/>
  <c r="O528" i="1"/>
  <c r="J528" i="1"/>
  <c r="O527" i="1"/>
  <c r="J527" i="1"/>
  <c r="O526" i="1"/>
  <c r="J526" i="1"/>
  <c r="O525" i="1"/>
  <c r="J525" i="1"/>
  <c r="O524" i="1"/>
  <c r="J524" i="1"/>
  <c r="O523" i="1"/>
  <c r="J523" i="1"/>
  <c r="O522" i="1"/>
  <c r="J522" i="1"/>
  <c r="O521" i="1"/>
  <c r="J521" i="1"/>
  <c r="O520" i="1"/>
  <c r="J520" i="1"/>
  <c r="O519" i="1"/>
  <c r="J519" i="1"/>
  <c r="O518" i="1"/>
  <c r="J518" i="1"/>
  <c r="O517" i="1"/>
  <c r="J517" i="1"/>
  <c r="O516" i="1"/>
  <c r="J516" i="1"/>
  <c r="O515" i="1"/>
  <c r="J515" i="1"/>
  <c r="O514" i="1"/>
  <c r="J514" i="1"/>
  <c r="O513" i="1"/>
  <c r="J513" i="1"/>
  <c r="O512" i="1"/>
  <c r="J512" i="1"/>
  <c r="O511" i="1"/>
  <c r="J511" i="1"/>
  <c r="O510" i="1"/>
  <c r="J510" i="1"/>
  <c r="O509" i="1"/>
  <c r="J509" i="1"/>
  <c r="O508" i="1"/>
  <c r="J508" i="1"/>
  <c r="O507" i="1"/>
  <c r="J507" i="1"/>
  <c r="O506" i="1"/>
  <c r="J506" i="1"/>
  <c r="O505" i="1"/>
  <c r="J505" i="1"/>
  <c r="O504" i="1"/>
  <c r="J504" i="1"/>
  <c r="O503" i="1"/>
  <c r="J503" i="1"/>
  <c r="O502" i="1"/>
  <c r="J502" i="1"/>
  <c r="O501" i="1"/>
  <c r="J501" i="1"/>
  <c r="O500" i="1"/>
  <c r="J500" i="1"/>
  <c r="O499" i="1"/>
  <c r="J499" i="1"/>
  <c r="O498" i="1"/>
  <c r="J498" i="1"/>
  <c r="O497" i="1"/>
  <c r="J497" i="1"/>
  <c r="O496" i="1"/>
  <c r="J496" i="1"/>
  <c r="O495" i="1"/>
  <c r="J495" i="1"/>
  <c r="O494" i="1"/>
  <c r="J494" i="1"/>
  <c r="O493" i="1"/>
  <c r="J493" i="1"/>
  <c r="O492" i="1"/>
  <c r="J492" i="1"/>
  <c r="O491" i="1"/>
  <c r="J491" i="1"/>
  <c r="O490" i="1"/>
  <c r="J490" i="1"/>
  <c r="O489" i="1"/>
  <c r="J489" i="1"/>
  <c r="O488" i="1"/>
  <c r="J488" i="1"/>
  <c r="O487" i="1"/>
  <c r="J487" i="1"/>
  <c r="O486" i="1"/>
  <c r="J486" i="1"/>
  <c r="O485" i="1"/>
  <c r="J485" i="1"/>
  <c r="O484" i="1"/>
  <c r="J484" i="1"/>
  <c r="O483" i="1"/>
  <c r="J483" i="1"/>
  <c r="O482" i="1"/>
  <c r="J482" i="1"/>
  <c r="O481" i="1"/>
  <c r="J481" i="1"/>
  <c r="O480" i="1"/>
  <c r="J480" i="1"/>
  <c r="O479" i="1"/>
  <c r="J479" i="1"/>
  <c r="O478" i="1"/>
  <c r="J478" i="1"/>
  <c r="O477" i="1"/>
  <c r="J477" i="1"/>
  <c r="O476" i="1"/>
  <c r="J476" i="1"/>
  <c r="O475" i="1"/>
  <c r="J475" i="1"/>
  <c r="O474" i="1"/>
  <c r="J474" i="1"/>
  <c r="O473" i="1"/>
  <c r="J473" i="1"/>
  <c r="O472" i="1"/>
  <c r="J472" i="1"/>
  <c r="O471" i="1"/>
  <c r="J471" i="1"/>
  <c r="O470" i="1"/>
  <c r="J470" i="1"/>
  <c r="O469" i="1"/>
  <c r="J469" i="1"/>
  <c r="O468" i="1"/>
  <c r="J468" i="1"/>
  <c r="O467" i="1"/>
  <c r="J467" i="1"/>
  <c r="O466" i="1"/>
  <c r="J466" i="1"/>
  <c r="O465" i="1"/>
  <c r="J465" i="1"/>
  <c r="O464" i="1"/>
  <c r="J464" i="1"/>
  <c r="O463" i="1"/>
  <c r="J463" i="1"/>
  <c r="O462" i="1"/>
  <c r="J462" i="1"/>
  <c r="O461" i="1"/>
  <c r="J461" i="1"/>
  <c r="O460" i="1"/>
  <c r="J460" i="1"/>
  <c r="O459" i="1"/>
  <c r="J459" i="1"/>
  <c r="O458" i="1"/>
  <c r="J458" i="1"/>
  <c r="O457" i="1"/>
  <c r="J457" i="1"/>
  <c r="O456" i="1"/>
  <c r="J456" i="1"/>
  <c r="O455" i="1"/>
  <c r="J455" i="1"/>
  <c r="O454" i="1"/>
  <c r="J454" i="1"/>
  <c r="O453" i="1"/>
  <c r="J453" i="1"/>
  <c r="O452" i="1"/>
  <c r="J452" i="1"/>
  <c r="O451" i="1"/>
  <c r="J451" i="1"/>
  <c r="O450" i="1"/>
  <c r="J450" i="1"/>
  <c r="O449" i="1"/>
  <c r="J449" i="1"/>
  <c r="O448" i="1"/>
  <c r="J448" i="1"/>
  <c r="O447" i="1"/>
  <c r="J447" i="1"/>
  <c r="O446" i="1"/>
  <c r="J446" i="1"/>
  <c r="O445" i="1"/>
  <c r="J445" i="1"/>
  <c r="O444" i="1"/>
  <c r="J444" i="1"/>
  <c r="O443" i="1"/>
  <c r="J443" i="1"/>
  <c r="O442" i="1"/>
  <c r="J442" i="1"/>
  <c r="O441" i="1"/>
  <c r="J441" i="1"/>
  <c r="O440" i="1"/>
  <c r="J440" i="1"/>
  <c r="O439" i="1"/>
  <c r="J439" i="1"/>
  <c r="O438" i="1"/>
  <c r="J438" i="1"/>
  <c r="O437" i="1"/>
  <c r="J437" i="1"/>
  <c r="O436" i="1"/>
  <c r="J436" i="1"/>
  <c r="O435" i="1"/>
  <c r="J435" i="1"/>
  <c r="O434" i="1"/>
  <c r="J434" i="1"/>
  <c r="O433" i="1"/>
  <c r="J433" i="1"/>
  <c r="O432" i="1"/>
  <c r="J432" i="1"/>
  <c r="O431" i="1"/>
  <c r="J431" i="1"/>
  <c r="O430" i="1"/>
  <c r="J430" i="1"/>
  <c r="O429" i="1"/>
  <c r="J429" i="1"/>
  <c r="O428" i="1"/>
  <c r="J428" i="1"/>
  <c r="O427" i="1"/>
  <c r="J427" i="1"/>
  <c r="O426" i="1"/>
  <c r="J426" i="1"/>
  <c r="O425" i="1"/>
  <c r="J425" i="1"/>
  <c r="O424" i="1"/>
  <c r="J424" i="1"/>
  <c r="O423" i="1"/>
  <c r="J423" i="1"/>
  <c r="O422" i="1"/>
  <c r="J422" i="1"/>
  <c r="O421" i="1"/>
  <c r="J421" i="1"/>
  <c r="O420" i="1"/>
  <c r="J420" i="1"/>
  <c r="O419" i="1"/>
  <c r="J419" i="1"/>
  <c r="O418" i="1"/>
  <c r="J418" i="1"/>
  <c r="O417" i="1"/>
  <c r="J417" i="1"/>
  <c r="O416" i="1"/>
  <c r="J416" i="1"/>
  <c r="O415" i="1"/>
  <c r="J415" i="1"/>
  <c r="O414" i="1"/>
  <c r="J414" i="1"/>
  <c r="O413" i="1"/>
  <c r="J413" i="1"/>
  <c r="O412" i="1"/>
  <c r="J412" i="1"/>
  <c r="O411" i="1"/>
  <c r="J411" i="1"/>
  <c r="O410" i="1"/>
  <c r="J410" i="1"/>
  <c r="O409" i="1"/>
  <c r="J409" i="1"/>
  <c r="O408" i="1"/>
  <c r="J408" i="1"/>
  <c r="O407" i="1"/>
  <c r="J407" i="1"/>
  <c r="O406" i="1"/>
  <c r="J406" i="1"/>
  <c r="O405" i="1"/>
  <c r="J405" i="1"/>
  <c r="O404" i="1"/>
  <c r="J404" i="1"/>
  <c r="O403" i="1"/>
  <c r="J403" i="1"/>
  <c r="O402" i="1"/>
  <c r="J402" i="1"/>
  <c r="O401" i="1"/>
  <c r="J401" i="1"/>
  <c r="O400" i="1"/>
  <c r="J400" i="1"/>
  <c r="O399" i="1"/>
  <c r="J399" i="1"/>
  <c r="O398" i="1"/>
  <c r="J398" i="1"/>
  <c r="O397" i="1"/>
  <c r="J397" i="1"/>
  <c r="O396" i="1"/>
  <c r="J396" i="1"/>
  <c r="O395" i="1"/>
  <c r="J395" i="1"/>
  <c r="O394" i="1"/>
  <c r="J394" i="1"/>
  <c r="O393" i="1"/>
  <c r="J393" i="1"/>
  <c r="O392" i="1"/>
  <c r="J392" i="1"/>
  <c r="O391" i="1"/>
  <c r="J391" i="1"/>
  <c r="O390" i="1"/>
  <c r="J390" i="1"/>
  <c r="O389" i="1"/>
  <c r="J389" i="1"/>
  <c r="O388" i="1"/>
  <c r="J388" i="1"/>
  <c r="O387" i="1"/>
  <c r="J387" i="1"/>
  <c r="O386" i="1"/>
  <c r="J386" i="1"/>
  <c r="O385" i="1"/>
  <c r="J385" i="1"/>
  <c r="O384" i="1"/>
  <c r="J384" i="1"/>
  <c r="O383" i="1"/>
  <c r="J383" i="1"/>
  <c r="O382" i="1"/>
  <c r="J382" i="1"/>
  <c r="O381" i="1"/>
  <c r="J381" i="1"/>
  <c r="O380" i="1"/>
  <c r="J380" i="1"/>
  <c r="O379" i="1"/>
  <c r="J379" i="1"/>
  <c r="O378" i="1"/>
  <c r="J378" i="1"/>
  <c r="O377" i="1"/>
  <c r="J377" i="1"/>
  <c r="O376" i="1"/>
  <c r="J376" i="1"/>
  <c r="O375" i="1"/>
  <c r="J375" i="1"/>
  <c r="O374" i="1"/>
  <c r="J374" i="1"/>
  <c r="O373" i="1"/>
  <c r="J373" i="1"/>
  <c r="O372" i="1"/>
  <c r="J372" i="1"/>
  <c r="O371" i="1"/>
  <c r="J371" i="1"/>
  <c r="O370" i="1"/>
  <c r="J370" i="1"/>
  <c r="O369" i="1"/>
  <c r="J369" i="1"/>
  <c r="O368" i="1"/>
  <c r="J368" i="1"/>
  <c r="O367" i="1"/>
  <c r="J367" i="1"/>
  <c r="O366" i="1"/>
  <c r="J366" i="1"/>
  <c r="O365" i="1"/>
  <c r="J365" i="1"/>
  <c r="O364" i="1"/>
  <c r="J364" i="1"/>
  <c r="O363" i="1"/>
  <c r="J363" i="1"/>
  <c r="O362" i="1"/>
  <c r="J362" i="1"/>
  <c r="O361" i="1"/>
  <c r="J361" i="1"/>
  <c r="O360" i="1"/>
  <c r="J360" i="1"/>
  <c r="O359" i="1"/>
  <c r="J359" i="1"/>
  <c r="O358" i="1"/>
  <c r="J358" i="1"/>
  <c r="O357" i="1"/>
  <c r="J357" i="1"/>
  <c r="O356" i="1"/>
  <c r="J356" i="1"/>
  <c r="O355" i="1"/>
  <c r="J355" i="1"/>
  <c r="O354" i="1"/>
  <c r="J354" i="1"/>
  <c r="O353" i="1"/>
  <c r="J353" i="1"/>
  <c r="O352" i="1"/>
  <c r="J352" i="1"/>
  <c r="O351" i="1"/>
  <c r="J351" i="1"/>
  <c r="O350" i="1"/>
  <c r="J350" i="1"/>
  <c r="O349" i="1"/>
  <c r="J349" i="1"/>
  <c r="O348" i="1"/>
  <c r="J348" i="1"/>
  <c r="O347" i="1"/>
  <c r="J347" i="1"/>
  <c r="O346" i="1"/>
  <c r="J346" i="1"/>
  <c r="O345" i="1"/>
  <c r="J345" i="1"/>
  <c r="O344" i="1"/>
  <c r="J344" i="1"/>
  <c r="O343" i="1"/>
  <c r="J343" i="1"/>
  <c r="O342" i="1"/>
  <c r="J342" i="1"/>
  <c r="O341" i="1"/>
  <c r="J341" i="1"/>
  <c r="O340" i="1"/>
  <c r="J340" i="1"/>
  <c r="O339" i="1"/>
  <c r="J339" i="1"/>
  <c r="O338" i="1"/>
  <c r="J338" i="1"/>
  <c r="O337" i="1"/>
  <c r="J337" i="1"/>
  <c r="O336" i="1"/>
  <c r="J336" i="1"/>
  <c r="O335" i="1"/>
  <c r="J335" i="1"/>
  <c r="O334" i="1"/>
  <c r="J334" i="1"/>
  <c r="O333" i="1"/>
  <c r="J333" i="1"/>
  <c r="O332" i="1"/>
  <c r="J332" i="1"/>
  <c r="O331" i="1"/>
  <c r="J331" i="1"/>
  <c r="O330" i="1"/>
  <c r="J330" i="1"/>
  <c r="O329" i="1"/>
  <c r="J329" i="1"/>
  <c r="O328" i="1"/>
  <c r="J328" i="1"/>
  <c r="O327" i="1"/>
  <c r="J327" i="1"/>
  <c r="O326" i="1"/>
  <c r="J326" i="1"/>
  <c r="O325" i="1"/>
  <c r="J325" i="1"/>
  <c r="O324" i="1"/>
  <c r="J324" i="1"/>
  <c r="O323" i="1"/>
  <c r="J323" i="1"/>
  <c r="O322" i="1"/>
  <c r="J322" i="1"/>
  <c r="O321" i="1"/>
  <c r="J321" i="1"/>
  <c r="O320" i="1"/>
  <c r="J320" i="1"/>
  <c r="O319" i="1"/>
  <c r="J319" i="1"/>
  <c r="O318" i="1"/>
  <c r="J318" i="1"/>
  <c r="O317" i="1"/>
  <c r="J317" i="1"/>
  <c r="O316" i="1"/>
  <c r="J316" i="1"/>
  <c r="O315" i="1"/>
  <c r="J315" i="1"/>
  <c r="O314" i="1"/>
  <c r="J314" i="1"/>
  <c r="O313" i="1"/>
  <c r="J313" i="1"/>
  <c r="O312" i="1"/>
  <c r="J312" i="1"/>
  <c r="O311" i="1"/>
  <c r="J311" i="1"/>
  <c r="O310" i="1"/>
  <c r="J310" i="1"/>
  <c r="O309" i="1"/>
  <c r="J309" i="1"/>
  <c r="O308" i="1"/>
  <c r="J308" i="1"/>
  <c r="O307" i="1"/>
  <c r="J307" i="1"/>
  <c r="O306" i="1"/>
  <c r="J306" i="1"/>
  <c r="O305" i="1"/>
  <c r="J305" i="1"/>
  <c r="O304" i="1"/>
  <c r="J304" i="1"/>
  <c r="O303" i="1"/>
  <c r="J303" i="1"/>
  <c r="O302" i="1"/>
  <c r="J302" i="1"/>
  <c r="O301" i="1"/>
  <c r="J301" i="1"/>
  <c r="O300" i="1"/>
  <c r="J300" i="1"/>
  <c r="O299" i="1"/>
  <c r="J299" i="1"/>
  <c r="O298" i="1"/>
  <c r="J298" i="1"/>
  <c r="O297" i="1"/>
  <c r="J297" i="1"/>
  <c r="O296" i="1"/>
  <c r="J296" i="1"/>
  <c r="O295" i="1"/>
  <c r="J295" i="1"/>
  <c r="O294" i="1"/>
  <c r="J294" i="1"/>
  <c r="O293" i="1"/>
  <c r="J293" i="1"/>
  <c r="O292" i="1"/>
  <c r="J292" i="1"/>
  <c r="O291" i="1"/>
  <c r="J291" i="1"/>
  <c r="O290" i="1"/>
  <c r="J290" i="1"/>
  <c r="O289" i="1"/>
  <c r="J289" i="1"/>
  <c r="O288" i="1"/>
  <c r="J288" i="1"/>
  <c r="O287" i="1"/>
  <c r="J287" i="1"/>
  <c r="O286" i="1"/>
  <c r="J286" i="1"/>
  <c r="O285" i="1"/>
  <c r="J285" i="1"/>
  <c r="O284" i="1"/>
  <c r="J284" i="1"/>
  <c r="O283" i="1"/>
  <c r="J283" i="1"/>
  <c r="O282" i="1"/>
  <c r="J282" i="1"/>
  <c r="O281" i="1"/>
  <c r="J281" i="1"/>
  <c r="O280" i="1"/>
  <c r="J280" i="1"/>
  <c r="O279" i="1"/>
  <c r="J279" i="1"/>
  <c r="O278" i="1"/>
  <c r="J278" i="1"/>
  <c r="O277" i="1"/>
  <c r="J277" i="1"/>
  <c r="O276" i="1"/>
  <c r="J276" i="1"/>
  <c r="O275" i="1"/>
  <c r="J275" i="1"/>
  <c r="O274" i="1"/>
  <c r="J274" i="1"/>
  <c r="O273" i="1"/>
  <c r="J273" i="1"/>
  <c r="O272" i="1"/>
  <c r="J272" i="1"/>
  <c r="O271" i="1"/>
  <c r="J271" i="1"/>
  <c r="O270" i="1"/>
  <c r="J270" i="1"/>
  <c r="O269" i="1"/>
  <c r="J269" i="1"/>
  <c r="O268" i="1"/>
  <c r="J268" i="1"/>
  <c r="O267" i="1"/>
  <c r="J267" i="1"/>
  <c r="O266" i="1"/>
  <c r="J266" i="1"/>
  <c r="O265" i="1"/>
  <c r="J265" i="1"/>
  <c r="O264" i="1"/>
  <c r="J264" i="1"/>
  <c r="O263" i="1"/>
  <c r="J263" i="1"/>
  <c r="O262" i="1"/>
  <c r="J262" i="1"/>
  <c r="O261" i="1"/>
  <c r="J261" i="1"/>
  <c r="O260" i="1"/>
  <c r="J260" i="1"/>
  <c r="O259" i="1"/>
  <c r="J259" i="1"/>
  <c r="O258" i="1"/>
  <c r="J258" i="1"/>
  <c r="O257" i="1"/>
  <c r="J257" i="1"/>
  <c r="O256" i="1"/>
  <c r="J256" i="1"/>
  <c r="O255" i="1"/>
  <c r="J255" i="1"/>
  <c r="O254" i="1"/>
  <c r="J254" i="1"/>
  <c r="O253" i="1"/>
  <c r="J253" i="1"/>
  <c r="O252" i="1"/>
  <c r="J252" i="1"/>
  <c r="O251" i="1"/>
  <c r="J251" i="1"/>
  <c r="O250" i="1"/>
  <c r="J250" i="1"/>
  <c r="O249" i="1"/>
  <c r="J249" i="1"/>
  <c r="O248" i="1"/>
  <c r="J248" i="1"/>
  <c r="O247" i="1"/>
  <c r="J247" i="1"/>
  <c r="O246" i="1"/>
  <c r="J246" i="1"/>
  <c r="O245" i="1"/>
  <c r="J245" i="1"/>
  <c r="O244" i="1"/>
  <c r="J244" i="1"/>
  <c r="O243" i="1"/>
  <c r="J243" i="1"/>
  <c r="O242" i="1"/>
  <c r="J242" i="1"/>
  <c r="O241" i="1"/>
  <c r="J241" i="1"/>
  <c r="O240" i="1"/>
  <c r="J240" i="1"/>
  <c r="O239" i="1"/>
  <c r="J239" i="1"/>
  <c r="O238" i="1"/>
  <c r="J238" i="1"/>
  <c r="O237" i="1"/>
  <c r="J237" i="1"/>
  <c r="O236" i="1"/>
  <c r="J236" i="1"/>
  <c r="O235" i="1"/>
  <c r="J235" i="1"/>
  <c r="O234" i="1"/>
  <c r="J234" i="1"/>
  <c r="O233" i="1"/>
  <c r="J233" i="1"/>
  <c r="O232" i="1"/>
  <c r="J232" i="1"/>
  <c r="O231" i="1"/>
  <c r="J231" i="1"/>
  <c r="O230" i="1"/>
  <c r="J230" i="1"/>
  <c r="O229" i="1"/>
  <c r="J229" i="1"/>
  <c r="O228" i="1"/>
  <c r="J228" i="1"/>
  <c r="O227" i="1"/>
  <c r="J227" i="1"/>
  <c r="O226" i="1"/>
  <c r="J226" i="1"/>
  <c r="O225" i="1"/>
  <c r="J225" i="1"/>
  <c r="O224" i="1"/>
  <c r="J224" i="1"/>
  <c r="O223" i="1"/>
  <c r="J223" i="1"/>
  <c r="O222" i="1"/>
  <c r="J222" i="1"/>
  <c r="O221" i="1"/>
  <c r="J221" i="1"/>
  <c r="O220" i="1"/>
  <c r="J220" i="1"/>
  <c r="O219" i="1"/>
  <c r="J219" i="1"/>
  <c r="O218" i="1"/>
  <c r="J218" i="1"/>
  <c r="O217" i="1"/>
  <c r="J217" i="1"/>
  <c r="O216" i="1"/>
  <c r="J216" i="1"/>
  <c r="O215" i="1"/>
  <c r="J215" i="1"/>
  <c r="O214" i="1"/>
  <c r="J214" i="1"/>
  <c r="O213" i="1"/>
  <c r="J213" i="1"/>
  <c r="O212" i="1"/>
  <c r="J212" i="1"/>
  <c r="O211" i="1"/>
  <c r="J211" i="1"/>
  <c r="O210" i="1"/>
  <c r="J210" i="1"/>
  <c r="O209" i="1"/>
  <c r="J209" i="1"/>
  <c r="O208" i="1"/>
  <c r="J208" i="1"/>
  <c r="O207" i="1"/>
  <c r="J207" i="1"/>
  <c r="O206" i="1"/>
  <c r="J206" i="1"/>
  <c r="O205" i="1"/>
  <c r="J205" i="1"/>
  <c r="O204" i="1"/>
  <c r="J204" i="1"/>
  <c r="O203" i="1"/>
  <c r="J203" i="1"/>
  <c r="O202" i="1"/>
  <c r="J202" i="1"/>
  <c r="O201" i="1"/>
  <c r="J201" i="1"/>
  <c r="O200" i="1"/>
  <c r="J200" i="1"/>
  <c r="O199" i="1"/>
  <c r="J199" i="1"/>
  <c r="O198" i="1"/>
  <c r="J198" i="1"/>
  <c r="O197" i="1"/>
  <c r="J197" i="1"/>
  <c r="O196" i="1"/>
  <c r="J196" i="1"/>
  <c r="O195" i="1"/>
  <c r="J195" i="1"/>
  <c r="O194" i="1"/>
  <c r="J194" i="1"/>
  <c r="O193" i="1"/>
  <c r="J193" i="1"/>
  <c r="O192" i="1"/>
  <c r="J192" i="1"/>
  <c r="O191" i="1"/>
  <c r="J191" i="1"/>
  <c r="O190" i="1"/>
  <c r="J190" i="1"/>
  <c r="O189" i="1"/>
  <c r="J189" i="1"/>
  <c r="O188" i="1"/>
  <c r="J188" i="1"/>
  <c r="O187" i="1"/>
  <c r="J187" i="1"/>
  <c r="O186" i="1"/>
  <c r="J186" i="1"/>
  <c r="O185" i="1"/>
  <c r="J185" i="1"/>
  <c r="O184" i="1"/>
  <c r="J184" i="1"/>
  <c r="O183" i="1"/>
  <c r="J183" i="1"/>
  <c r="O182" i="1"/>
  <c r="J182" i="1"/>
  <c r="O181" i="1"/>
  <c r="J181" i="1"/>
  <c r="O180" i="1"/>
  <c r="J180" i="1"/>
  <c r="O179" i="1"/>
  <c r="J179" i="1"/>
  <c r="O178" i="1"/>
  <c r="J178" i="1"/>
  <c r="O177" i="1"/>
  <c r="J177" i="1"/>
  <c r="O176" i="1"/>
  <c r="J176" i="1"/>
  <c r="O175" i="1"/>
  <c r="J175" i="1"/>
  <c r="O174" i="1"/>
  <c r="J174" i="1"/>
  <c r="O173" i="1"/>
  <c r="J173" i="1"/>
  <c r="O172" i="1"/>
  <c r="J172" i="1"/>
  <c r="O171" i="1"/>
  <c r="J171" i="1"/>
  <c r="O170" i="1"/>
  <c r="J170" i="1"/>
  <c r="O169" i="1"/>
  <c r="J169" i="1"/>
  <c r="O168" i="1"/>
  <c r="J168" i="1"/>
  <c r="O167" i="1"/>
  <c r="J167" i="1"/>
  <c r="O166" i="1"/>
  <c r="J166" i="1"/>
  <c r="O165" i="1"/>
  <c r="J165" i="1"/>
  <c r="O164" i="1"/>
  <c r="J164" i="1"/>
  <c r="O163" i="1"/>
  <c r="J163" i="1"/>
  <c r="O162" i="1"/>
  <c r="J162" i="1"/>
  <c r="O161" i="1"/>
  <c r="J161" i="1"/>
  <c r="O160" i="1"/>
  <c r="J160" i="1"/>
  <c r="O159" i="1"/>
  <c r="J159" i="1"/>
  <c r="O158" i="1"/>
  <c r="J158" i="1"/>
  <c r="O157" i="1"/>
  <c r="J157" i="1"/>
  <c r="O156" i="1"/>
  <c r="J156" i="1"/>
  <c r="O155" i="1"/>
  <c r="J155" i="1"/>
  <c r="O154" i="1"/>
  <c r="J154" i="1"/>
  <c r="O153" i="1"/>
  <c r="J153" i="1"/>
  <c r="O152" i="1"/>
  <c r="J152" i="1"/>
  <c r="O151" i="1"/>
  <c r="J151" i="1"/>
  <c r="O150" i="1"/>
  <c r="J150" i="1"/>
  <c r="O149" i="1"/>
  <c r="J149" i="1"/>
  <c r="O148" i="1"/>
  <c r="J148" i="1"/>
  <c r="O147" i="1"/>
  <c r="J147" i="1"/>
  <c r="O146" i="1"/>
  <c r="J146" i="1"/>
  <c r="O145" i="1"/>
  <c r="J145" i="1"/>
  <c r="O144" i="1"/>
  <c r="J144" i="1"/>
  <c r="O143" i="1"/>
  <c r="J143" i="1"/>
  <c r="O142" i="1"/>
  <c r="J142" i="1"/>
  <c r="O141" i="1"/>
  <c r="J141" i="1"/>
  <c r="O140" i="1"/>
  <c r="J140" i="1"/>
  <c r="O139" i="1"/>
  <c r="J139" i="1"/>
  <c r="O138" i="1"/>
  <c r="J138" i="1"/>
  <c r="O137" i="1"/>
  <c r="J137" i="1"/>
  <c r="O136" i="1"/>
  <c r="J136" i="1"/>
  <c r="O135" i="1"/>
  <c r="J135" i="1"/>
  <c r="O134" i="1"/>
  <c r="J134" i="1"/>
  <c r="O133" i="1"/>
  <c r="J133" i="1"/>
  <c r="O132" i="1"/>
  <c r="J132" i="1"/>
  <c r="O131" i="1"/>
  <c r="J131" i="1"/>
  <c r="O130" i="1"/>
  <c r="J130" i="1"/>
  <c r="O129" i="1"/>
  <c r="J129" i="1"/>
  <c r="O128" i="1"/>
  <c r="J128" i="1"/>
  <c r="O127" i="1"/>
  <c r="J127" i="1"/>
  <c r="O126" i="1"/>
  <c r="J126" i="1"/>
  <c r="O125" i="1"/>
  <c r="J125" i="1"/>
  <c r="O124" i="1"/>
  <c r="J124" i="1"/>
  <c r="O123" i="1"/>
  <c r="J123" i="1"/>
  <c r="O122" i="1"/>
  <c r="J122" i="1"/>
  <c r="O121" i="1"/>
  <c r="J121" i="1"/>
  <c r="O120" i="1"/>
  <c r="J120" i="1"/>
  <c r="O119" i="1"/>
  <c r="J119" i="1"/>
  <c r="O118" i="1"/>
  <c r="J118" i="1"/>
  <c r="O117" i="1"/>
  <c r="J117" i="1"/>
  <c r="O116" i="1"/>
  <c r="J116" i="1"/>
  <c r="O115" i="1"/>
  <c r="J115" i="1"/>
  <c r="O114" i="1"/>
  <c r="J114" i="1"/>
  <c r="O113" i="1"/>
  <c r="J113" i="1"/>
  <c r="O112" i="1"/>
  <c r="J112" i="1"/>
  <c r="O111" i="1"/>
  <c r="J111" i="1"/>
  <c r="O110" i="1"/>
  <c r="J110" i="1"/>
  <c r="O109" i="1"/>
  <c r="J109" i="1"/>
  <c r="O108" i="1"/>
  <c r="J108" i="1"/>
  <c r="O107" i="1"/>
  <c r="J107" i="1"/>
  <c r="O106" i="1"/>
  <c r="J106" i="1"/>
  <c r="O105" i="1"/>
  <c r="J105" i="1"/>
  <c r="O104" i="1"/>
  <c r="J104" i="1"/>
  <c r="O103" i="1"/>
  <c r="J103" i="1"/>
  <c r="O102" i="1"/>
  <c r="J102" i="1"/>
  <c r="O101" i="1"/>
  <c r="J101" i="1"/>
  <c r="O100" i="1"/>
  <c r="J100" i="1"/>
  <c r="O99" i="1"/>
  <c r="J99" i="1"/>
  <c r="O98" i="1"/>
  <c r="J98" i="1"/>
  <c r="O97" i="1"/>
  <c r="J97" i="1"/>
  <c r="O96" i="1"/>
  <c r="J96" i="1"/>
  <c r="O95" i="1"/>
  <c r="J95" i="1"/>
  <c r="O94" i="1"/>
  <c r="J94" i="1"/>
  <c r="O93" i="1"/>
  <c r="J93" i="1"/>
  <c r="O92" i="1"/>
  <c r="J92" i="1"/>
  <c r="O91" i="1"/>
  <c r="J91" i="1"/>
  <c r="O90" i="1"/>
  <c r="J90" i="1"/>
  <c r="O89" i="1"/>
  <c r="J89" i="1"/>
  <c r="O88" i="1"/>
  <c r="J88" i="1"/>
  <c r="O87" i="1"/>
  <c r="J87" i="1"/>
  <c r="O86" i="1"/>
  <c r="J86" i="1"/>
  <c r="O85" i="1"/>
  <c r="J85" i="1"/>
  <c r="O84" i="1"/>
  <c r="J84" i="1"/>
  <c r="O83" i="1"/>
  <c r="J83" i="1"/>
  <c r="O82" i="1"/>
  <c r="J82" i="1"/>
  <c r="O81" i="1"/>
  <c r="J81" i="1"/>
  <c r="O80" i="1"/>
  <c r="J80" i="1"/>
  <c r="O79" i="1"/>
  <c r="J79" i="1"/>
  <c r="O78" i="1"/>
  <c r="J78" i="1"/>
  <c r="O77" i="1"/>
  <c r="J77" i="1"/>
  <c r="O76" i="1"/>
  <c r="J76" i="1"/>
  <c r="O75" i="1"/>
  <c r="J75" i="1"/>
  <c r="O74" i="1"/>
  <c r="J74" i="1"/>
  <c r="O73" i="1"/>
  <c r="J73" i="1"/>
  <c r="O72" i="1"/>
  <c r="J72" i="1"/>
  <c r="O71" i="1"/>
  <c r="J71" i="1"/>
  <c r="O70" i="1"/>
  <c r="J70" i="1"/>
  <c r="O69" i="1"/>
  <c r="J69" i="1"/>
  <c r="O68" i="1"/>
  <c r="J68" i="1"/>
  <c r="O67" i="1"/>
  <c r="J67" i="1"/>
  <c r="O66" i="1"/>
  <c r="J66" i="1"/>
  <c r="O65" i="1"/>
  <c r="J65" i="1"/>
  <c r="O64" i="1"/>
  <c r="J64" i="1"/>
  <c r="O63" i="1"/>
  <c r="J63" i="1"/>
  <c r="O62" i="1"/>
  <c r="J62" i="1"/>
  <c r="O61" i="1"/>
  <c r="J61" i="1"/>
  <c r="O60" i="1"/>
  <c r="J60" i="1"/>
  <c r="O59" i="1"/>
  <c r="J59" i="1"/>
  <c r="O58" i="1"/>
  <c r="J58" i="1"/>
  <c r="O57" i="1"/>
  <c r="J57" i="1"/>
  <c r="O56" i="1"/>
  <c r="J56" i="1"/>
  <c r="O55" i="1"/>
  <c r="J55" i="1"/>
  <c r="O54" i="1"/>
  <c r="J54" i="1"/>
  <c r="O53" i="1"/>
  <c r="J53" i="1"/>
  <c r="O52" i="1"/>
  <c r="J52" i="1"/>
  <c r="O51" i="1"/>
  <c r="J51" i="1"/>
  <c r="O50" i="1"/>
  <c r="J50" i="1"/>
  <c r="O49" i="1"/>
  <c r="J49" i="1"/>
  <c r="O48" i="1"/>
  <c r="J48" i="1"/>
  <c r="O47" i="1"/>
  <c r="J47" i="1"/>
  <c r="O46" i="1"/>
  <c r="J46" i="1"/>
  <c r="O45" i="1"/>
  <c r="J45" i="1"/>
  <c r="O44" i="1"/>
  <c r="J44" i="1"/>
  <c r="O43" i="1"/>
  <c r="J43" i="1"/>
  <c r="O42" i="1"/>
  <c r="J42" i="1"/>
  <c r="O41" i="1"/>
  <c r="J41" i="1"/>
  <c r="O40" i="1"/>
  <c r="J40" i="1"/>
  <c r="O39" i="1"/>
  <c r="J39" i="1"/>
  <c r="O38" i="1"/>
  <c r="J38" i="1"/>
  <c r="O37" i="1"/>
  <c r="J37" i="1"/>
  <c r="O36" i="1"/>
  <c r="J36" i="1"/>
  <c r="O35" i="1"/>
  <c r="J35" i="1"/>
  <c r="O34" i="1"/>
  <c r="J34" i="1"/>
  <c r="O33" i="1"/>
  <c r="J33" i="1"/>
  <c r="O32" i="1"/>
  <c r="J32" i="1"/>
  <c r="O31" i="1"/>
  <c r="J31" i="1"/>
  <c r="O30" i="1"/>
  <c r="J30" i="1"/>
  <c r="O29" i="1"/>
  <c r="J29" i="1"/>
  <c r="O28" i="1"/>
  <c r="J28" i="1"/>
  <c r="O27" i="1"/>
  <c r="J27" i="1"/>
  <c r="O26" i="1"/>
  <c r="J26" i="1"/>
  <c r="O25" i="1"/>
  <c r="J25" i="1"/>
  <c r="O24" i="1"/>
  <c r="J24" i="1"/>
  <c r="O23" i="1"/>
  <c r="J23" i="1"/>
  <c r="O22" i="1"/>
  <c r="J22" i="1"/>
  <c r="O21" i="1"/>
  <c r="J21" i="1"/>
  <c r="O20" i="1"/>
  <c r="J20" i="1"/>
  <c r="O19" i="1"/>
  <c r="J19" i="1"/>
  <c r="O18" i="1"/>
  <c r="J18" i="1"/>
  <c r="O17" i="1"/>
  <c r="J17" i="1"/>
  <c r="O16" i="1"/>
  <c r="J16" i="1"/>
  <c r="O15" i="1"/>
  <c r="J15" i="1"/>
  <c r="O14" i="1"/>
  <c r="J14" i="1"/>
  <c r="O13" i="1"/>
  <c r="J13" i="1"/>
  <c r="O12" i="1"/>
  <c r="J12" i="1"/>
  <c r="O11" i="1"/>
  <c r="J11" i="1"/>
  <c r="O10" i="1"/>
  <c r="J10" i="1"/>
  <c r="O9" i="1"/>
  <c r="J9" i="1"/>
  <c r="O8" i="1"/>
  <c r="J8" i="1"/>
  <c r="O7" i="1"/>
  <c r="J7" i="1"/>
  <c r="O6" i="1"/>
  <c r="J6" i="1"/>
  <c r="O5" i="1"/>
  <c r="J5" i="1"/>
  <c r="O4" i="1"/>
  <c r="J4" i="1"/>
  <c r="O3" i="1"/>
  <c r="J3" i="1"/>
  <c r="O2" i="1"/>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Amazon case study Project.xlsx!Table1" type="102" refreshedVersion="5" minRefreshableVersion="5">
    <extLst>
      <ext xmlns:x15="http://schemas.microsoft.com/office/spreadsheetml/2010/11/main" uri="{DE250136-89BD-433C-8126-D09CA5730AF9}">
        <x15:connection id="Table1-4203526b-1299-43bf-ad8f-abdbb05c0993" autoDelete="1">
          <x15:rangePr sourceName="_xlcn.WorksheetConnection_AmazoncasestudyProject.xlsxTable11"/>
        </x15:connection>
      </ext>
    </extLst>
  </connection>
</connections>
</file>

<file path=xl/sharedStrings.xml><?xml version="1.0" encoding="utf-8"?>
<sst xmlns="http://schemas.openxmlformats.org/spreadsheetml/2006/main" count="8270" uniqueCount="2961">
  <si>
    <t>Wayona Nylon Braided USB to Lightning Fast Charging and Data Sync Cable Compatible for iPhone 13, 12,11, X, 8, 7, 6, 5, iPad Air, Pro, Mini (3 FT Pack of 1, Grey)</t>
  </si>
  <si>
    <t>Ambrane Unbreakable 60W / 3A Fast Charging 1.5m Braided Type C Cable for Smartphones, Tablets, Laptops &amp; other Type C devices, PD Technology, 480Mbps Data Sync, Quick Charge 3.0 (RCT15A, Black)</t>
  </si>
  <si>
    <t>Sounce Fast Phone Charging Cable &amp; Data Sync USB Cable Compatible for iPhone 13, 12,11, X, 8, 7, 6, 5, iPad Air, Pro, Mini &amp; iOS Devices</t>
  </si>
  <si>
    <t>boAt Deuce USB 300 2 in 1 Type-C &amp; Micro USB Stress Resistant, Tangle-Free, Sturdy Cable with 3A Fast Charging &amp; 480mbps Data Transmission, 10000+ Bends Lifespan and Extended 1.5m Length(Martian Red)</t>
  </si>
  <si>
    <t>Portronics Konnect L 1.2M Fast Charging 3A 8 Pin USB Cable with Charge &amp; Sync Function for iPhone, iPad (Grey)</t>
  </si>
  <si>
    <t>pTron Solero TB301 3A Type-C Data and Fast Charging Cable, Made in India, 480Mbps Data Sync, Strong and Durable 1.5-Meter Nylon Braided USB Cable for Type-C Devices for Charging Adapter (Black)</t>
  </si>
  <si>
    <t>boAt Micro USB 55 Tangle-free, Sturdy Micro USB Cable with 3A Fast Charging &amp; 480mbps Data Transmission (Black)</t>
  </si>
  <si>
    <t>MI Usb Type-C Cable Smartphone (Black)</t>
  </si>
  <si>
    <t>TP-Link USB WiFi Adapter for PC(TL-WN725N), N150 Wireless Network Adapter for Desktop - Nano Size WiFi Dongle Compatible with Windows 11/10/7/8/8.1/XP/ Mac OS 10.9-10.15 Linux Kernel 2.6.18-4.4.3</t>
  </si>
  <si>
    <t>Ambrane Unbreakable 60W / 3A Fast Charging 1.5m Braided Micro USB Cable for Smartphones, Tablets, Laptops &amp; Other Micro USB Devices, 480Mbps Data Sync, Quick Charge 3.0 (RCM15, Black)</t>
  </si>
  <si>
    <t>Portronics Konnect L POR-1081 Fast Charging 3A Type-C Cable 1.2Meter with Charge &amp; Sync Function for All Type-C Devices (Grey)</t>
  </si>
  <si>
    <t>boAt Rugged v3 Extra Tough Unbreakable Braided Micro USB Cable 1.5 Meter (Black)</t>
  </si>
  <si>
    <t>AmazonBasics Flexible Premium HDMI Cable (Black, 4K@60Hz, 18Gbps), 3-Foot</t>
  </si>
  <si>
    <t>Portronics Konnect CL 20W POR-1067 Type-C to 8 Pin USB 1.2M Cable with Power Delivery &amp; 3A Quick Charge Support, Nylon Braided for All Type-C and 8 Pin Devices, Green</t>
  </si>
  <si>
    <t>Portronics Konnect L 1.2M POR-1401 Fast Charging 3A 8 Pin USB Cable with Charge &amp; Sync Function (White)</t>
  </si>
  <si>
    <t>MI Braided USB Type-C Cable for Charging Adapter (Red)</t>
  </si>
  <si>
    <t>MI 80 cm (32 inches) 5A Series HD Ready Smart Android LED TV L32M7-5AIN (Black)</t>
  </si>
  <si>
    <t>Ambrane Unbreakable 60W / 3A Fast Charging 1.5m Braided Type C to Type C Cable for Smartphones, Tablets, Laptops &amp; Other Type C Devices, PD Technology, 480Mbps Data Sync (RCTT15, Black)</t>
  </si>
  <si>
    <t>boAt Type C A325 Tangle-free, Sturdy Type C Cable with 3A Rapid Charging &amp; 480mbps Data Transmission(Black)</t>
  </si>
  <si>
    <t>LG 80 cm (32 inches) HD Ready Smart LED TV 32LM563BPTC (Dark Iron Gray)</t>
  </si>
  <si>
    <t>Duracell USB Lightning Apple Certified (Mfi) Braided Sync &amp; Charge Cable For Iphone, Ipad And Ipod. Fast Charging Lightning Cable, 3.9 Feet (1.2M) - Black</t>
  </si>
  <si>
    <t>tizum HDMI to VGA Adapter Cable 1080P for Projector, Computer, Laptop, TV, Projectors &amp; TV</t>
  </si>
  <si>
    <t>Samsung 80 cm (32 Inches) Wondertainment Series HD Ready LED Smart TV UA32T4340BKXXL (Glossy Black)</t>
  </si>
  <si>
    <t>Flix Micro Usb Cable For Smartphone (Black)</t>
  </si>
  <si>
    <t>Acer 80 cm (32 inches) I Series HD Ready Android Smart LED TV AR32AR2841HDFL (Black)</t>
  </si>
  <si>
    <t>Tizum High Speed HDMI Cable with Ethernet | Supports 3D 4K | for All HDMI Devices Laptop Computer Gaming Console TV Set Top Box (1.5 Meter/ 5 Feet)</t>
  </si>
  <si>
    <t>OnePlus 80 cm (32 inches) Y Series HD Ready LED Smart Android TV 32Y1 (Black)</t>
  </si>
  <si>
    <t>Ambrane Unbreakable 3 in 1 Fast Charging Braided Multipurpose Cable for Speaker with 2.1 A Speed - 1.25 meter, Black</t>
  </si>
  <si>
    <t>Duracell USB C To Lightning Apple Certified (Mfi) Braided Sync &amp; Charge Cable For Iphone, Ipad And Ipod. Fast Charging Lightning Cable, 3.9 Feet (1.2M) - Black</t>
  </si>
  <si>
    <t>boAt A400 USB Type-C to USB-A 2.0 Male Data Cable, 2 Meter (Black)</t>
  </si>
  <si>
    <t>AmazonBasics USB 2.0 - A-Male to A-Female Extension Cable for Personal Computer, Printer (Black, 9.8 Feet/3 Meters)</t>
  </si>
  <si>
    <t>Ambrane 60W / 3A Type C Fast Charging Unbreakable 1.5m L Shaped Braided Cable, PD Technology, 480Mbps Data Transfer for Smartphones, Tablet, Laptops &amp; other type c devices (ABLC10, Black)</t>
  </si>
  <si>
    <t>Zoul USB C 60W Fast Charging 3A 6ft/2M Long Type C Nylon Braided Data Cable Quick Charger Cable QC 3.0 for Samsung Galaxy M31S M30 S10 S9 S20 Plus, Note 10 9 8, A20e A40 A50 A70 (2M, Grey)</t>
  </si>
  <si>
    <t>Samsung Original Type C to C Cable - 3.28 Feet (1 Meter), White</t>
  </si>
  <si>
    <t>pTron Solero T351 3.5Amps Fast Charging Type-C to Type-C PD Data &amp; Charging USB Cable, Made in India, 480Mbps Data Sync, Durable 1 Meter Long Cable for Type-C Smartphones, Tablets &amp; Laptops (Black)</t>
  </si>
  <si>
    <t>pTron Solero MB301 3A Micro USB Data &amp; Charging Cable, Made in India, 480Mbps Data Sync, Strong &amp; Durable 1.5-Meter Nylon Braided USB Cable for Micro USB Devices - (Black)</t>
  </si>
  <si>
    <t>Amazonbasics Nylon Braided Usb-C To Lightning Cable, Fast Charging Mfi Certified Smartphone, Iphone Charger (6-Foot, Dark Grey)</t>
  </si>
  <si>
    <t>Sounce 65W OnePlus Dash Warp Charge Cable, 6.5A Type-C to USB C PD Data Sync Fast Charging Cable Compatible with One Plus 8T/ 9/ 9R/ 9 pro/ 9RT/ 10R/ Nord &amp; for All Type C Devices ‚Äì Red, 1 Meter</t>
  </si>
  <si>
    <t>OnePlus 126 cm (50 inches) Y Series 4K Ultra HD Smart Android LED TV 50Y1S Pro (Black)</t>
  </si>
  <si>
    <t>Duracell Type C To Type C 5A (100W) Braided Sync &amp; Fast Charging Cable, 3.9 Feet (1.2M). USB C to C Cable, Supports PD &amp; QC 3.0 Charging, 5 GBPS Data Transmission ‚Äì Black</t>
  </si>
  <si>
    <t>AmazonBasics USB 2.0 Cable - A-Male to B-Male - for Personal Computer, Printer- 6 Feet (1.8 Meters), Black</t>
  </si>
  <si>
    <t>Mi 108 cm (43 inches) Full HD Android LED TV 4C | L43M6-INC (Black)</t>
  </si>
  <si>
    <t>Wayona Nylon Braided 3A Lightning to USB A Syncing and Fast Charging Data Cable for iPhone, Ipad (3 FT Pack of 1, Black)</t>
  </si>
  <si>
    <t>TP-Link Nano AC600 USB Wi-Fi Adapter(Archer T2U Nano)- 2.4G/5G Dual Band Wireless Network Adapter for PC Desktop Laptop, Mini Travel Size, Supports Windows 11,10, 8.1, 8, 7, XP/Mac OS 10.9-10.15</t>
  </si>
  <si>
    <t>FLiX (Beetel USB to Micro USB PVC Data Sync &amp; 2A Fast Charging Cable, Made in India, 480Mbps Data Sync, Solid Cable, 1 Meter Long USB Cable for Micro USB Devices (White)(XCD-M11)</t>
  </si>
  <si>
    <t>Wecool Nylon Braided Multifunction Fast Charging Cable For Android Smartphone, Ios And Type C Usb Devices, 3 In 1 Charging Cable, 3A, (3 Feet) (Black)</t>
  </si>
  <si>
    <t>D-Link DWA-131 300 Mbps Wireless Nano USB Adapter (Black)</t>
  </si>
  <si>
    <t>Amazon Basics High-Speed HDMI Cable, 6 Feet - Supports Ethernet, 3D, 4K video,Black</t>
  </si>
  <si>
    <t>7SEVEN¬Æ Compatible for Samsung Smart 4K Ultra HD TV Monitor Remote Control Replacement of Original Samsung TV Remote for LED OLED UHD QLED and Suitable for 6 7 8 Series Samsung TV with Hot Keys BN59-01259E</t>
  </si>
  <si>
    <t>Amazonbasics Micro Usb Fast Charging Cable For Android Smartphone,Personal Computer,Printer With Gold Plated Connectors (6 Feet, Black)</t>
  </si>
  <si>
    <t>TP-Link AC600 600 Mbps WiFi Wireless Network USB Adapter for Desktop PC with 2.4GHz/5GHz High Gain Dual Band 5dBi Antenna Wi-Fi, Supports Windows 11/10/8.1/8/7/XP, Mac OS 10.15 and earlier (Archer T2U Plus)</t>
  </si>
  <si>
    <t>AmazonBasics Micro USB Fast Charging Cable for Android Phones with Gold Plated Connectors (3 Feet, Black)</t>
  </si>
  <si>
    <t>AmazonBasics New Release Nylon USB-A to Lightning Cable Cord, Fast Charging MFi Certified Charger for Apple iPhone, iPad (6-Ft, Rose Gold)</t>
  </si>
  <si>
    <t>VW 80 cm (32 inches) Frameless Series HD Ready LED TV VW32A (Black)</t>
  </si>
  <si>
    <t>Ambrane Unbreakable 3A Fast Charging Braided Type C Cable    1.5 Meter (RCT15, Blue) Supports QC 2.0/3.0 Charging</t>
  </si>
  <si>
    <t>Tata Sky Universal Remote</t>
  </si>
  <si>
    <t>TP-LINK WiFi Dongle 300 Mbps Mini Wireless Network USB Wi-Fi Adapter for PC Desktop Laptop(Supports Windows 11/10/8.1/8/7/XP, Mac OS 10.9-10.15 and Linux, WPS, Soft AP Mode, USB 2.0) (TL-WN823N),Black</t>
  </si>
  <si>
    <t>OnePlus 80 cm (32 inches) Y Series HD Ready Smart Android LED TV 32 Y1S (Black)</t>
  </si>
  <si>
    <t>Wecool Unbreakable 3 in 1 Charging Cable with 3A Speed, Fast Charging Multi Purpose Cable 1.25 Mtr Long, Type C cable, Micro Usb Cable and Cable for iPhone, White</t>
  </si>
  <si>
    <t>Portronics Konnect L 1.2Mtr, Fast Charging 3A Micro USB Cable with Charge &amp; Sync Function (Grey)</t>
  </si>
  <si>
    <t>Airtel DigitalTV DTH Television, Setup Box Remote Compatible for SD and HD Recording (Black)</t>
  </si>
  <si>
    <t>Samsung 108 cm (43 inches) Crystal 4K Neo Series Ultra HD Smart LED TV UA43AUE65AKXXL (Black)</t>
  </si>
  <si>
    <t>Lapster 1.5 mtr USB 2.0 Type A Male to USB A Male Cable for computer and laptop</t>
  </si>
  <si>
    <t>AmazonBasics USB Type-C to USB Type-C 2.0 Cable - 3 Feet Laptop (0.9 Meters) - White</t>
  </si>
  <si>
    <t>Redmi 80 cm (32 inches) Android 11 Series HD Ready Smart LED TV | L32M6-RA/L32M7-RA (Black)</t>
  </si>
  <si>
    <t>Amazon Basics High-Speed HDMI Cable, 6 Feet (2-Pack),Black</t>
  </si>
  <si>
    <t>Portronics Konnect L 20W PD Quick Charge Type-C to 8-Pin USB Mobile Charging Cable, 1.2M, Tangle Resistant, Fast Data Sync(Grey)</t>
  </si>
  <si>
    <t>Acer 80 cm (32 inches) N Series HD Ready TV AR32NSV53HD (Black)</t>
  </si>
  <si>
    <t>Model-P4 6 Way Swivel Tilt Wall Mount 32-55-inch Full Motion Cantilever for LED,LCD and Plasma TV's</t>
  </si>
  <si>
    <t>Amazon Basics USB Type-C to USB-A 2.0 Male Fast Charging Cable for Laptop - 3 Feet (0.9 Meters), Black</t>
  </si>
  <si>
    <t>oraimo 65W Type C to C Fast Charging Cable USB C to USB C Cable High Speed Syncing, Nylon Braided 1M length with LED Indicator Compatible For Laptop, Macbook, Samsung Galaxy S22 S20 S10 S20Fe S21 S21 Ultra A70 A51 A71 A50S M31 M51 M31S M53 5G</t>
  </si>
  <si>
    <t>CEDO 65W OnePlus Dash Warp Charge Cable, USB A to Type C Data Sync Fast Charging Cable Compatible with One Plus 3 /3T /5 /5T /6 /6T /7 /7T /7 pro &amp; for All Type C Devices - 1 Meter, Red</t>
  </si>
  <si>
    <t>Redmi 108 cm (43 inches) 4K Ultra HD Android Smart LED TV X43 | L43R7-7AIN (Black)</t>
  </si>
  <si>
    <t>Pinnaclz Original Combo of 2 Micro USB Fast Charging Cable, USB Charging Cable for Data Transfer Perfect for Android Smart Phones White 1.2 Meter Made in India (Pack of 2)</t>
  </si>
  <si>
    <t>boAt Type C A750 Stress Resistant, Tangle-free, Sturdy Flat Cable with 6.5A Fast Charging &amp; 480Mbps Data Transmission, 10000+ Bends Lifespan and Extended 1.5m Length(Rebellious Black)</t>
  </si>
  <si>
    <t>Ambrane 2 in 1 Type-C &amp; Micro USB Cable with 60W / 3A Fast Charging, 480 mbps High Data, PD Technology &amp; Quick Charge 3.0, Compatible with All Type-C &amp; Micro USB Devices (ABDC-10, Black)</t>
  </si>
  <si>
    <t>Ambrane 60W / 3A Fast Charging Output Cable with Type-C to USB for Mobile, Neckband, True Wireless Earphone Charging, 480mbps Data Sync Speed, 1m Length (ACT - AZ10, Black)</t>
  </si>
  <si>
    <t>TCL 80 cm (32 inches) HD Ready Certified Android Smart LED TV 32S5205 (Black)</t>
  </si>
  <si>
    <t>SWAPKART Fast Charging Cable and Data Sync USB Cable Compatible for iPhone 6/6S/7/7+/8/8+/10/11, 12, 13 Pro max iPad Air/Mini, iPod and iOS Devices (White)</t>
  </si>
  <si>
    <t>Firestick Remote</t>
  </si>
  <si>
    <t>Wayona Usb Nylon Braided Data Sync And Charging Cable For Iphone, Ipad Tablet (Red, Black)</t>
  </si>
  <si>
    <t>Flix (Beetel) Usb To Type C Pvc Data Sync And 2A 480Mbps Data Sync, Tough Fast Charging Long Cable For Usb Type C Devices, Charging Adapter (White, 1 Meter) - Xcd-C12</t>
  </si>
  <si>
    <t>SKYWALL 81.28 cm (32 inches) HD Ready Smart LED TV 32SWELS-PRO (Black)</t>
  </si>
  <si>
    <t>boAt A 350 Type C Cable for Smartphone, Charging Adapter (1.5m, Carbon Black)</t>
  </si>
  <si>
    <t>Wayona Usb Type C Fast Charger Cable Fast Charging Usb C Cable/Cord Compatible For Samsung Galaxy S10E S10 S9 S8 Plus S10+,Note 10 Note 9 Note 8,S20,M31S,M40,Realme X3,Pixel 2 Xl (3 Ft Pack Of 1,Grey)</t>
  </si>
  <si>
    <t>OnePlus 108 cm (43 inches) Y Series 4K Ultra HD Smart Android LED TV 43Y1S Pro (Black)</t>
  </si>
  <si>
    <t>Acer 127 cm (50 inches) I Series 4K Ultra HD Android Smart LED TV AR50AR2851UDFL (Black)</t>
  </si>
  <si>
    <t>Samsung 108 cm (43 inches) Crystal 4K Series Ultra HD Smart LED TV UA43AUE60AKLXL (Black)</t>
  </si>
  <si>
    <t>Lapster 65W compatible for OnePlus Dash Warp Charge Cable , type c to c cable fast charging Data Sync Cable Compatible with One Plus 10R / 9RT/ 9 pro/ 9R/ 8T/ 9/ Nord &amp; for All Type C Devices ‚Äì Red, 1 Meter</t>
  </si>
  <si>
    <t>Wayona Nylon Braided (2 Pack) Lightning Fast Usb Data Cable Fast Charger Cord For Iphone, Ipad Tablet (3 Ft Pack Of 2, Grey)</t>
  </si>
  <si>
    <t>Gizga Essentials USB WiFi Adapter for PC, 150 Mbps Wireless Network Adapter for Desktop - Nano Size WiFi Dongle Compatible with Windows, Mac OS &amp; Linux Kernel | WPA/WPA2 Encryption Standards| Black</t>
  </si>
  <si>
    <t>OnePlus 108 cm (43 inches) Y Series Full HD Smart Android LED TV 43 Y1S (Black)</t>
  </si>
  <si>
    <t>boAt Deuce USB 300 2 in 1 Type-C &amp; Micro USB Stress Resistant, Sturdy Cable with 3A Fast Charging &amp; 480mbps Data Transmission, 10000+ Bends Lifespan and Extended 1.5m Length(Mercurial Black)</t>
  </si>
  <si>
    <t>Lapster USB 3.0 A to Micro B SuperSpeed for hard disk cable - short cable</t>
  </si>
  <si>
    <t>TCL 100 cm (40 inches) Full HD Certified Android R Smart LED TV 40S6505 (Black)</t>
  </si>
  <si>
    <t>ZEBRONICS ZEB-USB150WF1 WiFi USB Mini Adapter Supports 150 Mbps Wireless Data, Comes with Advanced Security WPA/WPA2 encryption Standards</t>
  </si>
  <si>
    <t>LOHAYA Remote Compatible for Mi Smart LED TV 4A Remote Control (32"/43") [ Compatible for Mi Tv Remote Control ] [ Compatible for Mi Smart LED Tv Remote Control ]</t>
  </si>
  <si>
    <t>Gilary Multi Charging Cable, 3 in 1 Nylon Braided Fast Charging Cable for iPhone Micro USB Type C Mobile Phone | Colour May Vary |</t>
  </si>
  <si>
    <t>TP-Link UE300 USB 3.0 to RJ45 Gigabit Ethernet Network Adapter - Plug and Play</t>
  </si>
  <si>
    <t>Wayona Type C to Lightning MFI Certified 20W Fast charging Nylon Braided USB C Cable for iPhone 14, 14 Pro, 14 Pro Max, 14 Plus, 13, 13 Pro, 13 Pro Max, 13 Mini, 12, 12 Pro, 11, 11 Pro Max iPhone 12 Mini, X, 8 (2M, Grey)</t>
  </si>
  <si>
    <t>Dealfreez Case Compatible with Fire TV Stick 3rd Gen 2021 Full Wrap Silicone Remote Cover Anti-Lost with Loop (D-Black)</t>
  </si>
  <si>
    <t>Amazon Basics New Release Nylon USB-A to Lightning Cable Cord, Fast Charging MFi Certified Charger for Apple iPhone, iPad (3-Ft, Rose Gold)</t>
  </si>
  <si>
    <t>Isoelite Remote Compatible for Samsung LED/LCD Remote Control Works with All Samsung LED/LCD TV Model No :- BN59-607A (Please Match The Image with Your Old Remote)</t>
  </si>
  <si>
    <t>MI 100 cm (40 inches) 5A Series Full HD Smart Android LED TV with 24W Dolby Audio &amp; Metal Bezel-Less Frame (Black) (2022 Model)</t>
  </si>
  <si>
    <t>Wayona Nylon Braided USB Data Sync and Fast Charging 3A Short Power Bank Cable For iPhones, iPad Air, iPad mini, iPod Nano and iPod Touch (Grey)</t>
  </si>
  <si>
    <t>Wayona Type C To Type C Long Fast Charging Cable Type C Charger Cord Compatible With Samsung S22 S20 S20 Fe 2022 S22 Ultra S21 Ultra A70 A51 A53 A33 A73 M51 M31 M33 M53 (Grey, 2M, 65W, 6Ft)</t>
  </si>
  <si>
    <t>Wayona Nylon Braided 2M / 6Ft Fast Charge Usb To Lightning Data Sync And Charging Cable For Iphone, Ipad Tablet (6 Ft Pack Of 1, Grey)</t>
  </si>
  <si>
    <t>CROSSVOLT Compatible Dash/Warp Data Sync Fast Charging Cable Supported for All C Type Devices (Cable)</t>
  </si>
  <si>
    <t>VU 139 cm (55 inches) The GloLED Series 4K Smart LED Google TV 55GloLED (Grey)</t>
  </si>
  <si>
    <t>PTron Solero T241 2.4A Type-C Data &amp; Charging USB Cable, Made in India, 480Mbps Data Sync, Durable 1-Meter Long USB Cable for Type-C USB Devices for Charging Adapter (Black)</t>
  </si>
  <si>
    <t>Croma 80 cm (32 Inches) HD Ready LED TV (CREL7369, Black) (2021 Model)</t>
  </si>
  <si>
    <t>boAt Laptop, Smartphone Type-c A400 Male Data Cable (Carbon Black)</t>
  </si>
  <si>
    <t>LG 80 cm (32 inches) HD Ready Smart LED TV 32LQ576BPSA (Ceramic Black)</t>
  </si>
  <si>
    <t>boAt Type C A750 Stress Resistant, Tangle-free, Sturdy Flat Cable with 6.5A Fast Charging &amp; 480Mbps Data Transmission, 10000+ Bends Lifespan and Extended 1.5m Length(Radiant Red)</t>
  </si>
  <si>
    <t>Cotbolt Silicone Protective Case Cover for LG an MR21GA Magic Remote Shockproof for LG Smart TV Remote 2021 Protective Skin Waterproof Anti Lost (Black) (Remote Not Included)</t>
  </si>
  <si>
    <t>Portronics Konnect L POR-1403 Fast Charging 3A Type-C Cable 1.2 Meter with Charge &amp; Sync Function for All Type-C Devices (White)</t>
  </si>
  <si>
    <t>Electvision Remote Control Compatible with Amazon Fire tv Stick (Pairing Manual Will be Back Side Remote Control)(P)</t>
  </si>
  <si>
    <t>King Shine Multi Retractable 3.0A Fast Charger Cord, Multiple Charging Cable 4Ft/1.2m 3-in-1 USB Charge Cord Compatible with Phone/Type C/Micro USB for All Android and iOS Smartphones (Random Colour)</t>
  </si>
  <si>
    <t>Lapster 5 pin mini usb cable, usb b cable,camera cable usb2.0 for External HDDS/Card Readers/Camera etc.</t>
  </si>
  <si>
    <t>Portronics Konnect Spydr 31 3-in-1 Multi Functional Cable with 3.0A Output, Tangle Resistant, 1.2M Length, Nylon Braided(Zebra)</t>
  </si>
  <si>
    <t>Belkin Apple Certified Lightning To Type C Cable, Tough Unbreakable Braided Fast Charging For Iphone, Ipad, Air Pods, 3.3 Feet (1 Meters)    White</t>
  </si>
  <si>
    <t>Remote Control Compatible for Amazon Fire Tv Stick Remote Control [ 3rd Gen ](Not Compatible for Fire TV Edition Smart TV) from basesailor</t>
  </si>
  <si>
    <t>VW 80 cm (32 inches) Playwall Frameless Series HD Ready Android Smart LED TV VW3251 (Black)</t>
  </si>
  <si>
    <t>Hisense 108 cm (43 inches) 4K Ultra HD Smart Certified Android LED TV 43A6GE (Black)</t>
  </si>
  <si>
    <t>Redmi 126 cm (50 inches) 4K Ultra HD Android Smart LED TV X50 | L50M6-RA (Black)</t>
  </si>
  <si>
    <t>AmazonBasics 6-Feet DisplayPort (not USB port) to HDMI Cable Black</t>
  </si>
  <si>
    <t>AmazonBasics 3 Feet High Speed HDMI Male to Female 2.0 Extension Cable</t>
  </si>
  <si>
    <t>iFFALCON 80 cm (32 inches) HD Ready Smart LED TV¬†32F53 (Black)</t>
  </si>
  <si>
    <t>7SEVEN¬Æ Compatible Lg Smart Tv Remote Suitable for Any LG LED OLED LCD UHD Plasma Android Television and AKB75095303 replacement of Original Lg Tv Remote Control</t>
  </si>
  <si>
    <t>AmazonBasics 3.5mm to 2-Male RCA Adapter Cable For Tablet, Smartphone (Black, 15 feet)</t>
  </si>
  <si>
    <t>Acer 109 cm (43 inches) I Series 4K Ultra HD Android Smart LED TV AR43AR2851UDFL (Black)</t>
  </si>
  <si>
    <t>Wayona Usb Type C 65W 6Ft/2M Long Fast Charging Cable Compatible For Samsung S22 S20 Fe S21 Ultra A33 A53 A01 A73 A70 A51 M33 M53 M51 M31(2M, Black)</t>
  </si>
  <si>
    <t>Saifsmart Outlet Wall Mount Hanger Holder for Dot 3rd Gen, Compact Bracket Case Plug and Built-in Cable Management for Kitchen Bathroom, Bedroom (Black)</t>
  </si>
  <si>
    <t>MI 2-in-1 USB Type C Cable (Micro USB to Type C) 30cm for Smartphone, Headphone, Laptop (White)</t>
  </si>
  <si>
    <t>AmazonBasics New Release ABS USB-A to Lightning Cable Cord, Fast Charging MFi Certified Charger for Apple iPhone, iPad Tablet (3-Ft, White)</t>
  </si>
  <si>
    <t>LG 108 cm (43 inches) 4K Ultra HD Smart LED TV 43UQ7500PSF (Ceramic Black)</t>
  </si>
  <si>
    <t>pTron Solero 331 3.4Amps Multifunction Fast Charging Cable, 3-in-1 USB Cable Micro USB/Type-C/iOS, Made in India, Durable &amp; Strong &amp; Tangle-free 118cm in Length (Black)</t>
  </si>
  <si>
    <t>10k 8k 4k HDMI Cable, Certified 48Gbps 1ms Ultra High Speed HDMI 2.1 Cable 4k 120Hz 144Hz 2k 165Hz 8k 60Hz Dynamic HDR ARC eARC DTS:X Compatible for Mac Gaming PC Soundbar TV Monitor Laptop PS5 4 Xbox</t>
  </si>
  <si>
    <t>LRIPL Compatible Sony Bravia LCD/led Remote Works with Almost All Sony led/LCD tv's</t>
  </si>
  <si>
    <t>boAt Type-c A400 Type-c to USB A Cable for All Type C Phones (Lg nexus 5x), 1Mtr(Black)</t>
  </si>
  <si>
    <t>Zoul Type C to Type C Fast Charging Cable 65W 2M/6ft USB C Nylon Braided Cord Compatible with MacBook Oneplus 9 9R Samsung Galaxy S21 Ultra S20+ (2M, Black)</t>
  </si>
  <si>
    <t>TP-LINK AC1300 Archer T3U Plus High Gain USB 3.0 Wi-Fi Dongle, Wireless Dual Band MU-MIMO WiFi Adapter with High Gain Antenna, Supports Windows 11/10/8.1/8/7/XP/MacOS</t>
  </si>
  <si>
    <t>LRIPL Mi Remote Control with Netflix &amp; Prime Video Button Compatible for Mi 4X LED Android Smart TV 4A Remote Control (32"/43") with Voice Command (Pairing Required)</t>
  </si>
  <si>
    <t>TP-Link Nano USB WiFi Dongle 150Mbps High Gain Wireless Network Wi-Fi Adapter for PC Desktop and Laptops, Supports Windows 10/8.1/8/7/XP, Linux, Mac OS X (TL-WN722N)</t>
  </si>
  <si>
    <t>Kodak 80 cm (32 inches) HD Ready Certified Android LED TV 32HDX7XPRO (Black)</t>
  </si>
  <si>
    <t>Airtel DigitalTV DTH Remote SD/HD/HD Recording Compatible for Television (Shining Black )</t>
  </si>
  <si>
    <t>AmazonBasics New Release Nylon USB-A to Lightning Cable Cord, MFi Certified Charger for Apple iPhone, iPad, Silver, 6-Ft</t>
  </si>
  <si>
    <t>Ambrane Fast 100W Output Cable with Type-C to Type-C for Mobile, Laptop, Macbook &amp; Table Charging, 480mbps Data Sync Speed, Braided Cable, 1.5m Length (ABCC-100, Black-Grey)</t>
  </si>
  <si>
    <t>BlueRigger Digital Optical Audio Toslink Cable (3.3 Feet / 1 Meter) With 8 Channel (7.1) Audio Support (for Home Theatre, Xbox, Playstation etc.)</t>
  </si>
  <si>
    <t>Duracell Type-C To Micro 1.2M braided Sync &amp; Charge Cable, USB C to Micro Fast Charge Compatible for fast data transmission (Black)</t>
  </si>
  <si>
    <t>VU 138 cm (55 inches) Premium Series 4K Ultra HD Smart IPS LED TV 55UT (Black)</t>
  </si>
  <si>
    <t>Zoul USB Type C Fast Charging 3A Nylon Braided Data Cable Quick Charger Cable QC 3.0 for Samsung Galaxy M31s M30 S10 S9 S20 Plus, Note 10 9 8, A20e A40 A50 A70 (1M, Grey)</t>
  </si>
  <si>
    <t>Samsung 80 cm (32 inches) Wondertainment Series HD Ready LED Smart TV UA32TE40AAKBXL (Titan Gray)</t>
  </si>
  <si>
    <t>MI Xiaomi USB Type C HYperCharge Cable 6A 100cm Sturdy and Durable Black Supports 120W HyperCharging</t>
  </si>
  <si>
    <t>GENERIC Ultra-Mini Bluetooth CSR 4.0 USB Dongle Adapter for Windows Computer ( Black:Golden)</t>
  </si>
  <si>
    <t>7SEVEN¬Æ Compatible for Tata Sky Remote Original Set Top¬†HD Box and Suitable for SD Tata Play setup Box Remote Control</t>
  </si>
  <si>
    <t>Belkin Apple Certified Lightning To Type C Cable, Fast Charging For Iphone, Ipad, Air Pods, 3.3 Feet (1 Meters)    White</t>
  </si>
  <si>
    <t>EGate i9 Pro-Max 1080p Native Full HD Projector 4k Support | 3600 L (330 ANSI ) | 150" (381 cm) Large Screen | VGA, AV, HDMI, SD Card, USB, Audio Out | (E03i31 / E04i32) Black</t>
  </si>
  <si>
    <t>ZEBRONICS HAA2021 HDMI version 2.1 cable with 8K @ 60Hz, 4K @ 120Hz, eARC &amp; CEC support, 3D compatible, 2 meters length, 48Gbps max and Gold-plated connectors</t>
  </si>
  <si>
    <t>7SEVEN¬Æ Compatible for Sony Bravia LCD LED UHD OLED QLED 4K Ultra HD TV remote control with YouTube and NETFLIX Hotkeys. Universal Replacement for Original Sony Smart Android tv Remote Control</t>
  </si>
  <si>
    <t>AmazonBasics Digital Optical Coax to Analog RCA Audio Converter Adapter with Fiber Cable</t>
  </si>
  <si>
    <t>Wayona Type C Cable Nylon Braided USB C QC 3.0 Fast Charging Short Power Bank Cable for Samsung Galaxy S10e/S10+/S10/S9/S9+/Note 9/S8/Note 8, LG G7 G5 G6, Moto G6 G7 (0.25M, Black)</t>
  </si>
  <si>
    <t>Pinnaclz Original Combo of 2 USB Type C Fast Charging Cable, USB C Data Cable for Charging and Data Transfer Smart Phones White 1.2 Meter Made in India (Pack of 2)</t>
  </si>
  <si>
    <t>Ambrane BCL-15 Lightning Cable for Smartphone (1.5m Black)</t>
  </si>
  <si>
    <t>Belkin USB C to USB-C Fast Charging Type C Cable, 60W PD, 3.3 feet (1 meter) for Laptop, Personal Computer, Tablet, Smartphone - Black, USB-IF Certified</t>
  </si>
  <si>
    <t>LOHAYA Television Remote Compatible with Samsung Smart LED/LCD/HD TV Remote Control [ Compatible for All Samsung Tv Remote Control ]</t>
  </si>
  <si>
    <t>Wayona Nylon Braided Lightning USB Data Sync &amp; 3A Charging Cable for iPhones, iPad Air, iPad Mini, iPod Nano and iPod Touch (3 FT Pack of 1, Grey)</t>
  </si>
  <si>
    <t>Electvision Remote Control Compatible with Kodak/Thomson Smart led tv (Without Voice) Before Placing Order for verification Contact Our coustmer Care 7738090464</t>
  </si>
  <si>
    <t>Acer 80 cm (32 inches) S Series HD Ready Android Smart LED TV AR32AR2841HDSB (Black)</t>
  </si>
  <si>
    <t>realme 10W Fast Charging Micro-USB Cable (Braided, Black)</t>
  </si>
  <si>
    <t>TP-Link AC1300 USB WiFi Adapter (Archer T3U) - 2.4G/5G Dual Band Mini Wireless Network Adapter for PC Desktop, MU-MIMO Wi-Fi Dongle, USB 3.0, Supports Windows 11,10, 8.1, 8, 7, XP/Mac OS 10.15 and earlier</t>
  </si>
  <si>
    <t>Acer 139 cm (55 inches) I Series 4K Ultra HD Android Smart LED TV AR55AR2851UDFL (Black)</t>
  </si>
  <si>
    <t>Ambrane 60W / 3A Fast Charging Output Cable with Micro to USB for Mobile, Neckband, True Wireless Earphone Charging, 480mbps Data Sync Speed, 1m Length (ACM - AZ1, Black)</t>
  </si>
  <si>
    <t>Wayona USB Type C 65W Fast Charging 2M/6Ft Long Flash Charge Cable 3A QC 3.0 Data Cable Compatible with Samsung Galaxy S21 S10 S9 S8, iQOO Z3, Vivo, Note 10 9 8, A20e A40 A50 A70, Moto G7 G8 (2M, Grey)</t>
  </si>
  <si>
    <t>Syncwire LTG to USB Cable for Fast Charging Compatible with Phone 5/ 5C/ 5S/ 6/ 6S/ 7/8/ X/XR/XS Max/ 11/12/ 13 Series and Pad Air/Mini, Pod &amp; Other Devices (1.1 Meter, White)</t>
  </si>
  <si>
    <t>Skadioo WiFi Adapter for pc | Car Accessories, WiFi Dongle for pc | USB WiFi Adapter for pc | Wi-Fi Receiver 2.4GHz, 802.11b/g/n UNano Size WiFi Dongle Compatible Adapter,WiFi dongle for pc</t>
  </si>
  <si>
    <t>FLiX (Beetel USB to Type C PVC Data Sync &amp; 15W(3A) TPE Fast Charging Cable, Made in India, 480Mbps Data Sync, 1 Meter Long cable for all Andriod &amp; all Type C Devices (Black)(XCD - FPC02)</t>
  </si>
  <si>
    <t>Zoul USB C to USB C Fast Charging Cable 65W Type C to Type C Nylon Braided Cord Compatible with Macbook Oneplus 9 10R Samsung Galaxy S22 S21 Ultra Z Flip3 Macbook Air/Pro M1 Google Pixel 11'' iPad Pro 2020/2018 (2M, Grey)</t>
  </si>
  <si>
    <t>FLiX (Beetel Flow USB to Micro USB PVC Data Sync &amp; 12W(2.4A) Fast Charging Cable,Made in India,480Mbps Data Sync,Solid Cable,1 Meter Long cable for all Andriod &amp; Micro USB Devices (Black)(XCD-FPM01)</t>
  </si>
  <si>
    <t>7SEVEN¬Æ Bluetooth Voice Command Remote for Xiaomi Redmi Mi Smart TV with Netflix &amp; Prime Video Hot Keys XMRM-00A</t>
  </si>
  <si>
    <t>Sony TV - Remote Compatible for Sony LED Remote Control Works with Sony LED TV by Trend Trail Speed tech &amp; Remote hi Remote &amp; REO India only</t>
  </si>
  <si>
    <t>Storite USB 3.0 Cable A to Micro B high Speed Upto 5 Gbps Data Transfer Cable for Portable External Hard Drive - (20cm), Black</t>
  </si>
  <si>
    <t>boAt LTG 500 Apple MFI Certified for iPhone, iPad and iPod 2Mtr Data Cable(Space Grey)</t>
  </si>
  <si>
    <t>AmazonBasics USB C to Lightning Aluminum with Nylon Braided MFi Certified Charging Cable (Grey, 1.2 meter)</t>
  </si>
  <si>
    <t>AmazonBasics Double Braided Nylon USB Type-C to Type-C 2.0 Cable Smartphone (Dark Grey, 3 feet)</t>
  </si>
  <si>
    <t>Amazon Basics USB 3.0 Cable - A Male to Micro B - 6 Feet (1.8 Meters), Black</t>
  </si>
  <si>
    <t>AmazonBasics USB C to Lightning Aluminum with Nylon Braided MFi Certified Charging Cable (Grey, 1.8 meter)</t>
  </si>
  <si>
    <t>Wayona Usb C 65W Fast Charging Cable Compatible For Tablets Samsung S22 S20 S10 S20Fe S21 S21 Ultra A70 A51 A71 A50S M31 M51 M31S M53 5G (1M, Black)</t>
  </si>
  <si>
    <t>Karbonn 80 cm (32 inches) Millenium Bezel-Less Series HD Ready Smart LED TV KJW32SKHD (Phantom Black)</t>
  </si>
  <si>
    <t>BlueRigger Digital Optical Audio Toslink Cable (6 Feet / 1.8 Meter) With 8 Channel (7.1) Audio Support (for Home Theatre, Xbox, Playstation etc.)</t>
  </si>
  <si>
    <t>VW 60 cm (24 inches) Premium Series HD Ready LED TV VW24A (Black)</t>
  </si>
  <si>
    <t>Amazon Basics USB A to Lightning MFi Certified Charging Cable (White, 1.2 meter)</t>
  </si>
  <si>
    <t>Samsung 138 cm (55 inches) Crystal 4K Neo Series Ultra HD Smart LED TV UA55AUE65AKXXL (Black)</t>
  </si>
  <si>
    <t>LOHAYA Television Remote Compatible for VU LED LCD HD Tv Remote Control Model No :- EN2B27V</t>
  </si>
  <si>
    <t>Duracell Micro USB 3A Braided Sync &amp; Fast Charging Cable, 3.9 Feet (1.2M). Supports QC 2.0/3.0 Charging, High Speed Data Transmission - Black</t>
  </si>
  <si>
    <t>Zebronics CU3100V Fast charging Type C cable with QC 18W support, 3A max capacity, 1 meter braided cable, Data transfer and Superior durability (Braided Black + White)</t>
  </si>
  <si>
    <t>FLiX (Beetel) USB to iPhone Lightning Textured Pattern Data Sync &amp; 2A Fast Charging Cable, Made in India, 480Mbps Data Sync, Tough Cable, 1 Meter Long USB Cable for Apple Devices (Black)(XCD-L102)</t>
  </si>
  <si>
    <t>MI 108 cm (43 inches) 5A Series Full HD Smart Android LED TV L43M7-EAIN (Black)</t>
  </si>
  <si>
    <t>Belkin Apple Certified Lightning to USB Charge and Sync Cable for iPhone, iPad, Air Pods, 39.6 inch (100cm) ‚Äì Black</t>
  </si>
  <si>
    <t>Time Office Scanner Replacement Cable for Startek FM220U (Type C) Ivory</t>
  </si>
  <si>
    <t>Caldipree Silicone Case Cover Compatible for 2022 Samsung Smart TV Remote QLED TV BN68-13897A TM2280E (2022-BLACK)</t>
  </si>
  <si>
    <t>Storite USB 2.0 A to Mini 5 pin B Cable for External HDDS/Camera/Card Readers 35cm</t>
  </si>
  <si>
    <t>Universal Remote Control for All Sony TV for All LCD LED and Bravia TVs Remote</t>
  </si>
  <si>
    <t>Cotbolt Silicone Case Cover Compatible for Samsung BN59-01312A QLED 8K 4K Smart TV Remote Shockproof Protective Remote Cover (Black)</t>
  </si>
  <si>
    <t>BlueRigger High Speed HDMI Cable with Ethernet - Supports 3D, 4K 60Hz and Audio Return - Latest Version (3 Feet / 0.9 Meter)</t>
  </si>
  <si>
    <t>Amkette 30 Pin to USB Charging &amp; Data Sync Cable for iPhone 3G/3GS/4/4s/iPad 1/2/3, iPod Nano 5th/6th Gen and iPod Touch 3rd/4th Gen -1.5m (Black)</t>
  </si>
  <si>
    <t>TCL 80 cm (32 inches) HD Ready Certified Android Smart LED TV 32S615 (Black)</t>
  </si>
  <si>
    <t>POPIO Type C Dash Charging USB Data Cable for OnePlus Devices</t>
  </si>
  <si>
    <t>MYVN LTG to USB for¬†Fast Charging &amp; Data Sync USB Cable Compatible for iPhone 5/5s/6/6S/7/7+/8/8+/10/11, iPad Air/Mini, iPod and iOS Devices (1 M)</t>
  </si>
  <si>
    <t>Tata Sky Universal Remote Compatible for SD/HD</t>
  </si>
  <si>
    <t>WZATCO Pixel | Portable LED Projector | Native 720p with Full HD 1080P Support | 2000 Lumens (200 ANSI) | 176" Large Screen | Projector for Home and Outdoor | Compatible with TV Stick, PC, PS4</t>
  </si>
  <si>
    <t>7SEVEN¬Æ Compatible Tata Sky Remote Control Replacement of Original dth SD HD tata Play Set top Box Remote - IR Learning Universal Remote for Any Brand TV - Pairing Must</t>
  </si>
  <si>
    <t>AmazonBasics USB 2.0 Extension Cable for Personal Computer, Printer, 2-Pack - A-Male to A-Female - 3.3 Feet (1 Meter, Black)</t>
  </si>
  <si>
    <t>Amazon Basics USB C to Lightning TPE MFi Certified Charging Cable (White, 1.2 meter)</t>
  </si>
  <si>
    <t>Crypo‚Ñ¢ Universal Remote Compatible with Tata Sky Universal HD &amp; SD Set top Box (Also Works with All TV)</t>
  </si>
  <si>
    <t>Karbonn 80 cm (32 Inches) Millennium Series HD Ready LED TV KJW32NSHDF (Phantom Black) with Bezel-Less Design</t>
  </si>
  <si>
    <t>OnePlus 138.7 cm (55 inches) U Series 4K LED Smart Android TV 55U1S (Black)</t>
  </si>
  <si>
    <t>Posh 1.5 Meter High Speed Gold Plated HDMI Male to Female Extension Cable (Black)</t>
  </si>
  <si>
    <t>Amazon Basics HDMI Coupler,Black</t>
  </si>
  <si>
    <t>boAt LTG 550v3 Lightning Apple MFi Certified Cable with Spaceship Grade Aluminium Housing,Stress Resistance, Rapid 2.4A Charging &amp; 480mbps Data Sync, 1m Length &amp; 10000+ Bends Lifespan(Mercurial Black)</t>
  </si>
  <si>
    <t>Wayona Nylon Braided Usb Syncing And Charging Cable Sync And Charging Cable For Iphone, Ipad (3 Ft, Black) - Pack Of 2</t>
  </si>
  <si>
    <t>Astigo Compatible Remote for Airtel Digital Set Top Box (Pairing Required with TV Remote)</t>
  </si>
  <si>
    <t>Caprigo Heavy Duty TV Wall Mount Stand for 12 to 27 inches LED/LCD/Monitor Screen's, Full Motion Rotatable Universal TV &amp; Monitor Wall Mount Bracket with Swivel &amp; Tilt Adjustments (Single Arm - M416)</t>
  </si>
  <si>
    <t>Portronics Konnect L 60W PD Type C to Type C Mobile Charging Cable, 1.2M, Fast Data Sync, Tangle Resistant, TPE+Nylon Braided(Grey)</t>
  </si>
  <si>
    <t>TATA SKY HD Connection with 1 month basic package and free installation</t>
  </si>
  <si>
    <t>Remote Compatible for Samsung LED/LCD Remote Control Works with Samsung LED/LCD TV by Trend Trail</t>
  </si>
  <si>
    <t>SoniVision SA-D10 SA-D100 SA-D40 Home Theater Systems Remote Compatible with Sony RM-ANU156</t>
  </si>
  <si>
    <t>Rts‚Ñ¢ High Speed 3D Full HD 1080p Support (10 Meters) HDMI Male to HDMI Male Cable TV Lead 1.4V for All Hdmi Devices- Black (10M - 30 FEET)</t>
  </si>
  <si>
    <t>boAt LTG 500 Apple MFI Certified for iPhone, iPad and iPod 2Mtr Data Cable(Metallic Silver)</t>
  </si>
  <si>
    <t>Agaro Blaze USBA to micro +Type C 2in1 Braided 1.2M Cable</t>
  </si>
  <si>
    <t>AmazonBasics 6 Feet DisplayPort to DisplayPort Cable - (Not HDMI Cable) (Gold)</t>
  </si>
  <si>
    <t>MI 108 cm (43 inches) 5X Series 4K Ultra HD LED Smart Android TV L43M6-ES (Grey)</t>
  </si>
  <si>
    <t>Sansui 140cm (55 inches) 4K Ultra HD Certified Android LED TV with Dolby Audio &amp; Dolby Vision JSW55ASUHD (Mystique Black)</t>
  </si>
  <si>
    <t>LOHAYA LCD/LED Remote Compatible for Sony Bravia Smart LCD LED UHD OLED QLED 4K Ultra HD TV Remote Control with YouTube &amp; Netflix Function [ Compatible for Sony Tv Remote Control ]</t>
  </si>
  <si>
    <t>Zebronics CU3100V Fast charging Type C cable with QC 18W support, 3A max capacity, 1 meter braided cable, Data transfer and Superior durability (Braided Black )</t>
  </si>
  <si>
    <t>Belkin USB C to USB-C Fast Charging Type C Cable, 60W PD, 3.3 feet (1 meter) for Laptop, Personal Computer, Tablet, Smartphone - White, USB-IF Certified</t>
  </si>
  <si>
    <t>7SEVEN¬Æ TCL Remote Control Smart TV RC802V Remote Compatible for TCL TV Remote Original 55EP680 40A325 49S6500 55P8S 55P8 50P8 65P8 40S6500 43S6500FS 49S6800FS 49S6800 49S6510FS(Without Voice Function/Google Assistant and Non-Bluetooth remote)</t>
  </si>
  <si>
    <t>Wayona 3in1 Nylon Braided 66W USB Fast Charging Cable with Type C, Lightening and Micro USB Port, Compatible with iPhone, iPad, Samsung Galaxy, OnePlus, Mi, Oppo, Vivo, iQOO, Xiaomi (1M, Black)</t>
  </si>
  <si>
    <t>Hi-Mobiler iPhone Charger Lightning Cable,2 Pack Apple MFi Certified USB iPhone Fast Chargering Cord,Data Sync Transfer for 13/12/11 Pro Max Xs X XR 8 7 6 5 5s iPad iPod More Model Cell Phone Cables</t>
  </si>
  <si>
    <t>Amazon Basics 16-Gauge Speaker Wire - 50 Feet</t>
  </si>
  <si>
    <t>Ambrane 60W / 3A Fast Charging Output Cable with Type-C to USB for Mobile, Neckband, True Wireless Earphone Charging, 480mbps Data Sync Speed, 1m Length (ACT - AZ10, White)</t>
  </si>
  <si>
    <t>Wayona Usb Type C To Usb Nylon Braided Quick Charger Fast Charging Short Cable For Smartphone (Samsung Galaxy S21/S20/S10/S9/S9+/Note 9/S8/Note 8, Lg G7 G5 G6, Moto G6 G7) (0.25M,Grey)</t>
  </si>
  <si>
    <t>Caprigo Heavy Duty TV Wall Mount Bracket for 14 to 32 Inch LED/HD/Smart TV‚Äôs, Universal Fixed TV Wall Mount Stand (M452)</t>
  </si>
  <si>
    <t>Smashtronics¬Æ - Case for Firetv Remote, Fire Stick Remote Cover Case, Silicone Cover for TV Firestick 4K/TV 2nd Gen(3rd Gen) Remote Control - Light Weight/Anti Slip/Shockproof (Black)</t>
  </si>
  <si>
    <t>Electvision Remote Control for led Smart tv Compatible with VU Smart Led (Without Voice)</t>
  </si>
  <si>
    <t>Boat A 350 Type C Cable 1.5m(Jet Black)</t>
  </si>
  <si>
    <t>pTron Solero M241 2.4A Micro USB Data &amp; Charging Cable, Made in India, 480Mbps Data Sync, Durable 1-Meter Long USB Cable for Micro USB Devices (White)</t>
  </si>
  <si>
    <t>AmazonBasics USB Type-C to USB Type-C 2.0 Cable for Charging Adapter, Smartphone - 9 Feet (2.7 Meters) - White</t>
  </si>
  <si>
    <t>Croma 3A Fast charge 1m Type-C to All Type-C Phones sync and charge cable, Made in India, 480Mbps Data transfer rate, Tested Durability with 8000+ bends (12 months warranty) - CRCMA0106sTC10, Black</t>
  </si>
  <si>
    <t>Sony Bravia 164 cm (65 inches) 4K Ultra HD Smart LED Google TV KD-65X74K (Black)</t>
  </si>
  <si>
    <t>7SEVEN¬Æ Compatible for Mi tv Remote Control Original Suitable with Smart Android 4K LED Non Voice Command Xiaomi Redmi Remote of 4A Model 32 43 55 65 inches</t>
  </si>
  <si>
    <t>7SEVEN¬Æ Compatible Vu Smart Tv Remote Control Suitable for Original 4K Android LED Ultra HD UHD Vu Tv Remote with Non Voice Feature without google assistant</t>
  </si>
  <si>
    <t>Storite High Speed Micro USB 3.0 Cable A to Micro B for External &amp; Desktop Hard Drives 45cm</t>
  </si>
  <si>
    <t>FLiX (Beetel) 3in1 (Type C|Micro|Iphone Lightening) Textured Pattern 3A Fast Charging Cable with QC &amp; PD Support for Type C,Micro USB &amp; Lightning Iphone Cable,Made in India,1.5 Meter Long Cable(T101)</t>
  </si>
  <si>
    <t>SVM Products Unbreakable Set Top Box Stand with Dual Remote Holder (Black)</t>
  </si>
  <si>
    <t>VU 164 cm (65 inches) The GloLED Series 4K Smart LED Google TV 65GloLED (Grey)</t>
  </si>
  <si>
    <t>CableCreation RCA to 3.5mm Male Audio Cable, 3.5mm to 2RCA Cable Male RCA Cable,Y Splitter Stereo Jack Cable for Home Theater,Subwoofer, Receiver, Speakers and More (3Feet/0.9Meter,Black)</t>
  </si>
  <si>
    <t>Wayona USB Type C Fast Charging Cable Charger Cord 3A QC 3.0 Data Cable Compatible with Samsung Galaxy S10e S10 S9 S8 S20 Plus, Note 10 9 8, M51 A40 A50 A70, Moto G7 G8 (1M, Grey)</t>
  </si>
  <si>
    <t>boAt Rugged V3 Braided Micro USB Cable (Pearl White)</t>
  </si>
  <si>
    <t>Amazon Basics USB A to Lightning PVC Molded Nylon MFi Certified Charging Cable (Black, 1.2 meter)</t>
  </si>
  <si>
    <t>AmazonBasics - High-Speed Male to Female HDMI Extension Cable - 6 Feet</t>
  </si>
  <si>
    <t>Wayona Nylon Braided Usb Type C 3Ft 1M 3A Fast Charger Cable For Samsung Galaxy S9 S8 (Wc3Cb1, Black)</t>
  </si>
  <si>
    <t>Belkin Apple Certified Lightning to USB Charge and Sync Tough Braided Cable for iPhone, iPad, Air Pods, 3.3 feet (1 meters) ‚Äì Black</t>
  </si>
  <si>
    <t>7SEVEN Compatible LG TV Remote Suitable for LG Non Magic Smart tv Remote Control (Mouse &amp; Voice Non-Support) MR20GA Prime Video and Netflix Hotkeys</t>
  </si>
  <si>
    <t>Realme Smart TV Stick 4K</t>
  </si>
  <si>
    <t>Acer 100 cm (40 inches) P Series Full HD Android Smart LED TV AR40AR2841FDFL (Black)</t>
  </si>
  <si>
    <t>Lapster usb 2.0 mantra cable, mantra mfs 100 data cable (black)</t>
  </si>
  <si>
    <t>AmazonBasics High-Speed Braided HDMI Cable - 3 Feet - Supports Ethernet, 3D, 4K and Audio Return (Black)</t>
  </si>
  <si>
    <t>Cubetek 3 in 1 LCD Display V5.0 Bluetooth Transmitter Receiver, Bypass Audio Adapter with Aux, Optical, Dual Link Support for TV, Home Stereo, PC, Headphones, Speakers, Model: CB-BT27</t>
  </si>
  <si>
    <t>KRISONS Thunder Speaker, Multimedia Home Theatre, Floor Standing Speaker, LED Display with Bluetooth, FM, USB, Micro SD Card, AUX Connectivity</t>
  </si>
  <si>
    <t>Acer 139 cm (55 inches) H Series 4K Ultra HD Android Smart LED TV AR55AR2851UDPRO (Black)</t>
  </si>
  <si>
    <t>Dealfreez Case Compatible for Fire TV Stick 4K All Alexa Voice Remote Shockproof Silicone Anti-Lost Cover with Loop (C-Black)</t>
  </si>
  <si>
    <t>Wayona Type C to Lightning MFI Certified 20W Fast charging Nylon Braided USB C Cable for iPhone 14 Pro, 14 Pro Max, 14, 14 Plus, 13, 13 Pro, 13 Pro Max, 13 Mini, 12, 12 Pro, 11, 11 Pro Max, iPhone 12 Mini (2M, Black)</t>
  </si>
  <si>
    <t>VW 80 cm (32 inches) HD Ready Android Smart LED TV VW32PRO (Black)</t>
  </si>
  <si>
    <t>Airtel Digital TV HD Set Top Box with 1 Month Basic Pack with Recording + Free Standard Installation</t>
  </si>
  <si>
    <t>LOHAYA Voice Assistant Remote Compatible for Airtel Xstream Set-Top Box Remote Control with Netflix Function (Black) (Non - Voice)</t>
  </si>
  <si>
    <t>Samsung 138 cm (55 inches) Crystal 4K Series Ultra HD Smart LED TV UA55AUE60AKLXL (Black)</t>
  </si>
  <si>
    <t>Amazon Brand - Solimo 3A Fast Charging Tough Type C USB Data Cable¬† ‚Äì 1 Meter</t>
  </si>
  <si>
    <t>Mi 100 cm (40 inches) Horizon Edition Full HD Android LED TV 4A | L40M6-EI (Black)</t>
  </si>
  <si>
    <t>Astigo Compatible Remote Control for Mi Smart LED 4A (43"/32")</t>
  </si>
  <si>
    <t>Toshiba 108 cm (43 inches) V Series Full HD Smart Android LED TV 43V35KP (Silver)</t>
  </si>
  <si>
    <t>Lenovo USB A to Type-C Tangle-free¬†¬†Aramid fiber braided¬†1.2m cable with 4A Fast charging &amp; 480 MBPS data transmission, certified 10000+ bend lifespan, Metallic Grey</t>
  </si>
  <si>
    <t>Amazon Brand - Solimo 65W Fast Charging Braided Type C to C Data Cable | Suitable For All Supported Mobile Phones (1 Meter, Black)</t>
  </si>
  <si>
    <t>LG 139 cm (55 inches) 4K Ultra HD Smart LED TV 55UQ7500PSF (Ceramic Black)</t>
  </si>
  <si>
    <t>Tata Sky Digital TV HD Setup Box Remote</t>
  </si>
  <si>
    <t>pTron Solero T241 2.4A Type-C Data &amp; Charging USB Cable, Made in India, 480Mbps Data Sync, Durable 1-Meter Long USB Cable for Smartphone, Type-C USB Devices (White)</t>
  </si>
  <si>
    <t>VU 108 cm (43 inches) Premium Series Full HD Smart LED TV 43GA (Black)</t>
  </si>
  <si>
    <t>Storite Super Speed USB 3.0 Male to Male Cable for Hard Drive Enclosures, Laptop Cooling Pad, DVD Players(60cm,Black)</t>
  </si>
  <si>
    <t>Kodak 80 cm (32 Inches) HD Ready LED TV Kodak 32HDX900S (Black)</t>
  </si>
  <si>
    <t>AmazonBasics Double Braided Nylon USB Type-C to Type-C 2.0 Cable, Charging Adapter, Smartphone 6 feet, Dark Grey</t>
  </si>
  <si>
    <t>AmazonBasics 10.2 Gbps High-Speed 4K HDMI Cable with Braided Cord (10-Foot, Dark Grey)</t>
  </si>
  <si>
    <t>Hisense 126 cm (50 inches) Bezelless Series 4K Ultra HD Smart LED Google TV 50A6H (Black)</t>
  </si>
  <si>
    <t>Tuarso 8K HDMI 2.1 Cable 48Gbps , 1.5 Meter High-Speed Braided HDMI Cable ( 8K@60HZ„ÄÅ4K@120HZ„ÄÅ2K@240HZ ) HDMI 2.1 Cable Compatible with Monitors , Television , Laptops , Projectors , Game Consoles and more with HDMI Ports Device</t>
  </si>
  <si>
    <t>AmazonBasics USB Type-C to Micro-B 2.0 Cable - 6 Inches (15.2 Centimeters) - White</t>
  </si>
  <si>
    <t>Kodak 139 cm (55 inches) 4K Ultra HD Smart LED TV 55CA0909 (Black)</t>
  </si>
  <si>
    <t>7SEVEN¬Æ Suitable Sony Tv Remote Original Bravia for Smart Android Television Compatible for Any Model of LCD LED OLED UHD 4K Universal Sony Remote Control</t>
  </si>
  <si>
    <t>PROLEGEND¬Æ PL-T002 Universal TV Stand Table Top for Most 22 to 65 inch LCD Flat Screen TV, VESA up to 800 by 400mm</t>
  </si>
  <si>
    <t>WANBO X1 Pro (Upgraded) | Native 1080P Full HD | Android 9 | Projector for Home | LED Cinema | 350ANSI | 3900 lumens | WiFi Bluetooth | HDMI ARC | Dolby DTS | 4D Keystone Correction (Global Version)</t>
  </si>
  <si>
    <t>Lava Charging Adapter Elements D3 2A Fast Charging Speed Usb Type C Data Cable, White</t>
  </si>
  <si>
    <t>TIZUM High Speed HDMI Cable Aura -Gold Plated-High Speed Data 10.2Gbps, 3D, 4K, HD 1080P (10 Ft/ 3 M)</t>
  </si>
  <si>
    <t>Technotech High Speed HDMI Cable 5 Meter V1.4 - Supports Full HD 1080p (Color May Vary)</t>
  </si>
  <si>
    <t>NK STAR 950 Mbps USB WiFi Adapter Wireless Network Receiver Dongle for Desktop Laptop, (Support- Windows XP/7/8/10 &amp; MAC OS) NOt Support to DVR and HDTV</t>
  </si>
  <si>
    <t>LS LAPSTER Quality Assured USB 2.0 morpho cable, morpho device cable for Mso 1300 E3/E2/E Biometric Finger Print Scanner morpho USB cable (Black)</t>
  </si>
  <si>
    <t>Amazon Basics 10.2 Gbps High-Speed 4K HDMI Cable with Braided Cord, 1.8 Meter, Dark Grey</t>
  </si>
  <si>
    <t>Kodak 126 cm (50 inches) Bezel-Less Design Series 4K Ultra HD Smart Android LED TV 50UHDX7XPROBL (Black)</t>
  </si>
  <si>
    <t>ZORBES¬Æ Wall Adapter Holder for Alexa Echo Dot 4th Generation,A Space-Saving Solution with Cord Management for Your Smart Home Speakers -White (Holder Only)</t>
  </si>
  <si>
    <t>Sansui 80cm (32 inches) HD Ready Smart LED TV JSY32SKHD (BLACK) With Bezel-less Design</t>
  </si>
  <si>
    <t>Synqe USB Type C Fast Charging Cable 2M Charger Cord Data Cable Compatible with Samsung Galaxy M51,Galaxy M31S, S10e S10 S9 S20 Plus, Note10 9 8,M40 A50 A70, Redmi Note 9, Moto G7, Poco F1 (2M, Grey)</t>
  </si>
  <si>
    <t>MI 80 cm (32 inches) HD Ready Smart Android LED TV 5A Pro | L32M7-EAIN (Black)</t>
  </si>
  <si>
    <t>Bestor ¬Æ 8K Hdmi 2.1 Cable 48Gbps 9.80Ft/Ultra High Speed Hdmi Braided Cord For Roku Tv/Ps5/Hdtv/Blu-Ray Projector, Laptop, Television, Personal Computer, Xbox, Ps4, Ps5, Ps4 Pro (1 M, Grey)</t>
  </si>
  <si>
    <t>Irusu Play VR Plus Virtual Reality Headset with Headphones for Gaming (Black)</t>
  </si>
  <si>
    <t>Amazon Brand - Solimo Fast Charging Braided Type C Data Cable Seam, Suitable For All Supported Mobile Phones (1 Meter, Black)</t>
  </si>
  <si>
    <t>Synqe USB C to USB C 60W Nylon Braided Fast Charging Type C to Type C Cable Compatible with Samsung Galaxy Note 20/Ultra, S20 S22 S21 S20 FE A73 A53 A33 (2M, Black)</t>
  </si>
  <si>
    <t>Shopoflux Silicone Remote Cover for Mi Smart TV and Mi TV Stick/MI Box S / 3S / MI 4X / 4A Smart LED TV (Black)</t>
  </si>
  <si>
    <t>EYNK Extra Long Micro USB Fast Charging USB Cable | Micro USB Data Cable | Quick Fast Charging Cable | Charger Sync Cable | High Speed Transfer Android Smartphones V8 Cable (2.4 Amp, 3m,) (White)</t>
  </si>
  <si>
    <t>LUNAGARIYA¬Æ, Protective Case Compatible with JIO Settop Box Remote Control,PU Leather Cover Holder (Before Placing Order,Please Compare The Dimensions of The Product with Your Remote)</t>
  </si>
  <si>
    <t>7SEVEN¬Æ Compatible with Fire Tv Stick Remote with Voice Command Feature Suitable for Second Generation Amazon Fire Tv Stick Remote Only - Pairing Must</t>
  </si>
  <si>
    <t>PRUSHTI COVER AND BAGS, Protective Case for Airtel Xstream settop Box Remote Remote Control Pouch Cover Holder PU Leather Cover Holder(only Cover for Selling Purpose)</t>
  </si>
  <si>
    <t>Aine HDMI Male to VGA Female Video Converter Adapter Cable (Black)</t>
  </si>
  <si>
    <t>Mi 80 cm (32 inches) HD Ready Android Smart LED TV 4A PRO | L32M5-AL (Black)</t>
  </si>
  <si>
    <t>Storite USB 2.0 A to Mini 5 pin B Cable for External HDDS/Camera/Card Readers (150cm - 1.5M)</t>
  </si>
  <si>
    <t>TCL 108 cm (43 inches) 4K Ultra HD Certified Android Smart LED TV 43P615 (Black)</t>
  </si>
  <si>
    <t>REDTECH USB-C to Lightning Cable 3.3FT, [Apple MFi Certified] Lightning to Type C Fast Charging Cord Compatible with iPhone 14/13/13 pro/Max/12/11/X/XS/XR/8, Supports Power Delivery - White</t>
  </si>
  <si>
    <t>OnePlus 163.8 cm (65 inches) U Series 4K LED Smart Android TV 65U1S (Black)</t>
  </si>
  <si>
    <t>AmazonBasics 108 cm (43 inches) 4K Ultra HD Smart LED Fire TV AB43U20PS (Black)</t>
  </si>
  <si>
    <t>Kodak 80 cm (32 inches) HD Ready Certified Android Smart LED TV 32HDX7XPROBL (Black)</t>
  </si>
  <si>
    <t>Synqe Type C to Type C Short Fast Charging 60W Cable Compatible with Samsung Galaxy Z Fold3 5G, Z Flip3 5G, S22 5G, S22 Ultra, S21, S20, S20FE, A52, A73, A53 (0.25M, Black)</t>
  </si>
  <si>
    <t>Airtel DigitalTV HD Setup Box Remote</t>
  </si>
  <si>
    <t>Airtel Digital TV HD Set Top Box with FTA Pack | Unlimited Entertainment + Recording Feature + Free Standard Installation (6 Months Pack)</t>
  </si>
  <si>
    <t>ESR USB C to Lightning Cable, 10 ft (3 m), MFi-Certified, Braided Nylon Power Delivery Fast Charging for iPhone 14/14 Plus/14 Pro/14 Pro Max, iPhone 13/12/11/X/8 Series, Use with Type-C Chargers, Black</t>
  </si>
  <si>
    <t>MI 138.8 cm (55 inches) 5X Series 4K Ultra HD LED Smart Android TV L55M6-ES (Grey)</t>
  </si>
  <si>
    <t>Storite USB Extension Cable USB 3.0 Male to Female Extension Cable High Speed 5GBps Extension Cable Data Transfer for Keyboard, Mouse, Flash Drive, Hard Drive, Printer and More- 1.5M - Blue</t>
  </si>
  <si>
    <t>Fire-Boltt Ninja Call Pro Plus 1.83" Smart Watch with Bluetooth Calling, AI Voice Assistance, 100 Sports Modes IP67 Rating, 240*280 Pixel High Resolution</t>
  </si>
  <si>
    <t>Fire-Boltt Phoenix Smart Watch with Bluetooth Calling 1.3",120+ Sports Modes, 240*240 PX High Res with SpO2, Heart Rate Monitoring &amp; IP67 Rating</t>
  </si>
  <si>
    <t>boAt Wave Call Smart Watch, Smart Talk with Advanced Dedicated Bluetooth Calling Chip, 1.69‚Äù HD Display with 550 NITS &amp; 70% Color Gamut, 150+ Watch Faces, Multi-Sport Modes,HR,SpO2, IP68(Active Black)</t>
  </si>
  <si>
    <t>MI Power Bank 3i 20000mAh Lithium Polymer 18W Fast Power Delivery Charging | Input- Type C | Micro USB| Triple Output | Sandstone Black</t>
  </si>
  <si>
    <t>Redmi A1 (Light Blue, 2GB RAM, 32GB Storage) | Segment Best AI Dual Cam | 5000mAh Battery | Leather Texture Design | Android 12</t>
  </si>
  <si>
    <t>OnePlus Nord 2T 5G (Jade Fog, 8GB RAM, 128GB Storage)</t>
  </si>
  <si>
    <t>OnePlus Nord 2T 5G (Gray Shadow, 8GB RAM, 128GB Storage)</t>
  </si>
  <si>
    <t>Redmi A1 (Black, 2GB RAM, 32GB Storage) | Segment Best AI Dual Cam | 5000mAh Battery | Leather Texture Design | Android 12</t>
  </si>
  <si>
    <t>Redmi A1 (Light Green, 2GB RAM 32GB ROM) | Segment Best AI Dual Cam | 5000mAh Battery | Leather Texture Design | Android 12</t>
  </si>
  <si>
    <t>SanDisk Ultra¬Æ microSDXC‚Ñ¢ UHS-I Card, 64GB, 140MB/s R, 10 Y Warranty, for Smartphones</t>
  </si>
  <si>
    <t>Noise Pulse Go Buzz Smart Watch Bluetooth Calling with 1.69" Display, 550 NITS, 150+ Cloud Watch Face, SPo2, Heart Rate Tracking, 100 Sports Mode with Auto Detection, Longer Battery (Jet Black)</t>
  </si>
  <si>
    <t>Nokia 105 Single SIM, Keypad Mobile Phone with Wireless FM Radio | Charcoal</t>
  </si>
  <si>
    <t>boAt Wave Lite Smartwatch with 1.69" HD Display, Sleek Metal Body, HR &amp; SpO2 Level Monitor, 140+ Watch Faces, Activity Tracker, Multiple Sports Modes, IP68 &amp; 7 Days Battery Life(Active Black)</t>
  </si>
  <si>
    <t>JBL C100SI Wired In Ear Headphones with Mic, JBL Pure Bass Sound, One Button Multi-function Remote, Angled Buds for Comfort fit (Black)</t>
  </si>
  <si>
    <t>Samsung Galaxy M04 Dark Blue, 4GB RAM, 64GB Storage | Upto 8GB RAM with RAM Plus | MediaTek Helio P35 | 5000 mAh Battery</t>
  </si>
  <si>
    <t>PTron Tangentbeat in-Ear Bluetooth 5.0 Wireless Headphones with Mic, Enhanced Bass, 10mm Drivers, Clear Calls, Snug-Fit, Fast Charging, Magnetic Buds, Voice Assistant &amp; IPX4 Wireless Neckband (Black)</t>
  </si>
  <si>
    <t>Redmi 10A (Charcoal Black, 4GB RAM, 64GB Storage) | 2 Ghz Octa Core Helio G25 | 5000 mAh Battery | Finger Print Sensor | Upto 5GB RAM with RAM Booster</t>
  </si>
  <si>
    <t>pTron Bullet Pro 36W PD Quick Charger, 3 Port Fast Car Charger Adapter - Compatible with All Smartphones &amp; Tablets (Black)</t>
  </si>
  <si>
    <t>boAt Bassheads 100 in Ear Wired Earphones with Mic(Taffy Pink)</t>
  </si>
  <si>
    <t>SanDisk Ultra¬Æ microSDXC‚Ñ¢ UHS-I Card, 128GB, 140MB/s R, 10 Y Warranty, for Smartphones</t>
  </si>
  <si>
    <t>Samsung Galaxy M04 Light Green, 4GB RAM, 64GB Storage | Upto 8GB RAM with RAM Plus | MediaTek Helio P35 | 5000 mAh Battery</t>
  </si>
  <si>
    <t>MI 10000mAh Lithium Ion, Lithium Polymer Power Bank Pocket Pro with 22.5 Watt Fast Charging, Dual Input Ports(Micro-USB and Type C), Triple Output Ports, (Black)</t>
  </si>
  <si>
    <t>Mi 10000mAH Li-Polymer, Micro-USB and Type C Input Port, Power Bank 3i with 18W Fast Charging (Midnight Black)</t>
  </si>
  <si>
    <t>ELV Car Mount Adjustable Car Phone Holder Universal Long Arm, Windshield for Smartphones - Black</t>
  </si>
  <si>
    <t>Samsung 25W USB Travel Adapter for Cellular Phones - White</t>
  </si>
  <si>
    <t>Noise ColorFit Pulse Grand Smart Watch with 1.69"(4.29cm) HD Display, 60 Sports Modes, 150 Watch Faces, Fast Charge, Spo2, Stress, Sleep, Heart Rate Monitoring &amp; IP68 Waterproof (Jet Black)</t>
  </si>
  <si>
    <t>Fire-Boltt Ninja 3 Smartwatch Full Touch 1.69 &amp; 60 Sports Modes with IP68, Sp02 Tracking, Over 100 Cloud based watch faces - Black</t>
  </si>
  <si>
    <t>Samsung Galaxy M33 5G (Mystique Green, 8GB, 128GB Storage) | 6000mAh Battery | Upto 16GB RAM with RAM Plus | Travel Adapter to be Purchased Separately</t>
  </si>
  <si>
    <t>SanDisk Ultra microSD UHS-I Card 32GB, 120MB/s R</t>
  </si>
  <si>
    <t>Samsung Galaxy M13 (Aqua Green, 6GB, 128GB Storage) | 6000mAh Battery | Upto 12GB RAM with RAM Plus</t>
  </si>
  <si>
    <t>Fire-Boltt India's No 1 Smartwatch Brand Talk 2 Bluetooth Calling Smartwatch with Dual Button, Hands On Voice Assistance, 60 Sports Modes, in Built Mic &amp; Speaker with IP68 Rating</t>
  </si>
  <si>
    <t>Samsung Galaxy M33 5G (Emerald Brown, 6GB, 128GB Storage) | 6000mAh Battery | Upto 12GB RAM with RAM Plus | Travel Adapter to be Purchased Separately</t>
  </si>
  <si>
    <t>iQOO vivo Z6 5G (Chromatic Blue, 6GB RAM, 128GB Storage) | Snapdragon 695-6nm Processor | 120Hz FHD+ Display | 5000mAh Battery</t>
  </si>
  <si>
    <t>Redmi 9 Activ (Carbon Black, 4GB RAM, 64GB Storage) | Octa-core Helio G35 | 5000 mAh Battery</t>
  </si>
  <si>
    <t>Redmi 9A Sport (Coral Green, 2GB RAM, 32GB Storage) | 2GHz Octa-core Helio G25 Processor | 5000 mAh Battery</t>
  </si>
  <si>
    <t>Redmi 10A (Sea Blue, 4GB RAM, 64GB Storage) | 2 Ghz Octa Core Helio G25 | 5000 mAh Battery | Finger Print Sensor | Upto 5GB RAM with RAM Booster</t>
  </si>
  <si>
    <t>AGARO Blaze USB 3.0 to USB Type C OTG Adapter</t>
  </si>
  <si>
    <t>Fire-Boltt Visionary 1.78" AMOLED Bluetooth Calling Smartwatch with 368*448 Pixel Resolution 100+ Sports Mode, TWS Connection, Voice Assistance, SPO2 &amp; Heart Rate Monitoring</t>
  </si>
  <si>
    <t>Noise ColorFit Pro 4 Advanced Bluetooth Calling Smart Watch with 1.72" TruView Display, Fully-Functional Digital Crown, 311 PPI, 60Hz Refresh Rate, 500 NITS Brightness (Charcoal Black)</t>
  </si>
  <si>
    <t>iQOO Z6 Lite 5G by vivo (Stellar Green, 6GB RAM, 128GB Storage) | World's First Snapdragon 4 Gen 1 | 120Hz Refresh Rate | 5000mAh Battery | Travel Adapter to be Purchased Separately</t>
  </si>
  <si>
    <t>Redmi 10A (Slate Grey, 4GB RAM, 64GB Storage) | 2 Ghz Octa Core Helio G25 | 5000 mAh Battery | Finger Print Sensor | Upto 5GB RAM with RAM Booster</t>
  </si>
  <si>
    <t>Duracell 38W Fast Car Charger Adapter with Dual Output. Quick Charge, Type C PD 20W &amp; Qualcomm Certified 3.0 Compatible for iPhone, All Smartphones, Tablets &amp; More (Copper &amp; Black)</t>
  </si>
  <si>
    <t>realme narzo 50 (Speed Blue, 4GB RAM+64GB Storage) Helio G96 Processor | 50MP AI Triple Camera | 120Hz Ultra Smooth Display</t>
  </si>
  <si>
    <t>WeCool Bluetooth Extendable Selfie Sticks with Wireless Remote and Tripod Stand, 3-in-1 Multifunctional Selfie Stick with Tripod Stand Compatible with iPhone/OnePlus/Samsung/Oppo/Vivo and All Phones</t>
  </si>
  <si>
    <t>OPPO A74 5G (Fantastic Purple,6GB RAM,128GB Storage) with No Cost EMI/Additional Exchange Offers</t>
  </si>
  <si>
    <t>Redmi Note 11 Pro + 5G (Stealth Black, 6GB RAM, 128GB Storage) | 67W Turbo Charge | 120Hz Super AMOLED Display | Additional Exchange Offers | Charger Included</t>
  </si>
  <si>
    <t>Samsung Original 25W USB Travel Lightning Adapter for Cellular Phones, Black</t>
  </si>
  <si>
    <t>realme Buds Classic Wired in Ear Earphones with Mic (Black)</t>
  </si>
  <si>
    <t>Noise ColorFit Pulse Grand Smart Watch with 1.69" HD Display, 60 Sports Modes, 150 Watch Faces, Spo2 Monitoring, Call Notification, Quick Replies to Text &amp; Calls (Rose Pink)</t>
  </si>
  <si>
    <t>boAt Wave Call Smart Watch, Smart Talk with Advanced Dedicated Bluetooth Calling Chip, 1.69‚Äù HD Display with 550 NITS &amp; 70% Color Gamut, 150+ Watch Faces, Multi-Sport Modes, HR, SpO2, IP68(Mauve)</t>
  </si>
  <si>
    <t>iQOO Neo 6 5G (Dark Nova, 8GB RAM, 128GB Storage) | Snapdragon¬Æ 870 5G | 80W FlashCharge</t>
  </si>
  <si>
    <t>boAt Xtend Smartwatch with Alexa Built-in, 1.69‚Äù HD Display, Multiple Watch Faces, Stress Monitor, Heart &amp; SpO2 Monitoring, 14 Sports Modes, Sleep Monitor, 5 ATM &amp; 7 Days Battery(Charcoal Black)</t>
  </si>
  <si>
    <t>Tygot Bluetooth Extendable Selfie Sticks with Wireless Remote and Tripod Stand, 3-in-1 Multifunctional Selfie Stick with Tripod Stand Compatible with iPhone/OnePlus/Samsung/Oppo/Vivo and All Phones</t>
  </si>
  <si>
    <t>Samsung EVO Plus 128GB microSDXC UHS-I U3 130MB/s Full HD &amp; 4K UHD Memory Card with Adapter (MB-MC128KA), Blue</t>
  </si>
  <si>
    <t>Portronics Adapto 20 Type C 20W Fast PD/Type C Adapter Charger with Fast Charging for iPhone 12/12 Pro/12 Mini/12 Pro Max/11/XS/XR/X/8/Plus, iPad Pro/Air/Mini, Galaxy 10/9/8 (Adapter Only) White</t>
  </si>
  <si>
    <t>Samsung Galaxy M13 5G (Aqua Green, 6GB, 128GB Storage) | 5000mAh Battery | Upto 12GB RAM with RAM Plus</t>
  </si>
  <si>
    <t>boAt Bassheads 100 in Ear Wired Earphones with Mic(Furious Red)</t>
  </si>
  <si>
    <t>iQOO Z6 44W by vivo (Lumina Blue, 4GB RAM, 128GB Storage) | 6.44" FHD+ AMOLED Display | 50% Charge in just 27 mins | in-Display Fingerprint Scanning</t>
  </si>
  <si>
    <t>Fire-Boltt Gladiator 1.96" Biggest Display Smart Watch with Bluetooth Calling, Voice Assistant &amp;123 Sports Modes, 8 Unique UI Interactions, SpO2, 24/7 Heart Rate Tracking</t>
  </si>
  <si>
    <t>STRIFF PS2_01 Multi Angle Mobile/Tablet Tabletop Stand. Phone Holder for iPhone, Android, Samsung, OnePlus, Xiaomi. Portable, Foldable Cell Phone Stand. Perfect for Bed, Office, Home &amp; Desktop (Black)</t>
  </si>
  <si>
    <t>Samsung Galaxy Buds Live Bluetooth Truly Wireless in Ear Earbuds with Mic, Upto 21 Hours Playtime, Mystic Black</t>
  </si>
  <si>
    <t>OnePlus Nord 2T 5G (Jade Fog, 12GB RAM, 256GB Storage)</t>
  </si>
  <si>
    <t>Sounce Spiral Charger Cable Protector Data Cable Saver Charging Cord Protective Cable Cover Headphone MacBook Laptop Earphone Cell Phone Set of 3 (Cable Protector (12 Units))</t>
  </si>
  <si>
    <t>PTron Boom Ultima 4D Dual Driver, in-Ear Gaming Wired Headphones with in-line Mic, Volume Control &amp; Passive Noise Cancelling Boom 3 Earphones - (Dark Blue)</t>
  </si>
  <si>
    <t>Samsung Galaxy M13 (Aqua Green, 4GB, 64GB Storage) | 6000mAh Battery | Upto 8GB RAM with RAM Plus</t>
  </si>
  <si>
    <t>OnePlus 10R 5G (Forest Green, 8GB RAM, 128GB Storage, 80W SuperVOOC)</t>
  </si>
  <si>
    <t>Ambrane Mobile Holding Stand, 180¬∞ Perfect View, Height Adjustment, Wide Compatibility, Multipurpose, Anti-Skid Design (Twistand, Black)</t>
  </si>
  <si>
    <t>Ambrane 10000mAh Slim Power Bank, 20W Fast Charging, Dual Output, Type C PD (Input &amp; Output), Quick Charge, Li-Polymer, Multi-Layer Protection for iPhone, Anrdoid &amp; Other Devices (Stylo 10K, Black)</t>
  </si>
  <si>
    <t>Nokia 105 Single SIM, Keypad Mobile Phone with Wireless FM Radio | Blue</t>
  </si>
  <si>
    <t>PTron Tangent Lite Bluetooth 5.0 Earphones with Mic, Hi-Fi Stereo Sound Neckband, 8Hrs Playtime, Lightweight Snug-fit in-Ear Headphones, IPX4 Water Resistant, Fast Charge &amp; Voice Assistant (Black)</t>
  </si>
  <si>
    <t>Samsung EVO Plus 64GB microSDXC UHS-I U1 130MB/s Full HD &amp; 4K UHD Memory Card with Adapter (MB-MC64KA), Blue</t>
  </si>
  <si>
    <t>Ambrane 20000mAh Power Bank with 20W Fast Charging, Triple Output, Power Delivery, Type C Input, Made in India, Multi-Layer Protection, Li-Polymer + Type C Cable (Stylo-20k, Black)</t>
  </si>
  <si>
    <t>Samsung Galaxy M13 (Midnight Blue, 4GB, 64GB Storage) | 6000mAh Battery | Upto 8GB RAM with RAM Plus</t>
  </si>
  <si>
    <t>boAt Xtend Smartwatch with Alexa Built-in, 1.69‚Äù HD Display, Multiple Watch Faces, Stress Monitor, Heart &amp; SpO2 Monitoring, 14 Sports Modes, Sleep Monitor, 5 ATM &amp; 7 Days Battery(Pitch Black)</t>
  </si>
  <si>
    <t>boAt Wave Call Smart Watch, Smart Talk with Advanced Dedicated Bluetooth Calling Chip, 1.69‚Äù HD Display with 550 NITS &amp; 70% Color Gamut, 150+ Watch Faces, Multi-Sport Modes, HR, SpO2, IP68(Deep Blue)</t>
  </si>
  <si>
    <t>MI Xiaomi 22.5W Fast USB Type C Charger Combo for Tablets - White</t>
  </si>
  <si>
    <t>Gizga Essentials Spiral Cable Protector Cord Saver for Mac Charger, iPhone Charger, Wire Protector, Lightweight Durable Flexible Wire Winder for Charging Cables, Data Cables, Earphones, Pack of 10</t>
  </si>
  <si>
    <t>Redmi Note 11 (Space Black, 4GB RAM, 64GB Storage)|90Hz FHD+ AMOLED Display | Qualcomm¬Æ Snapdragon‚Ñ¢ 680-6nm | 33W Charger Included</t>
  </si>
  <si>
    <t>Redmi Note 11 Pro + 5G (Phantom White, 8GB RAM, 128GB Storage) | 67W Turbo Charge | 120Hz Super AMOLED Display | Additional Exchange Offers | Charger Included</t>
  </si>
  <si>
    <t>USB Charger, Oraimo Elite Dual Port 5V/2.4A Wall Charger, USB Wall Charger Adapter for iPhone 11/Xs/XS Max/XR/X/8/7/6/Plus, iPad Pro/Air 2/Mini 3/Mini 4, Samsung S4/S5, and More</t>
  </si>
  <si>
    <t>Goldmedal Curve Plus 202042 Plastic Spice 3-Pin 240V Universal Travel Adaptor (White)</t>
  </si>
  <si>
    <t>WeCool C1 Car Mobile Holder with One Click Technology,360¬∞ Rotational, Strong Suction Cup,Compatible with 4 to 6 Inch Devices, Wildshield and Dashboard Mobile Holder for Car, and Use</t>
  </si>
  <si>
    <t>HP 32GB Class 10 MicroSD Memory Card (U1 TF Card¬†32GB)</t>
  </si>
  <si>
    <t>iQOO Z6 44W by vivo (Lumina Blue, 6GB RAM, 128GB Storage) | 6.44" FHD+ AMOLED Display | 50% Charge in just 27 mins | in-Display Fingerprint Scanning</t>
  </si>
  <si>
    <t>iQOO Z6 Lite 5G by vivo (Mystic Night, 6GB RAM, 128GB Storage) | World's First Snapdragon 4 Gen 1 | 120Hz Refresh Rate | 5000mAh Battery | Travel Adapter to be Purchased Separately</t>
  </si>
  <si>
    <t>Redmi Note 11 Pro + 5G (Stealth Black, 8GB RAM, 256GB Storage) | 67W Turbo Charge | 120Hz Super AMOLED Display | Additional Exchange Offers | Charger Included</t>
  </si>
  <si>
    <t>boAt Bassheads 242 in Ear Wired Earphones with Mic(Active Black)</t>
  </si>
  <si>
    <t>Portronics MODESK POR-122 Universal Mobile Tabletop Holder (Black)</t>
  </si>
  <si>
    <t>realme narzo 50i (Mint Green, 2GB RAM+32GB Storage) Octa Core Processor | 6.5" inch Large Display</t>
  </si>
  <si>
    <t>MI 10000mAh 3i Lithium Polymer Power Bank Dual Input(Micro-USB and Type C) and Output Ports 18W Fast Charging (Metallic Blue)</t>
  </si>
  <si>
    <t>Nokia 105 Plus Single SIM, Keypad Mobile Phone with Wireless FM Radio, Memory Card Slot and MP3 Player | Red</t>
  </si>
  <si>
    <t>iQOO Z6 44W by vivo (Raven Black, 4GB RAM, 128GB Storage) | 6.44" FHD+ AMOLED Display | 50% Charge in just 27 mins | in-Display Fingerprint Scanning</t>
  </si>
  <si>
    <t>Ambrane 10000mAh Slim Power Bank, 20W Fast Charging, Dual Output, Type C PD (Input &amp; Output), Quick Charge, Li-Polymer, Multi-Layer Protection for iPhone, Anrdoid &amp; Other Devices (Stylo 10K, Green)</t>
  </si>
  <si>
    <t>Samsung Galaxy M13 (Stardust Brown, 6GB, 128GB Storage) | 6000mAh Battery | Upto 12GB RAM with RAM Plus</t>
  </si>
  <si>
    <t>OPPO A74 5G (Fluid Black, 6GB RAM, 128GB Storage) with No Cost EMI/Additional Exchange Offers</t>
  </si>
  <si>
    <t>Spigen EZ Fit Tempered Glass Screen Protector Guard for iPhone 14/13/13 Pro - 2 Pack</t>
  </si>
  <si>
    <t>Noise ColorFit Pulse Smartwatch with 3.56 cm (1.4") Full Touch HD Display, SpO2, Heart Rate, Sleep Monitors &amp; 10-Day Battery - Jet Black</t>
  </si>
  <si>
    <t>Nokia 105 Plus Single SIM, Keypad Mobile Phone with Wireless FM Radio, Memory Card Slot and MP3 Player | Charcoal</t>
  </si>
  <si>
    <t>iQOO Z6 Pro 5G by vivo (Legion Sky, 8GB RAM, 128GB Storage) | Snapdragon 778G 5G | 66W FlashCharge | 1300 nits Peak Brightness | HDR10+</t>
  </si>
  <si>
    <t>MI 33W SonicCharge 2.0 USB Charger for Cellular Phones - White</t>
  </si>
  <si>
    <t>OPPO A31 (Mystery Black, 6GB RAM, 128GB Storage) with No Cost EMI/Additional Exchange Offers</t>
  </si>
  <si>
    <t>iQOO vivo Z6 5G (Chromatic Blue, 8GB RAM, 128GB Storage) | Snapdragon 695-6nm Processor | 120Hz FHD+ Display | 5000mAh Battery</t>
  </si>
  <si>
    <t>Motorola a10 Dual Sim keypad Mobile with 1750 mAh Battery, Expandable Storage Upto 32GB, Wireless FM with Recording - Rose Gold</t>
  </si>
  <si>
    <t>boAt Wave Lite Smartwatch with 1.69" HD Display, Heart Rate &amp; SpO2 Level Monitor, Multiple Watch Faces, Activity Tracker, Multiple Sports Modes &amp; IP68 (Deep Blue)</t>
  </si>
  <si>
    <t>boAt Wave Call Smart Watch, Smart Talk with Advanced Dedicated Bluetooth Calling Chip, 1.69‚Äù HD Display with 550 NITS &amp; 70% Color Gamut, 150+ Watch Faces, Multi-Sport Modes,HR,SpO2(Caribbean Green)</t>
  </si>
  <si>
    <t>Spigen EZ Fit Tempered Glass Screen Protector for iPhone 14 Pro Max - 2 Pack (Sensor Protection)</t>
  </si>
  <si>
    <t>KINGONE Upgraded Stylus Pen, iPad Pencil, Ultra High Precision &amp; Sensitivity, Palm Rejection, Prevents False ON/Off Touch, Power Display, Tilt Sensitivity, Magnetic Adsorption for iPad 2018 and Later</t>
  </si>
  <si>
    <t>Portronics CarPower Mini Car Charger with Dual Output, Fast Charging (Type C PD 18W + QC 3.0A) Compatible with All Smartphones(Black)</t>
  </si>
  <si>
    <t>boAt Newly Launched Wave Electra with 1.81" HD Display, Smart Calling with Ultra-Seamless BT Calling Chip,20 Built-In Watch Faces,100 + Sports Modes,Menu Personalization,In-Built Games(Charcoal Black)</t>
  </si>
  <si>
    <t>PTron Newly Launched Force X10 Bluetooth Calling Smartwatch with 1.7" Full Touch Color Display, Real Heart Rate Monitor, SpO2, Watch Faces, 5 Days Runtime, Fitness Trackers &amp; IP68 Waterproof (Pink)</t>
  </si>
  <si>
    <t>iQOO vivo Z6 5G (Dynamo Black, 6GB RAM, 128GB Storage) | Snapdragon 695-6nm Processor | 120Hz FHD+ Display | 5000mAh Battery</t>
  </si>
  <si>
    <t>Samsung Ehs64 Ehs64Avfwecinu Hands-Free Wired In Ear Earphones With Mic With Remote Note (White)</t>
  </si>
  <si>
    <t>Spigen EZ Fit Tempered Glass Screen Protector for iPhone 14 Pro - 2 Pack (Sensor Protection)</t>
  </si>
  <si>
    <t>Samsung Galaxy M04 Dark Blue, 4GB RAM, 128GB Storage | Upto 8GB RAM with RAM Plus | MediaTek Helio P35 | 5000 mAh Battery</t>
  </si>
  <si>
    <t>SWAPKART Flexible Mobile Tabletop Stand, Metal Built, Heavy Duty Foldable Lazy Bracket Clip Mount Multi Angle Clamp for All Smartphones (Pack of 1), Multi Color</t>
  </si>
  <si>
    <t>Redmi 9A Sport (Carbon Black, 2GB RAM, 32GB Storage) | 2GHz Octa-core Helio G25 Processor | 5000 mAh Battery</t>
  </si>
  <si>
    <t>Fire-Boltt Ring 3 Smart Watch 1.8 Biggest Display with Advanced Bluetooth Calling Chip, Voice Assistance,118 Sports Modes, in Built Calculator &amp; Games, SpO2, Heart Rate Monitoring</t>
  </si>
  <si>
    <t>Amozo Ultra Hybrid Camera and Drop Protection Back Cover Case for iPhone 13 (TPU + Polycarbonate | Crystal Transparent)</t>
  </si>
  <si>
    <t>ELV Aluminum Adjustable Mobile Phone Foldable Tabletop Stand Dock Mount for All Smartphones, Tabs, Kindle, iPad (Black)</t>
  </si>
  <si>
    <t>Tecno Spark 9 (Sky Mirror, 6GB RAM,128GB Storage) | 11GB Expandable RAM | Helio G37 Gaming Processor</t>
  </si>
  <si>
    <t>JBL C100SI Wired In Ear Headphones with Mic, JBL Pure Bass Sound, One Button Multi-function Remote, Premium Metallic Finish, Angled Buds for Comfort fit (Red)</t>
  </si>
  <si>
    <t>Tukzer Capacitive Stylus Pen for Touch Screens Devices, Fine Point, Lightweight Metal Body with Magnetism Cover Cap for Smartphones/Tablets/iPad/iPad Pro/iPhone (Grey)</t>
  </si>
  <si>
    <t>Tukzer Capacitive Stylus Pen for Touch Screens Devices, Fine Point, Lightweight Metal Body with Magnetism Cover Cap for Smartphones/Tablets/iPad/iPad Pro/iPhone (White)</t>
  </si>
  <si>
    <t>Mi 10W Wall Charger for Mobile Phones with Micro USB Cable (Black)</t>
  </si>
  <si>
    <t>STRIFF 12 Pieces Highly Flexible Silicone Micro USB Protector, Mouse Cable Protector, Suit for All Cell Phones, Computers and Chargers (White)</t>
  </si>
  <si>
    <t>FLiX (Beetel) USB to Type C PVC Data Sync &amp; 2A Smartphone Fast Charging Cable, Made in India, 480Mbps Data Sync, Tough Cable, 1 Meter Long USB Cable for USB Type C Devices Black XCD-C12</t>
  </si>
  <si>
    <t>Noise ColorFit Pro 4 Alpha Bluetooth Calling Smart Watch with 1.78 AMOLED Display, Tru Sync, 60hz Refresh Rate, instacharge, Gesture Control, Functional 360 Digital Crown (Jet Black)</t>
  </si>
  <si>
    <t>Elv Mobile Phone Mount Tabletop Holder for Phones and Tablets - Black</t>
  </si>
  <si>
    <t>iQOO Z6 44W by vivo (Raven Black, 6GB RAM, 128GB Storage) | 6.44" FHD+ AMOLED Display | 50% Charge in just 27 mins | in-Display Fingerprint Scanning</t>
  </si>
  <si>
    <t>Redmi 11 Prime 5G (Meadow Green, 4GB RAM 64GB ROM) | Prime Design | MTK Dimensity 700 | 50 MP Dual Cam | 5000mAh | 7 Band 5G</t>
  </si>
  <si>
    <t>Noise Pulse Buzz 1.69" Bluetooth Calling Smart Watch with Call Function, 150 Watch Faces, 60 Sports Modes, Spo2 &amp; Heart Rate Monitoring, Calling Smart Watch for Men &amp; Women - Rose Pink</t>
  </si>
  <si>
    <t>PTron Newly Launched Force X10 Bluetooth Calling Smartwatch with 1.7" Full Touch Display, Real Heart Rate Monitor, SpO2, Watch Faces, 5 Days Runtime, Health/Fitness Trackers &amp; IP68 Waterproof (Black)</t>
  </si>
  <si>
    <t>Portronics CLAMP X Car-Vent Mobile Holder 360 Degree Rotational(Black)</t>
  </si>
  <si>
    <t>pTron Volta Dual Port 12W Smart USB Charger Adapter, Multi-Layer Protection, Made in India, BIS Certified, Fast Charging Power Adaptor Without Cable for All iOS &amp; Android Devices (Black)</t>
  </si>
  <si>
    <t>boAt Flash Edition Smart Watch with Activity Tracker, Multiple Sports Modes, 1.3" Screen, 170+ Watch Faces, Sleep Monitor, Gesture, Camera &amp; Music Control, IP68 &amp; 7 Days Battery Life(Lightning Black)</t>
  </si>
  <si>
    <t>boAt Wave Lite Smartwatch with 1.69 Inches(4.29cm) HD Display, Heart Rate &amp; SpO2 Level Monitor, Multiple Watch Faces, Activity Tracker, Multiple Sports Modes &amp; IP68 (Scarlet Red)</t>
  </si>
  <si>
    <t>iQOO Z6 Pro 5G by vivo (Phantom Dusk, 8GB RAM, 128GB Storage) | Snapdragon 778G 5G | 66W FlashCharge | 1300 nits Peak Brightness | HDR10+</t>
  </si>
  <si>
    <t>Samsung Galaxy M32 Prime Edition (Light Blue, 4GB RAM, 64GB)</t>
  </si>
  <si>
    <t>Redmi Note 11T 5G (Matte Black, 6GB RAM, 128GB ROM)| Dimensity 810 5G | 33W Pro Fast Charging | Charger Included | Additional Exchange Offers|Get 2 Months of YouTube Premium Free!</t>
  </si>
  <si>
    <t>iQOO Z6 Pro 5G by vivo (Legion Sky, 6GB RAM, 128GB Storage) | Snapdragon 778G 5G | 66W FlashCharge | 1300 nits Peak Brightness | HDR10+</t>
  </si>
  <si>
    <t>Redmi Note 11 (Horizon Blue, 6GB RAM, 64GB Storage)|90Hz FHD+ AMOLED Display | Qualcomm¬Æ Snapdragon‚Ñ¢ 680-6nm | 33W Charger Included</t>
  </si>
  <si>
    <t>Noise Pulse 2 Max Advanced Bluetooth Calling Smart Watch with 1.85'' TFT and 550 Nits Brightness, Smart DND, 10 Days Battery, 100 Sports Mode, Smartwatch for Men and Women - (Jet Black)</t>
  </si>
  <si>
    <t>Myvn 30W Warp/20W Dash Charging Usb Type C Charger Cable Compatible For Cellular Phones Oneplus 8T 8 8Pro 7 Pro / 7T / 7T Pro Nord And Oneplus 3 / 3T / 5 / 5T / 6 / 6T / 7</t>
  </si>
  <si>
    <t>PTron Newly Launched Force X10 Bluetooth Calling Smartwatch with 1.7" Full Touch Color Display, Real Heart Rate Monitor, SpO2, Watch Faces, 5 Days Runtime, Fitness Trackers &amp; IP68 Waterproof (Blue)</t>
  </si>
  <si>
    <t>SanDisk Ultra¬Æ microSDXC‚Ñ¢ UHS-I Card, 256GB, 150MB/s R, 10 Y Warranty, for Smartphones</t>
  </si>
  <si>
    <t>Redmi Note 11 (Space Black, 6GB RAM, 64GB Storage) | 90Hz FHD+ AMOLED Display | Qualcomm¬Æ Snapdragon‚Ñ¢ 680-6nm | 33W Charger Included</t>
  </si>
  <si>
    <t>Noise ColorFit Pro 2 Full Touch Control Smart Watch with 35g Weight &amp; Upgraded LCD Display (Deep Wine)</t>
  </si>
  <si>
    <t>Redmi Note 11T 5G (Aquamarine Blue, 6GB RAM, 128GB ROM)| Dimensity 810 5G | 33W Pro Fast Charging | Charger Included | Additional Exchange Offers| Get 2 Months of YouTube Premium Free!</t>
  </si>
  <si>
    <t>Newly Launched Boult Dive+ with 1.85" HD Display, Bluetooth Calling Smartwatch, 500 Nits Brightness, 7 Days Battery Life, 150+ Watch Faces, 100+ Sport Modes, IP68 Waterproof Smart Watch (Jet Black)</t>
  </si>
  <si>
    <t>OnePlus Nord Watch with 1.78‚Äù AMOLED Display, 60 Hz Refresh Rate, 105 Fitness Modes, 10 Days Battery, SPO2, Heart Rate, Stress Monitor, Women Health Tracker &amp; Multiple Watch Face [Midnight Black]</t>
  </si>
  <si>
    <t>Noise Agile 2 Buzz Bluetooth Calling Smart Watch with 1.28" TFT Display,Dual Button,in-Built Mic &amp; Speaker,AI Voice Assistant, Health Suite,in-Built Games, 100 Watch Faces-(Jet Black)</t>
  </si>
  <si>
    <t>Motorola a10 Dual Sim keypad Mobile with 1750 mAh Battery, Expandable Storage Upto 32GB, Wireless FM with Recording - Dark Blue</t>
  </si>
  <si>
    <t>Fire-Boltt Ninja 3 Smartwatch Full Touch 1.69 " &amp; 60 Sports Modes with IP68, Sp02 Tracking, Over 100 Cloud based watch faces ( Silver )</t>
  </si>
  <si>
    <t>Flix (Beetel) Bolt 2.4 12W Dual USB Smart Charger, Made in India, Bis Certified, Fast Charging Power Adaptor with 1 Meter USB to Type C Cable for Cellular Phones (White)(Xwc-64D)</t>
  </si>
  <si>
    <t>Kyosei Advanced Tempered Glass Compatible with Google Pixel 6a with Military-Grade Anti-Explosion Edge-to-Edge Coverage Screen Protector Guard</t>
  </si>
  <si>
    <t>STRIFF 12 Pieces Highly Flexible Silicone Micro USB Protector, Mouse Cable Protector, Suit for All Cell Phones, Computers and Chargers (Black)</t>
  </si>
  <si>
    <t>Redmi 11 Prime 5G (Thunder Black, 4GB RAM, 64GB Storage) | Prime Design | MTK Dimensity 700 | 50 MP Dual Cam | 5000mAh | 7 Band 5G</t>
  </si>
  <si>
    <t>Samsung Original EHS64 Wired in Ear Earphones with Mic, Black</t>
  </si>
  <si>
    <t>STRIFF Multi Angle Tablet/Mobile Stand. Holder for iPhone, Android, Samsung, OnePlus, Xiaomi. Portable,Foldable Stand.Perfect for Bed,Office, Home,Gift and Desktop (Black)</t>
  </si>
  <si>
    <t>boAt Newly Launched Wave Electra with 1.81" HD Display, Smart Calling Ultra-Seamless BT Calling Chip, 20 Built-in Watch Faces, 100 + Sports Modes, Menu Personalization, in-Built Games(Cherry Blossom)</t>
  </si>
  <si>
    <t>WeCool B1 Mobile Holder for Bikes or Bike Mobile Holder for Maps and GPS Navigation, one Click Locking, Firm Gripping, Anti Shake and Stable Cradle Clamp with 360¬∞ Rotation Bicycle Phone Mount</t>
  </si>
  <si>
    <t>Sounce 360 Adjustable Mobile Phone Holder, Universal Phone Holder Clip Lazy Bracket Flexible Gooseneck Clamp Long Arms Mount for Mobile Tabletop Stand for Bedroom, Office, Bathroom, White</t>
  </si>
  <si>
    <t>OpenTech¬Æ Military-Grade Tempered Glass Screen Protector Compatible for iPhone 13/13 Pro / 14 with Edge to Edge Coverage and Easy Installation kit (6.1 Inches)</t>
  </si>
  <si>
    <t>EN LIGNE Adjustable Cell Phone Stand, Foldable Portable Phone Stand Phone Holder for Desk, Desktop Tablet Stand Compatible with Mobile Phone/iPad/Tablet (Black)</t>
  </si>
  <si>
    <t>Tecno Spark 8T (Turquoise Cyan, 4GB RAM,64GB Storage) | 50MP AI Camera | 7GB Expandable RAM</t>
  </si>
  <si>
    <t>URBN 20000 mAh Lithium_Polymer 22.5W Super Fast Charging Ultra Compact Power Bank with Quick Charge &amp; Power Delivery, Type C Input/Output, Made in India, Type C Cable Included (Camo)</t>
  </si>
  <si>
    <t>Redmi Note 11T 5G (Stardust White, 6GB RAM, 128GB ROM)| Dimensity 810 5G | 33W Pro Fast Charging | Charger Included | Additional Exchange Offers|Get 2 Months of YouTube Premium Free!</t>
  </si>
  <si>
    <t>OnePlus 10T 5G (Moonstone Black, 8GB RAM, 128GB Storage)</t>
  </si>
  <si>
    <t>Nokia 150 (2020) (Cyan)</t>
  </si>
  <si>
    <t>Noise ColorFit Ultra SE Smart Watch with 1.75"(4.3cm) HD Display, Aluminium Alloy Body, 60 Sports Modes, Spo2, Lightweight, Stock Market Info, Calls &amp; SMS Reply (Vintage Brown)</t>
  </si>
  <si>
    <t>boAt Rockerz 400 Bluetooth On Ear Headphones With Mic With Upto 8 Hours Playback &amp; Soft Padded Ear Cushions(Grey/Green)</t>
  </si>
  <si>
    <t>SanDisk Ultra microSD UHS-I Card 64GB, 120MB/s R</t>
  </si>
  <si>
    <t>iPhone Original 20W C Type Fast PD Charger Compatible with I-Phone13/13 mini/13pro/13 pro Max I-Phone 12/12 Pro/12mini/12 Pro Max, I-Phone11/11 Pro/11 Pro Max 2020 (Only Adapter)</t>
  </si>
  <si>
    <t>LIRAMARK Webcam Cover Slide, Ultra Thin Laptop Camera Cover Slide Blocker for Computer MacBook Pro iMac PC Tablet (Pack of 3)</t>
  </si>
  <si>
    <t>Nokia 8210 4G Volte keypad Phone with Dual SIM, Big Display, inbuilt MP3 Player &amp; Wireless FM Radio | Blue</t>
  </si>
  <si>
    <t>Sounce Protective Case Cover Compatible Boat Xtend Overall Protective Case TPU HD Clear Ultra-Thin Cover with Unbreakable Screen Guard</t>
  </si>
  <si>
    <t>Samsung Galaxy M53 5G (Deep Ocean Blue, 6GB, 128GB Storage) | 108MP | sAmoled+ 120Hz | 12GB RAM with RAM Plus | Travel Adapter to be Purchased Separately</t>
  </si>
  <si>
    <t>iQOO 9 SE 5G (Sunset Sierra, 8GB RAM, 128GB Storage) | Qualcomm Snapdragon 888 | 66W Flash Charge</t>
  </si>
  <si>
    <t>SHREENOVA ID116 Plus Bluetooth Fitness Smart Watch for Men Women and Kids Activity Tracker (Black)</t>
  </si>
  <si>
    <t>POCO C31 (Shadow Gray, 64 GB) (4 GB RAM)</t>
  </si>
  <si>
    <t>Noise_Colorfit Smart Watch Charger 2 Pin USB Fast Charger Magnetic Charging Cable Adapter (Smart Watch Charger 2 pin)</t>
  </si>
  <si>
    <t>POPIO Tempered Glass Screen Protector Compatible for iPhone 12 / iPhone 12 Pro with Case Friendly Edge to Edge Coverage and Easy Installation kit, Pack of 1</t>
  </si>
  <si>
    <t>10WeRun Id-116 Bluetooth Smartwatch Wireless Fitness Band for Boys, Girls, Men, Women &amp; Kids | Sports Gym Watch for All Smart Phones I Heart Rate and spo2 Monitor</t>
  </si>
  <si>
    <t>Tokdis MX-1 Pro Bluetooth Calling Smartwatch - 1.69‚Äù LCD Display, Multiple Watch Faces, Sleep Monitor, Heart &amp; SpO2 Monitoring, Multiple Sports Modes, Water Resistant</t>
  </si>
  <si>
    <t>URBN 20000 mAh lithium_polymer Power Bank with 12 Watt Fast Charging, Camo</t>
  </si>
  <si>
    <t>Sounce Gold Plated 3.5 mm Headphone Splitter for Computer 2 Male to 1 Female 3.5mm Headphone Mic Audio Y Splitter Cable Smartphone Headset to PC Adapter ‚Äì (Black,20cm)</t>
  </si>
  <si>
    <t>Noise ColorFit Ultra 2 Buzz 1.78" AMOLED Bluetooth Calling Watch with 368*448px Always On Display, Premium Metallic Finish, 100+ Watch Faces, 100+ Sports Modes, Health Suite (Jet Black)</t>
  </si>
  <si>
    <t>Spigen Ultra Hybrid Back Cover Case Compatible with iPhone 14 Pro max (TPU + Poly Carbonate | Crystal Clear)</t>
  </si>
  <si>
    <t>Oraimo 18W USB &amp; Type-C Dual Output Super Fast Charger Wall Adapter PE2.0&amp;Quick Charge 3.0 &amp; Power Delivery 3.0 Compatible for iPhone 13/13 Mini/13 Pro Max/12/12 Pro Max, iPad Mini/Pro, Pixel, Galaxy, Airpods Pro</t>
  </si>
  <si>
    <t>LAPSTER 12pcs Spiral Cable Protectors for Charger, Wires, Data Charger Cable Protector for Computers, Cell Phones etc.(Grey)</t>
  </si>
  <si>
    <t>MI REDMI 9i Sport (Carbon Black, 64 GB) (4 GB RAM)</t>
  </si>
  <si>
    <t>Fire-Boltt Ninja 3 Smartwatch Full Touch 1.69 " &amp; 60 Sports Modes with IP68, Sp02 Tracking, Over 100 Cloud based watch faces ( Green )</t>
  </si>
  <si>
    <t>Lava A1 Josh 21(Blue Silver) -Dual Sim,Call Blink Notification,Military Grade Certified with 4 Day Battery Backup, Keypad Mobile</t>
  </si>
  <si>
    <t>POPIO Tempered Glass Compatible for iPhone 13 / iPhone 13 Pro/iPhone 14 (Transparent) Edge to Edge Full Screen Coverage with Installation Kit, Pack of 2</t>
  </si>
  <si>
    <t>Amozo Ultra Hybrid Camera and Drop Protection Back Cover Case for iPhone 13 (Polycarbonate| Back Transparent - Sides Black)</t>
  </si>
  <si>
    <t>FLiX Usb Charger,Flix (Beetel) Bolt 2.4 Dual Poart,5V/2.4A/12W Usb Wall Charger Fast Charging,Adapter For Android/Iphone 11/Xs/Xs Max/Xr/X/8/7/6/Plus,Ipad Pro/Air 2/Mini 3/4,Samsung S4/S5 &amp; More-Black</t>
  </si>
  <si>
    <t>Redmi 9A Sport (Coral Green, 3GB RAM, 32GB Storage) | 2GHz Octa-core Helio G25 Processor | 5000 mAh Battery</t>
  </si>
  <si>
    <t>Prolet Classic Bumper Case Cover for Samsung Galaxy Watch 4 44mm TPU Plated Full Screen Protector (Black)</t>
  </si>
  <si>
    <t>Samsung Galaxy S20 FE 5G (Cloud Navy, 8GB RAM, 128GB Storage) with No Cost EMI &amp; Additional Exchange Offers</t>
  </si>
  <si>
    <t>WeCool S5 Long Selfie Stick, with Large Reinforced Tripod Stand up to 61 Inch / 156 Cms, Ultra Long Multi Function Bluetooth Selfie Stick with 1/4 Screw Compatible with Gopro, Camera, and Ring Light</t>
  </si>
  <si>
    <t>POCO C31 (Royal Blue, 64 GB) (4 GB RAM)</t>
  </si>
  <si>
    <t>Noise ColorFit Pulse Grand Smart Watch with 1.69"(4.29cm) HD Display, 60 Sports Modes, 150 Watch Faces, Fast Charge, Spo2, Stress, Sleep, Heart Rate Monitoring &amp; IP68 Waterproof (Electric Blue)</t>
  </si>
  <si>
    <t>Amazon Basics 2 Amp USB Wall Charger &amp; Micro USB Cable (White)</t>
  </si>
  <si>
    <t>Mobilife Bluetooth Extendable Selfie Stick with Tripod Stand and Wireless Remote,3-in-1 Multifunctional Selfie Stick Tripod for iPhone Samsung Mi Realme Oppo Vivo Google More,Black</t>
  </si>
  <si>
    <t>Ambrane 27000mAh Power Bank, 20W Fast Charging, Triple Output, Type C PD (Input &amp; Output), Quick Charge, Li-Polymer, Multi-Layer Protection for iPhone, Smartphones &amp; Other Devices (Stylo Pro, Black)</t>
  </si>
  <si>
    <t>STRIFF Wall Mount Phone Holder Wall Mount with Adhesive Strips, Charging Holder Compatible with iPhone, Smartphone and Mini Tablet (Pack of 1) (White)</t>
  </si>
  <si>
    <t>Fire-Boltt Tank 1.85" Bluetooth Calling Smart Watch, 123 Sports Mode, 8 UI Interactions, Built in Speaker &amp; Mic, 7 Days Battery &amp; Fire-Boltt Health Suite</t>
  </si>
  <si>
    <t>Elv Aluminium Adjustable Mobile Phone Foldable Holder Tabletop Stand Dock Mount for All Smartphones, Tabs, Kindle, iPad (Moonlight Silver)</t>
  </si>
  <si>
    <t>Samsung Galaxy M13 5G (Stardust Brown, 6GB, 128GB Storage) | 5000mAh Battery | Upto 12GB RAM with RAM Plus</t>
  </si>
  <si>
    <t>DYAZO USB 3.0 Type C Female to USB A Male Connector/Converter/Adapter Compatible for Samsung Galaxy Note s 20 10 Plus Ultra,Google Pixel 4 5 3 2 &amp; Other Type-c Devices</t>
  </si>
  <si>
    <t>KINGONE Wireless Charging Pencil (2nd Generation) for iPad with Magnetic and Tilt Sensitive, Palm Rejection, Compatible with Apple iPad Pro 11 inch 1/2/3/4, iPad Pro 12.9 Inch 3/4/5/6, iPad Air 4/5, mini6</t>
  </si>
  <si>
    <t>boAt BassHeads 100 in-Ear Wired Headphones with Mic (Black)</t>
  </si>
  <si>
    <t>boAt Airdopes 141 Bluetooth Truly Wireless in Ear Earbuds with mic, 42H Playtime, Beast Mode(Low Latency Upto 80ms) for Gaming, ENx Tech, ASAP Charge, IWP, IPX4 Water Resistance (Bold Black)</t>
  </si>
  <si>
    <t>SanDisk Cruzer Blade 32GB USB Flash Drive</t>
  </si>
  <si>
    <t>Logitech B170 Wireless Mouse, 2.4 GHz with USB Nano Receiver, Optical Tracking, 12-Months Battery Life, Ambidextrous, PC/Mac/Laptop - Black</t>
  </si>
  <si>
    <t>Storio Kids Toys LCD Writing Tablet 8.5Inch E-Note Pad Best Birthday Gift for Girls Boys, Multicolor (SC1667)</t>
  </si>
  <si>
    <t>boAt Airdopes 121v2 in-Ear True Wireless Earbuds with Upto 14 Hours Playback, 8MM Drivers, Battery Indicators, Lightweight Earbuds &amp; Multifunction Controls (Active Black, with Mic)</t>
  </si>
  <si>
    <t>SKE Bed Study Table Portable Wood Multifunction Laptop-Table Lapdesk for Children Bed Foldabe Table Work with Tablet Slot &amp; Cup Holder Brown Black</t>
  </si>
  <si>
    <t>boAt Rockerz 255 Pro+ in-Ear Bluetooth Neckband with Upto 40 Hours Playback, ASAP  Charge, IPX7, Dual Pairing, BT v5.0, with Mic (Active Black)</t>
  </si>
  <si>
    <t>STRIFF Adjustable Laptop Tabletop Stand Patented Riser Ventilated Portable Foldable Compatible with MacBook Notebook Tablet Tray Desk Table Book with Free Phone Stand (Black)</t>
  </si>
  <si>
    <t>ZEBRONICS Zeb-Bro in Ear Wired Earphones with Mic, 3.5mm Audio Jack, 10mm Drivers, Phone/Tablet Compatible(Black)</t>
  </si>
  <si>
    <t>boAt Rockerz 450 Bluetooth On Ear Headphones with Mic, Upto 15 Hours Playback, 40MM Drivers, Padded Ear Cushions, Integrated Controls and Dual Modes(Luscious Black)</t>
  </si>
  <si>
    <t>JBL C50HI, Wired in Ear Headphones with Mic, One Button Multi-Function Remote, Lightweight &amp; Comfortable fit (Black)</t>
  </si>
  <si>
    <t>LAPSTER Spiral Charger Spiral Charger Cable Protectors for Wires Data Cable Saver Charging Cord Protective Cable Cover Set of 3 (12 Pieces)</t>
  </si>
  <si>
    <t>HP v236w USB 2.0 64GB Pen Drive, Metal</t>
  </si>
  <si>
    <t>HP X1000 Wired USB Mouse with 3 Handy Buttons, Fast-Moving Scroll Wheel and Optical Sensor works on most Surfaces (H2C21AA, Black/Grey)</t>
  </si>
  <si>
    <t>Portronics Toad 23 Wireless Optical Mouse with 2.4GHz, USB Nano Dongle, Optical Orientation, Click Wheel, Adjustable DPI(Black)</t>
  </si>
  <si>
    <t>Boult Audio BassBuds X1 in-Ear Wired Earphones with 10mm Extra Bass Driver and HD Sound with mic(Black)</t>
  </si>
  <si>
    <t>Dell KB216 Wired Multimedia USB Keyboard with Super Quite Plunger Keys with Spill-Resistant ‚Äì Black</t>
  </si>
  <si>
    <t>Dell MS116 1000Dpi USB Wired Optical Mouse, Led Tracking, Scrolling Wheel, Plug and Play.</t>
  </si>
  <si>
    <t>Boya ByM1 Auxiliary Omnidirectional Lavalier Condenser Microphone with 20ft Audio Cable (Black)</t>
  </si>
  <si>
    <t>Duracell Ultra Alkaline AA Battery, 8 Pcs</t>
  </si>
  <si>
    <t>Classmate Octane Neon- Blue Gel Pens(Pack of 5)|Smooth Writing Pen|Attractive body colour for Boys &amp; Girls|Waterproof ink for smudge free writing|Preferred by Students for Exam|Study at home essential</t>
  </si>
  <si>
    <t>3M Scotch Double Sided Heavy Duty Tape(1m holds 4.5Kgs) for indoor hanging applications (Photo frames, Mirrors, Key Holders, Car Interiors, Extension Boards, Wall decoration, etc)(L: 3m, W: 24mm)</t>
  </si>
  <si>
    <t>boAt Bassheads 152 in Ear Wired Earphones with Mic(Active Black)</t>
  </si>
  <si>
    <t>boAt BassHeads 122 Wired Earphones with Heavy Bass, Integrated Controls and Mic (Gun Metal)</t>
  </si>
  <si>
    <t>Dell USB Wireless Keyboard and Mouse Set- KM3322W, Anti-Fade &amp; Spill-Resistant Keys, up to 36 Month Battery Life, 3Y Advance Exchange Warranty, Black</t>
  </si>
  <si>
    <t>Seagate Expansion 1TB External HDD - USB 3.0 for Windows and Mac with 3 yr Data Recovery Services, Portable Hard Drive (STKM1000400)</t>
  </si>
  <si>
    <t>HP w100 480P 30 FPS Digital Webcam with Built-in Mic, Plug and Play Setup, Wide-Angle View for Video Calling on Skype, Zoom, Microsoft Teams and Other Apps (Black)</t>
  </si>
  <si>
    <t>ZEBRONICS Zeb-Dash Plus 2.4GHz High Precision Wireless Mouse with up to 1600 DPI, Power Saving Mode, Nano Receiver and Plug &amp; Play Usage - USB</t>
  </si>
  <si>
    <t>Zebronics Zeb-Companion 107 USB Wireless Keyboard and Mouse Set with Nano Receiver (Black)</t>
  </si>
  <si>
    <t>SYVO WT 3130 Aluminum Tripod (133CM), Universal Lightweight Tripod with Mobile Phone Holder Mount &amp; Carry Bag for All Smart Phones, Gopro, Cameras - Brown</t>
  </si>
  <si>
    <t>Boult Audio Airbass Z20 True Wireless, 40H Battery Life, Zen ENC Mic, Type-C Lightning Boult Fast Charging (10Mins=100Mins), BoomX Tech Bass, ENC, IPX5 in Ear Earbuds with mic (Green)</t>
  </si>
  <si>
    <t>SanDisk Ultra Flair 64GB USB 3.0 Pen Drive, Multicolor</t>
  </si>
  <si>
    <t>boAt Rockerz 330 in-Ear Bluetooth Neckband with Upto 30 Hours Playtime, ASAP  Charge, Signature Sound, Dual Pairing &amp; IPX5 with Mic (Active Black)</t>
  </si>
  <si>
    <t>Casio FX-991ES Plus-2nd Edition Scientific Calculator, Black</t>
  </si>
  <si>
    <t>TP-Link AC750 Wifi Range Extender | Up to 750Mbps | Dual Band WiFi Extender, Repeater, Wifi Signal Booster, Access Point| Easy Set-Up | Extends Wifi to Smart Home &amp; Alexa Devices (RE200)</t>
  </si>
  <si>
    <t>boAt Bassheads 242 in Ear Wired Earphones with Mic(Blue)</t>
  </si>
  <si>
    <t>DIGITEK¬Æ (DTR 260 GT) Gorilla Tripod/Mini 33 cm (13 Inch) Tripod for Mobile Phone with Phone Mount &amp; Remote, Flexible Gorilla Stand for DSLR &amp; Action Cameras</t>
  </si>
  <si>
    <t>HP 805 Black Original Ink Cartridge</t>
  </si>
  <si>
    <t>GIZGA essentials Universal Silicone Keyboard Protector Skin for 15.6-inches Laptop (5 x 6 x 3 inches)</t>
  </si>
  <si>
    <t>SanDisk Ultra 128 GB USB 3.0 Pen Drive (Black)</t>
  </si>
  <si>
    <t>Boult Audio ZCharge Bluetooth Wireless in Ear Earphones with Mic, 40H Playtime and Super Fast Charging, Environmental Noise Cancellation for Pro+ Calling and IPX5 Water Resistant (Black)</t>
  </si>
  <si>
    <t>Dell WM118 Wireless Mouse, 2.4 Ghz with USB Nano Receiver, Optical Tracking, 12-Months Battery Life, Ambidextrous, Pc/Mac/Laptop - Black.</t>
  </si>
  <si>
    <t>Boult Audio AirBass PowerBuds with Inbuilt Powerbank, 120H Total Playtime, IPX7 Fully Waterproof, Lightning Boult Type-C Fast Charging, Low Latency Gaming, TWS Earbuds with Pro+ Calling Mic (Black)</t>
  </si>
  <si>
    <t>Eveready 1015 Carbon Zinc AA Battery - 10 Pieces</t>
  </si>
  <si>
    <t>Zebronics Zeb-Transformer-M Optical USB Gaming Mouse with LED Effect(Black)</t>
  </si>
  <si>
    <t>PIDILITE Fevicryl Acrylic Colours Sunflower Kit (10 Colors x 15 ml) DIY Paint, Rich Pigment, Non-Craking Paint for Canvas, Wood, Leather, Earthenware, Metal, Diwali Gifts for Diwali</t>
  </si>
  <si>
    <t>STRIFF Mpad Mouse Mat 230X190X3mm Gaming Mouse Pad, Non-Slip Rubber Base, Waterproof Surface, Premium-Textured, Compatible with Laser and Optical Mice(Universe Black)</t>
  </si>
  <si>
    <t>Gizga Essentials Hard Drive Case Shell, 6.35cm/2.5-inch, Portable Storage Organizer Bag for Earphone USB Cable Power Bank Mobile Charger Digital Gadget Hard Disk, Water Resistance Material, Black</t>
  </si>
  <si>
    <t>Boult Audio FXCharge with ENC, 32H Playtime, 5min=7H Type C Fast Charging, Zen ENC, 14.2 mm BoomX Rich Bass, IPX5, Bluetooth Wireless in Ear Earphones Neckband with mic (Black)</t>
  </si>
  <si>
    <t>Boult Audio Probass Curve Bluetooth Wireless in Ear Earphones with Mic with Ipx5 Water Resistant, 12H Battery Life &amp; Extra Bass (Black)</t>
  </si>
  <si>
    <t>Casio FX-82MS 2nd Gen Non-Programmable Scientific Calculator, 240 Functions and 2-line Display, Black</t>
  </si>
  <si>
    <t>Tygot 10 Inches Big LED Ring Light for Camera, Phone tiktok YouTube Video Shooting and Makeup, 10" inch Ring Light with 7 Feet Long Foldable and Lightweight Tripod Stand</t>
  </si>
  <si>
    <t>HP X200 Wireless Mouse with 2.4 GHz Wireless connectivity, Adjustable DPI up to 1600, ambidextrous Design, and 18-Month Long Battery Life. 3-Years Warranty (6VY95AA)</t>
  </si>
  <si>
    <t>Oakter Mini UPS for 12V WiFi Router Broadband Modem | Backup Upto 4 Hours | WiFi Router UPS Power Backup During Power Cuts | UPS for 12V Router Broadband Modem | Current Surge &amp; Deep Discharge Protection</t>
  </si>
  <si>
    <t>TP-Link Archer AC1200 Archer C6 Wi-Fi Speed Up to 867 Mbps/5 GHz + 400 Mbps/2.4 GHz, 5 Gigabit Ports, 4 External Antennas, MU-MIMO, Dual Band, WiFi Coverage with Access Point Mode, Black</t>
  </si>
  <si>
    <t>boAt Rockerz 550 Over Ear Bluetooth Headphones with Upto 20 Hours Playback, 50MM Drivers, Soft Padded Ear Cushions and Physical Noise Isolation, Without Mic (Black)</t>
  </si>
  <si>
    <t>Xiaomi Mi Wired in Ear Earphones with Mic Basic with Ultra Deep Bass &amp; Aluminum Alloy Sound Chamber (Black)</t>
  </si>
  <si>
    <t>Zodo 8. 5 inch LCD E-Writer Electronic Writing Pad/Tablet Drawing Board (Paperless Memo Digital Tablet)</t>
  </si>
  <si>
    <t>Zebronics ZEB-KM2100 Multimedia USB Keyboard Comes with 114 Keys Including 12 Dedicated Multimedia Keys &amp; with Rupee Key</t>
  </si>
  <si>
    <t>ZEBRONICS Zeb-Comfort Wired USB Mouse, 3-Button, 1000 DPI Optical Sensor, Plug &amp; Play, for Windows/Mac, Black</t>
  </si>
  <si>
    <t>boAt Rockerz 370 On Ear Bluetooth Headphones with Upto 12 Hours Playtime, Cozy Padded Earcups and Bluetooth v5.0, with Mic (Buoyant Black)</t>
  </si>
  <si>
    <t>ZEBRONICS Zeb-Astra 20 Wireless BT v5.0 Portable Speaker with 10W RMS Output, TWS, 10H Backup Approx, Built in Rechargeable Battery FM Radio, AUX, mSD, USB, Call Function and Dual 52mm Drivers Multi</t>
  </si>
  <si>
    <t>Panasonic CR-2032/5BE Lithium Coin Battery - Pack of 5</t>
  </si>
  <si>
    <t>MemeHo¬Æ Smart Standard Multi-Purpose Laptop Table with Dock Stand/Study Table/Bed Table/Foldable and Portable/Ergonomic &amp; Rounded Edges/Non-Slip Legs/Engineered Wood with Cup Holder (Black)</t>
  </si>
  <si>
    <t>SanDisk Ultra Dual Drive Go USB Type C Pendrive for Mobile (Black, 128 GB, 5Y - SDDDC3-128G-I35)</t>
  </si>
  <si>
    <t>Tizum Mouse Pad/ Computer Mouse Mat with Anti-Slip Rubber Base | Smooth Mouse Control | Spill-Resistant Surface for Laptop, Notebook, MacBook, Gaming, Laser/ Optical Mouse, 9.4‚Äùx 7.9‚Äù, Multicolored</t>
  </si>
  <si>
    <t>Epson 003 65 ml for EcoTank L1110/L3100/L3101/L3110/L3115/L3116/L3150/L3151/L3152/L3156/L5190 Black Ink Bottle</t>
  </si>
  <si>
    <t>ZEBRONICS Zeb-Thunder Bluetooth Wireless Over Ear Headphone FM, mSD, 9 hrs Playback with Mic (Black)</t>
  </si>
  <si>
    <t>STRIFF Laptop Tabletop Stand, Fold-Up, Adjustable, Ventilated, Portable Holder for Desk, Aluminum Foldable Laptop Ergonomic Compatibility with up to 15.6-inch Laptop, All Mac, Tab, and Mobile (Silver)</t>
  </si>
  <si>
    <t>Logitech M221 Wireless Mouse, Silent Buttons, 2.4 GHz with USB Mini Receiver, 1000 DPI Optical Tracking, 18-Month Battery Life, Ambidextrous PC / Mac / Laptop - Charcoal Grey</t>
  </si>
  <si>
    <t>Classmate Soft Cover 6 Subject Spiral Binding Notebook, Single Line, 300 Pages</t>
  </si>
  <si>
    <t>HP 150 Wireless USB Mouse with Ergonomic and ambidextrous Design, 1600 DPI Optical Tracking, 2.4 GHz Wireless connectivity, Dual-Function Scroll Wheel and 12 Month Long Battery Life. 3-Years Warranty.</t>
  </si>
  <si>
    <t>Duracell Rechargeable AA 1300mAh Batteries, 4Pcs</t>
  </si>
  <si>
    <t>boAt Airdopes 181 in-Ear True Wireless Earbuds with ENx  Tech, Beast  Mode(Low Latency Upto 60ms) for Gaming, with Mic, ASAP  Charge, 20H Playtime, Bluetooth v5.2, IPX4 &amp; IWP (Cool Grey)</t>
  </si>
  <si>
    <t>TP-Link USB Bluetooth Adapter for PC, 5.0 Bluetooth Dongle Receiver (UB500) Supports Windows 11/10/8.1/7 for Desktop, Laptop, Mouse, Keyboard, Printers, Headsets, Speakers, PS4/ Xbox Controllers</t>
  </si>
  <si>
    <t>SanDisk Ultra Dual Drive Luxe USB Type C Flash Drive (Silver, 128 GB, 5Y - SDDDC4-128G-I35)</t>
  </si>
  <si>
    <t>rts [2 Pack] Mini USB C Type C Adapter Plug, Type C Female to USB A Male Charger Charging Cable Adapter Converter compatible for iPhone, Samsung S20 ultra/S21/S10/S8/S9/MacBook Pro iPad Silver</t>
  </si>
  <si>
    <t>HP 682 Black Original Ink Cartridge</t>
  </si>
  <si>
    <t>Logitech H111 Wired On Ear Headphones With Mic Black</t>
  </si>
  <si>
    <t>Digitek DTR 550 LW (67 Inch) Tripod For DSLR, Camera |Operating Height: 5.57 Feet | Maximum Load Capacity up to 4.5kg | Portable Lightweight Aluminum Tripod with 360 Degree Ball Head | Carry Bag Included (Black) (DTR 550LW)</t>
  </si>
  <si>
    <t>TP-Link TL-WA850RE Single_Band 300Mbps RJ45 Wireless Range Extender, Broadband/Wi-Fi Extender, Wi-Fi Booster/Hotspot with 1 Ethernet Port, Plug and Play, Built-in Access Point Mode, White</t>
  </si>
  <si>
    <t>COI Note Pad/Memo Book with Sticky Notes &amp; Clip Holder with Pen for Gifting</t>
  </si>
  <si>
    <t>Fujifilm Instax Mini Single Pack 10 Sheets Instant Film for Fuji Instant Cameras</t>
  </si>
  <si>
    <t>Samsung Galaxy Watch4 Bluetooth(4.4 cm, Black, Compatible with Android only)</t>
  </si>
  <si>
    <t>Noise Buds Vs104 Bluetooth Truly Wireless in Ear Earbuds with Mic, 30-Hours of Playtime, Instacharge, 13Mm Driver and Hyper Sync (Charcoal Black)</t>
  </si>
  <si>
    <t>Duracell Ultra Alkaline AAA Battery, 8 Pcs</t>
  </si>
  <si>
    <t>JBL C200SI, Premium in Ear Wired Earphones with Mic, Signature Sound, One Button Multi-Function Remote, Angled Earbuds for Comfort fit (Blue)</t>
  </si>
  <si>
    <t>Acer EK220Q 21.5 Inch (54.61 cm) Full HD (1920x1080) VA Panel LCD Monitor with LED Back Light I 250 Nits I HDMI, VGA Ports I Eye Care Features Like Bluelight Shield, Flickerless &amp; Comfy View (Black)</t>
  </si>
  <si>
    <t>E-COSMOS 5V 1.2W Portable Flexible USB LED Light (Colors May Vary, Small) - Set of 2 Pieces</t>
  </si>
  <si>
    <t>boAt Dual Port Rapid Car Charger (Qualcomm Certified) with Quick Charge 3.0 + Free Micro USB Cable - (Black)</t>
  </si>
  <si>
    <t>Zebronics ZEB-COUNTY 3W Wireless Bluetooth Portable Speaker With Supporting Carry Handle, USB, SD Card, AUX, FM &amp; Call Function. (Green)</t>
  </si>
  <si>
    <t>Zebronics Wired Keyboard and Mouse Combo with 104 Keys and a USB Mouse with 1200 DPI - JUDWAA 750</t>
  </si>
  <si>
    <t>JBL Tune 215BT, 16 Hrs Playtime with Quick Charge, in Ear Bluetooth Wireless Earphones with Mic, 12.5mm Premium Earbuds with Pure Bass, BT 5.0, Dual Pairing, Type C &amp; Voice Assistant Support (Black)</t>
  </si>
  <si>
    <t>Gizga Essentials Professional 3-in-1 Cleaning Kit for Camera, Lens, Binocular, Laptop, TV, Monitor, Smartphone, Tablet (Includes: Cleaning Liquid 100ml, Plush Microfiber Cloth, Dust Removal Brush)</t>
  </si>
  <si>
    <t>SanDisk Ultra Dual 64 GB USB 3.0 OTG Pen Drive (Black)</t>
  </si>
  <si>
    <t>TP-Link Tapo 360¬∞ 2MP 1080p Full HD Pan/Tilt Home Security Wi-Fi Smart Camera| Alexa Enabled| 2-Way Audio| Night Vision| Motion Detection| Sound and Light Alarm| Indoor CCTV (Tapo C200) White</t>
  </si>
  <si>
    <t>boAt Airdopes 171 in Ear Bluetooth True Wireless Earbuds with Upto 13 Hours Battery, IPX4, Bluetooth v5.0, Dual Tone Finish with Mic (Mysterious Blue)</t>
  </si>
  <si>
    <t>Duracell Plus AAA Rechargeable Batteries (750 mAh) Pack of 4</t>
  </si>
  <si>
    <t>Logitech B100 Wired USB Mouse, 3 yr Warranty, 800 DPI Optical Tracking, Ambidextrous PC/Mac/Laptop - Black</t>
  </si>
  <si>
    <t>Noise Pulse Buzz 1.69" Bluetooth Calling Smart Watch with Call Function, 150 Watch Faces, 60 Sports Modes, Spo2 &amp; Heart Rate Monitoring, Calling Smart Watch for Men &amp; Women - Jet Black</t>
  </si>
  <si>
    <t>Classmate 2100117 Soft Cover 6 Subject Spiral Binding Notebook, Single Line, 300 Pages</t>
  </si>
  <si>
    <t>AirCase Rugged Hard Drive Case for 2.5-inch Western Digital, Seagate, Toshiba, Portable Storage Shell for Gadget Hard Disk USB Cable Power Bank Mobile Charger Earphone, Waterproof (Black)</t>
  </si>
  <si>
    <t>Noise Buds VS402 Truly Wireless in Ear Earbuds, 35-Hours of Playtime, Instacharge, Quad Mic with ENC, Hyper Sync, Low Latency, 10mm Driver, Bluetooth v5.3 and Breathing LED Lights (Neon Black)</t>
  </si>
  <si>
    <t>JBL Go 2, Wireless Portable Bluetooth Speaker with Mic, JBL Signature Sound, Vibrant Color Options with IPX7 Waterproof &amp; AUX (Blue)</t>
  </si>
  <si>
    <t>Robustrion Tempered Glass Screen Protector for iPad 10.2 inch 9th Gen Generation 2021 8th Gen 2020 7th Gen 2019</t>
  </si>
  <si>
    <t>Redgear Pro Wireless Gamepad with 2.4GHz Wireless Technology, Integrated Dual Intensity Motor, Illuminated Keys for PC(Compatible with Windows 7/8/8.1/10 only)</t>
  </si>
  <si>
    <t>Logitech M235 Wireless Mouse, 1000 DPI Optical Tracking, 12 Month Life Battery, Compatible with Windows, Mac, Chromebook/PC/Laptop</t>
  </si>
  <si>
    <t>TP-link N300 WiFi Wireless Router TL-WR845N | 300Mbps Wi-Fi Speed | Three 5dBi high gain Antennas | IPv6 Compatible | AP/RE/WISP Mode | Parental Control | Guest Network</t>
  </si>
  <si>
    <t>Logitech MK240 Nano Wireless USB Keyboard and Mouse Set, 12 Function Keys 2.4GHz Wireless, 1000DPI, Spill-Resistant Design, PC/Mac, Black/Chartreuse Yellow</t>
  </si>
  <si>
    <t>Callas Multipurpose Foldable Laptop Table with Cup Holder | Drawer | Mac Holder | Table Holder Study Table, Breakfast Table, Foldable and Portable/Ergonomic &amp; Rounded Edges/Non-Slip Legs (WA-27-Black)</t>
  </si>
  <si>
    <t>Casio MJ-12D 150 Steps Check and Correct Desktop Calculator</t>
  </si>
  <si>
    <t>Amazon Basics Multipurpose Foldable Laptop Table with Cup Holder, Brown</t>
  </si>
  <si>
    <t>Kanget [2 Pack] Type C Female to USB A Male Charger | Charging Cable Adapter Converter compatible for iPhone 14, 13, 12,11 Pro Max/Mini/XR/XS/X/SE, Samsung S20 ultra/S21/S10/S8/S9/MacBook Pro iPad (Grey)</t>
  </si>
  <si>
    <t>Amazon Basics Magic Slate 8.5-inch LCD Writing Tablet with Stylus Pen, for Drawing, Playing, Noting by Kids &amp; Adults, Black</t>
  </si>
  <si>
    <t>Zebronics ZEB-90HB USB Hub, 4 Ports, Pocket Sized, Plug &amp; Play, for Laptop &amp; Computers</t>
  </si>
  <si>
    <t>Noise ColorFit Pro 2 Full Touch Control Smart Watch with 35g Weight &amp; Upgraded LCD Display,IP68 Waterproof,Heart Rate Monitor,Sleep &amp; Step Tracker,Call &amp; Message Alerts &amp; Long Battery Life (Jet Black)</t>
  </si>
  <si>
    <t>Zebronics Zeb Buds C2 in Ear Type C Wired Earphones with Mic, Braided 1.2 Metre Cable, Metallic Design, 10mm Drivers, in Line Mic &amp; Volume Controller (Blue)</t>
  </si>
  <si>
    <t>Redgear A-15 Wired Gaming Mouse with Upto 6400 DPI, RGB &amp; Driver Customization for PC(Black)</t>
  </si>
  <si>
    <t>JBL Commercial CSLM20B Auxiliary Omnidirectional Lavalier Microphone with Battery for Content Creation, Voiceover/Dubbing, Recording (Black,Small)</t>
  </si>
  <si>
    <t>Fire-Boltt India's No 1 Smartwatch Brand Ring Bluetooth Calling with SpO2 &amp; 1.7‚Äù Metal Body with Blood Oxygen Monitoring, Continuous Heart Rate, Full Touch &amp; Multiple Watch Faces</t>
  </si>
  <si>
    <t>Eveready Red 1012 AAA Batteries - Pack of 10</t>
  </si>
  <si>
    <t>SanDisk Extreme microSD UHS I Card 128GB for 4K Video on Smartphones,Action Cams 190MB/s Read,90MB/s Write</t>
  </si>
  <si>
    <t>Portronics MPORT 31C 4-in-1 USB Hub (Type C to 4 USB-A Ports) with Fast Data Transfer</t>
  </si>
  <si>
    <t>Infinity (JBL Fuze Pint, Wireless Ultra Portable Mini Speaker with Mic, Deep Bass, Dual Equalizer, Bluetooth 5.0 with Voice Assistant Support for Mobiles (Black)</t>
  </si>
  <si>
    <t>AirCase Protective Laptop Bag Sleeve fits Upto 13.3" Laptop/ MacBook, Wrinkle Free, Padded, Waterproof Light Neoprene case Cover Pouch, for Men &amp; Women, Black- 6 Months Warranty</t>
  </si>
  <si>
    <t>Brand Conquer 6 in 1 with OTG, SD Card Reader, USB Type C, USB 3.0 and Micro USB, for Memory Card | Portable Card Reader | Compatible with TF, SD, Micro SD, SDHC, SDXC, MMC, RS-MMC, Micro SDXC</t>
  </si>
  <si>
    <t>TP-Link AC750 Dual Band Wireless Cable Router, 4 10/100 LAN + 10/100 WAN Ports, Support Guest Network and Parental Control, 750Mbps Speed Wi-Fi, 3 Antennas (Archer C20) Blue, 2.4 GHz</t>
  </si>
  <si>
    <t>Parker Quink Ink Bottle, Blue</t>
  </si>
  <si>
    <t>STRIFF Laptop Stand Adjustable Laptop Computer Stand Multi-Angle Stand Phone Stand Portable Foldable Laptop Riser Notebook Holder Stand Compatible for 9 to 15.6‚Äù Laptops Black(Black)</t>
  </si>
  <si>
    <t>Logitech MK215 Wireless Keyboard and Mouse Combo for Windows, 2.4 GHz Wireless, Compact Design, 2-Year Battery Life(Keyboard),5 Month Battery Life(Mouse) PC/Laptop- Black</t>
  </si>
  <si>
    <t>boAt Bassheads 225 in Ear Wired Earphones with Mic(Blue)</t>
  </si>
  <si>
    <t>Luxor 5 Subject Single Ruled Notebook - A4, 70 GSM, 300 pages</t>
  </si>
  <si>
    <t>Duracell Chhota Power AA Battery Set of 10 Pcs</t>
  </si>
  <si>
    <t>Zebronics Zeb-Transformer Gaming Keyboard and Mouse Combo (USB, Braided Cable)</t>
  </si>
  <si>
    <t>SanDisk Ultra 64 GB USB Pen Drives (SDDDC2-064G-I35, Black, Silver)</t>
  </si>
  <si>
    <t>Parker Classic Gold Gold Trim Ball Pen</t>
  </si>
  <si>
    <t>Tarkan Portable Folding Laptop Desk for Bed, Lapdesk with Handle, Drawer, Cup &amp; Mobile/Tablet Holder for Study, Eating, Work (Black)</t>
  </si>
  <si>
    <t>Quantum RJ45 Ethernet Patch Cable/LAN Router Cable with Heavy Duty Gold Plated Connectors Supports Hi-Speed Gigabit Upto 1000Mbps, Waterproof and Durable,1-Year Warranty-32.8 Feet (10 Meters)(White)</t>
  </si>
  <si>
    <t>HP USB Wireless Spill Resistance Keyboard and Mouse Set with 10m Working Range 2.4G Wireless Technology / 3 Years Warranty (4SC12PA), Black</t>
  </si>
  <si>
    <t>HUMBLE Dynamic Lapel Collar Mic Voice Recording Filter Microphone for Singing Youtube SmartPhones, Black</t>
  </si>
  <si>
    <t>Boult Audio Omega with 30dB ANC+ ENC, 32H Playtime, 45ms Latency Gaming Mode, Quad Mic Zen ENC, 3 Equalizer Modes, ANC, Type-C Fast Charging, IPX5 True Wireless in Ear Bluetooth Earbuds (Black)</t>
  </si>
  <si>
    <t>STRIFF UPH2W Multi Angle Tablet/Mobile Stand. Holder for iPhone, Android, Samsung, OnePlus, Xiaomi. Portable,Foldable Stand.Perfect for Bed,Office, Home,Gift and Desktop (White)</t>
  </si>
  <si>
    <t>Amazon Basics Wireless Mouse | 2.4 GHz Connection, 1600 DPI | Type - C Adapter | Upto 12 Months of Battery Life | Ambidextrous Design | Suitable for PC/Mac/Laptop</t>
  </si>
  <si>
    <t>Crucial RAM 8GB DDR4 3200MHz CL22 (or 2933MHz or 2666MHz) Laptop Memory CT8G4SFRA32A</t>
  </si>
  <si>
    <t>APC Back-UPS BX600C-IN 600VA / 360W, 230V, UPS System, an Ideal Power Backup &amp; Protection for Home Office, Desktop PC &amp; Home Electronics</t>
  </si>
  <si>
    <t>Luxor 5 Subject Single Ruled Notebook - A5 Size, 70 GSM, 300 Pages</t>
  </si>
  <si>
    <t>Zebronics Zeb-Jaguar Wireless Mouse, 2.4GHz with USB Nano Receiver, High Precision Optical Tracking, 4 Buttons, Plug &amp; Play, Ambidextrous, for PC/Mac/Laptop (Black+Grey)</t>
  </si>
  <si>
    <t>Boult Audio Truebuds with 30H Playtime, IPX7 Waterproof, Lightning Boult‚Ñ¢ Type C Fast Charging (10 Min=100Mins), BoomX‚Ñ¢ Tech Rich Bass, Pro+ Calling HD Mic, Touch Controls in Ear Earbuds TWS (Grey)</t>
  </si>
  <si>
    <t>Wembley LCD Writing Pad/Tab | Writing, Drawing, Reusable, Portable Pad with Colorful Letters | 9 Inch Graphic Tablet (Assorted)</t>
  </si>
  <si>
    <t>Gizga Essentials Multi-Purpose Portable &amp; Foldable Wooden Desk for Bed Tray, Laptop Table, Study Table (Black)</t>
  </si>
  <si>
    <t>E-COSMOS Plug in LED Night Light Mini USB LED Light Flexible USB LED Ambient Light Mini USB LED Light, LED Portable car Bulb, Indoor, Outdoor, Reading, Sleep (4 pcs)</t>
  </si>
  <si>
    <t>Noise Buds VS201 V2 in-Ear Truly Wireless Earbuds with Dual Equalizer | with Mic | Total 14-Hour Playtime | Full Touch Control | IPX5 Water Resistance and Bluetooth v5.1 (Olive Green)</t>
  </si>
  <si>
    <t>Lapster Gel Mouse pad with Wrist Rest , Gaming Mouse Pad with Lycra Cloth Nonslip for Laptop , Computer, , Home &amp; Office (Black)</t>
  </si>
  <si>
    <t>Gizga Essentials Earphone Carrying Case, Multi-Purpose Pocket Storage Travel Organizer for Earphones, Headset, Pen Drives, SD Cards, Shock-Proof Ballistic Nylon, Soft Fabric, Mesh Pocket, Green</t>
  </si>
  <si>
    <t>SanDisk Ultra SDHC UHS-I Card 32GB 120MB/s R for DSLR Cameras, for Full HD Recording, 10Y Warranty</t>
  </si>
  <si>
    <t>DIGITEK¬Æ (DRL-14C) Professional (31cm) Dual Temperature LED Ring Light with Tripod Stand &amp; Mini Tripod for YouTube, Photo-Shoot, Video Shoot, Live Stream, Makeup, Vlogging &amp; More</t>
  </si>
  <si>
    <t>Classmate Long Notebook - 140 Pages, Single Line, 297mm x 210mm (Pack of 12)</t>
  </si>
  <si>
    <t>Lenovo 300 Wired Plug &amp; Play USB Mouse, High Resolution 1600 DPI Optical Sensor, 3-Button Design with clickable Scroll Wheel, Ambidextrous, Ergonomic Mouse for Comfortable All-Day Grip (GX30M39704)</t>
  </si>
  <si>
    <t>Dyazo 6 Angles Adjustable Aluminum Ergonomic Foldable Portable Tabletop Laptop/Desktop Riser Stand Holder Compatible for MacBook, HP, Dell, Lenovo &amp; All Other Notebook (Silver)</t>
  </si>
  <si>
    <t>Western Digital WD 2TB My Passport Portable Hard Disk Drive, USB 3.0 with¬† Automatic Backup, 256 Bit AES Hardware Encryption,Password Protection,Compatible with Windows and Mac, External HDD-Black</t>
  </si>
  <si>
    <t>Logitech C270 Digital HD Webcam with Widescreen HD Video Calling, HD Light Correction, Noise-Reducing Mic, for Skype, FaceTime, Hangouts, WebEx, PC/Mac/Laptop/MacBook/Tablet - (Black, HD 720p/30fps)</t>
  </si>
  <si>
    <t>Portronics MPORT 31 4 Ports USB Hub (USB A to 4 USB-A Ports 4 in 1 Connector USB HUB(Grey)</t>
  </si>
  <si>
    <t>AirCase Protective Laptop Bag Sleeve fits Upto 15.6" Laptop/ MacBook, Wrinkle Free, Padded, Waterproof Light Neoprene case Cover Pouch, for Men &amp; Women, Black- 6 Months Warranty</t>
  </si>
  <si>
    <t>Zinq Five Fan Cooling Pad and Laptop Stand with Dual Height Adjustment and Dual USB Port Extension (Black)</t>
  </si>
  <si>
    <t>Gizga Essentials Webcam Cover, Privacy Protector Webcam Cover Slide, Compatible with Laptop, Desktop, PC, Smartphone, Protect Your Privacy and Security, Strong Adhesive, Set of 3, Black</t>
  </si>
  <si>
    <t>HP Z3700 Wireless Optical Mouse with USB Receiver and 2.4GHz Wireless Connection/ 1200DPI / 16 Months Long Battery Life /Ambidextrous and Slim Design (Modern Gold)</t>
  </si>
  <si>
    <t>MAONO AU-400 Lavalier Auxiliary Omnidirectional Microphone (Black)</t>
  </si>
  <si>
    <t>TABLE MAGIC Multipurpose Laptop Table Mat Finish Top Work at Home Study Table (TM Regular- Black) (Alloy Steel)</t>
  </si>
  <si>
    <t>GIZGA Essentials Portable Tabletop Tablet Stand Mobile Holder, Desktop Stand, Cradle, Dock for iPad, Smartphone, Kindle, E-Reader, Fully Foldable, Adjustable Angle, Anti-Slip Pads, Black</t>
  </si>
  <si>
    <t>boAt Stone 650 10W Bluetooth Speaker with Upto 7 Hours Playback, IPX5 and Integrated Controls (Blue)</t>
  </si>
  <si>
    <t>ESnipe Mart Worldwide Travel Adapter with Build in Dual USB Charger Ports with 125V 6A, 250V Protected Electrical Plug for Laptops, Cameras (White)</t>
  </si>
  <si>
    <t>boAt Stone 180 5W Bluetooth Speaker with Upto 10 Hours Playback, 1.75" Driver, IPX7 &amp; TWS Feature(Black)</t>
  </si>
  <si>
    <t>Portronics Ruffpad 8.5M Multicolor LCD Writing Pad with Screen 21.5cm (8.5-inch) for Drawing, Playing, Handwriting Gifts for Kids &amp; Adults, India's first notepad to save and share your child's first creatives via Ruffpad app on your Smartphone(Black)</t>
  </si>
  <si>
    <t>BRUSTRO Copytinta Coloured Craft Paper A4 Size 80 GSM Mixed Bright Colour 40 Sheets Pack (10 cols X 4 Sheets) Double Side Color for Office Printing, Art and Craft.</t>
  </si>
  <si>
    <t>Cuzor 12V Mini ups for WiFi Router | Power Backup up to 4 Hours | Replaceable Battery | Ups for Wi-Fi Router and Modem | Ups for Router up to 2A | ups for uninterrupted wi-fi</t>
  </si>
  <si>
    <t>Crucial BX500 240GB 3D NAND SATA 6.35 cm (2.5-inch) SSD (CT240BX500SSD1)</t>
  </si>
  <si>
    <t>Classmate Pulse Spiral Notebook - 240 mm x 180 mm, Soft Cover, 200 Pages, Unruled</t>
  </si>
  <si>
    <t>Portronics My buddy plus Adjustable Laptop cooling Table (Brown)</t>
  </si>
  <si>
    <t>ZEBRONICS Zeb-Evolve Wireless in Ear Neckband Earphone with Supporting Bluetooth v5.0, Voice Assistant, Rapid Charge, Call Function &amp; Magnetic Earpiece, with mic (Metallic Blue)</t>
  </si>
  <si>
    <t>INOVERA World Map Extended Anti Slip Rubber Gaming Stitched Mouse Pad Desk Mat for Computer Laptop (Black, 900L x 400B x 2H mm)</t>
  </si>
  <si>
    <t>Seagate One Touch 2TB External HDD with Password Protection ‚Äì Black, for Windows and Mac, with 3 yr Data Recovery Services, and 4 Months Adobe CC Photography (STKY2000400)</t>
  </si>
  <si>
    <t>ZEBRONICS Zeb-Fame 5watts 2.0 Multi Media Speakers with AUX, USB and Volume Control (Black)</t>
  </si>
  <si>
    <t>TVARA LCD Writing Tablet 8.5 Inch E-Note Pad LCD Writing Tablet, Kids Drawing Pad 8.5 Inch Doodle Board, Toddler Boy and Girl Learning Gift for 3 4 5 6 Years Old, Black</t>
  </si>
  <si>
    <t>Western Digital WD 1.5TB Elements Portable Hard Disk Drive, USB 3.0, Compatible with PC, PS4 and Xbox, External HDD (WDBU6Y0015BBK-WESN)</t>
  </si>
  <si>
    <t>Redgear MP35 Speed-Type Gaming Mousepad (Black/Red)</t>
  </si>
  <si>
    <t>Lenovo 400 Wireless Mouse, 1200DPI Optical Sensor, 2.4GHz Wireless Nano USB, 3-Button (Left,Right,Scroll) Upto 8M Left/Right &amp; 100K Scroll clicks &amp; 1yr Battery, Ambidextrous, Ergonomic GY50R91293</t>
  </si>
  <si>
    <t>Logitech K480 Wireless Multi-Device Keyboard for Windows, macOS, iPadOS, Android or Chrome OS, Bluetooth, Compact, Compatible with PC, Mac, Laptop, Smartphone, Tablet - Black</t>
  </si>
  <si>
    <t>RESONATE RouterUPS CRU12V2A | Zero Drop | UPS for WiFi Router | Mini UPS | Up to 4 Hours PowerBackup | Battery Replacement Program | Router UPS Compatible with 12V &lt;2A Routers, FTTH, Modem, Set Top Box, Alexa, Mini Camera</t>
  </si>
  <si>
    <t>3M Post-it Sticky Note Cube, 200 Sheets (4 Colors x 50 Sheets) | 3" x 3" Size | For notes, reminders, study, school and organizing</t>
  </si>
  <si>
    <t>OFIXO Multi-Purpose Laptop Table/Study Table/Bed Table/Foldable and Portable Wooden/Writing Desk (Wooden)</t>
  </si>
  <si>
    <t>Fire-Boltt Ninja Calling 1.69" Bluetooth Calling Smart Watch, Dial Pad, Speaker, AI Voice Assistant with 450 NITS Peak Brightness, Wrist Gaming &amp; 100+ Watch Faces with SpO2, HR, Multiple Sports Mode</t>
  </si>
  <si>
    <t>Airtel AMF-311WW Data Card (Black), 4g Hotspot Support with 2300 Mah Battery</t>
  </si>
  <si>
    <t>Gizga Essentials Laptop Power Cable Cord- 3 Pin Adapter Isi Certified(1 Meter/3.3 Feet)</t>
  </si>
  <si>
    <t>Logitech MK270r USB Wireless Keyboard and Mouse Set for Windows, 2.4 GHz Wireless, Spill-resistant Design, 8 Multimedia &amp; Shortcut Keys, 2-Year Battery Life, PC/Laptop- Black</t>
  </si>
  <si>
    <t>DIGITEK¬Æ (DTR-200MT) (18 CM) Portable &amp; Flexible Mini Tripod with Mobile Holder &amp; 360 Degree Ball Head, For Smart Phones, Compact Cameras, GoPro, Maximum Operating Height: 7.87 Inch, Maximum Load Upto: 1 kgs</t>
  </si>
  <si>
    <t>FEDUS Cat6 Ethernet Cable, 10 Meter High Speed 550MHZ / 10 Gigabit Speed UTP LAN Cable, Network Cable Internet Cable RJ45 Cable LAN Wire, Patch Computer Cord Gigabit Category 6 Wires for Modem, Router</t>
  </si>
  <si>
    <t>Kingston DataTraveler Exodia DTX/32 GB Pen Drive USB 3.2 Gen 1 (Multicolor)</t>
  </si>
  <si>
    <t>Duracell Rechargeable AA 2500mAh Batteries, 4 Pcs</t>
  </si>
  <si>
    <t>ENVIE¬Æ (AA10004PLNi-CD) AA Rechargeable Batteries, Low Self Discharge, AA 1000mAh Ni-CD (Pack of 4)</t>
  </si>
  <si>
    <t>ZEBRONICS Zeb-Buds 30 3.5Mm Stereo Wired in Ear Earphones with Mic for Calling, Volume Control, Multifunction Button, 14Mm Drivers, Stylish Eartip,1.2 Meter Durable Cable and Lightweight Design(Red)</t>
  </si>
  <si>
    <t>LAPSTER Accessories Power Cable Cord 2 Pin Laptop Adapter and Tape Recorder 1.5M</t>
  </si>
  <si>
    <t>Portronics Ruffpad 12E Re-Writable LCD Writing Pad with 30.4cm (12 inch) Writing Area, Single Tap Erase, Smart Lock, Long Battery Life, India's first notepad to save and share your child's first creatives via Ruffpad app on your Smartphone(Black)</t>
  </si>
  <si>
    <t>Verilux¬Æ USB C Hub Multiport Adapter- 6 in 1 Portable Aluminum Type C Hub with 4K HDMI Output, USB 2.0/3.0 Ports, SD/Micro SD Card Reader Compatible for MacBook Pro 2016-2020, MacBook Air 2018-2020, Type-C Devices</t>
  </si>
  <si>
    <t>Zebronics Zeb Wonderbar 10 USB Powered 2.0 Computer Speaker with RGB Lights</t>
  </si>
  <si>
    <t>HP Wired Mouse 100 with 1600 DPI Optical Sensor, USB Plug-and -Play,ambidextrous Design, Built-in Scrolling and 3 Handy Buttons. 3-Years Warranty (6VY96AA)</t>
  </si>
  <si>
    <t>Anjaney Enterprise Smart Multipurpose Foldable Laptop Table with Cup Holder, Study Table, Bed Table, Breakfast Table, Foldable and Portable/Ergonomic &amp; Rounded Edges/Non-Slip (Black)</t>
  </si>
  <si>
    <t>ENVIE ECR-20 Charger for AA &amp; AAA Rechargeable Batteries</t>
  </si>
  <si>
    <t>ProElite Faux Leather Smart Flip Case Cover for Apple iPad 10.2" 9th Gen (2021) / 8th Gen / 7th Gen with Stylus Pen, Black</t>
  </si>
  <si>
    <t>Classmate Pulse 6 Subject Notebook - Unruled, 300 Pages, Spiral Binding, 240mm*180mm</t>
  </si>
  <si>
    <t>Pentonic Multicolor Ball Point Pen, Pack of 10</t>
  </si>
  <si>
    <t>Logitech Pebble M350 Wireless Mouse with Bluetooth or USB - Silent, Slim Computer Mouse with Quiet Click for Laptop, Notebook, PC and Mac - Graphite</t>
  </si>
  <si>
    <t>Apsara Platinum Pencils Value Pack - Pack of 20</t>
  </si>
  <si>
    <t>Zebronics Zeb-Power Wired USB Mouse, 3-Button, 1200 DPI Optical Sensor, Plug &amp; Play, for Windows/Mac</t>
  </si>
  <si>
    <t>Ant Esports GM320 RGB Optical Wired Gaming Mouse | 8 Programmable Buttons | 12800 DPI</t>
  </si>
  <si>
    <t>Pilot V7 Liquid Ink Roller Ball Pen (2 Blue + 1 Black)</t>
  </si>
  <si>
    <t>boAt Airdopes 191G True Wireless Earbuds with ENx‚Ñ¢ Tech Equipped Quad Mics, Beast‚Ñ¢ Mode(Low Latency- 65ms) for Gaming, 2x6mm Dual Drivers, 30H Playtime, IPX5, IWP‚Ñ¢, Appealing Case LEDs(Sport Blue)</t>
  </si>
  <si>
    <t>Boult Audio BassBuds Oak in-Ear Wired Earphones with 10mm Extra Bass Driver and HD Sound with mic(Brown)</t>
  </si>
  <si>
    <t>IT2M Designer Mouse Pad for Laptop/Computer (9.2 X 7.6 Inches, 12788)</t>
  </si>
  <si>
    <t>Noise ColorFit Ultra Buzz Bluetooth Calling Smart Watch with 1.75" HD Display, 320x385 px Resolution, 100 Sports Modes, Stock Market Info Smartwatch for Men &amp; Women (Olive Green)</t>
  </si>
  <si>
    <t>Lapster Caddy for ssd and HDD, Optical Bay 2nd Hard Drive Caddy, Caddy 9.5mm for Laptop</t>
  </si>
  <si>
    <t>SanDisk Extreme SD UHS I 64GB Card for 4K Video for DSLR and Mirrorless Cameras 170MB/s Read &amp; 80MB/s Write</t>
  </si>
  <si>
    <t>Fire-Boltt Ring Pro Bluetooth Calling, 1.75‚Äù 320*385px High Res, IP68 &amp; SpO2 Monitoring, Pin Code Locking Functionality &amp; Split Screen Access, Built in Mic &amp; Speaker for HD Calls, Black, Free Size</t>
  </si>
  <si>
    <t>Lenovo 600 Bluetooth 5.0 Silent Mouse: Compact, Portable, Dongle-Free Multi-Device connectivity with Microsoft Swift Pair | 3-Level Adjustable DPI up to 2400 | Battery Life: up to 1 yr</t>
  </si>
  <si>
    <t>Boult Audio Airbass Propods X TWS Bluetooth Truly Wireless in Ear Earbuds with Mic, 32H Playtime, Fast Charging Type-C, Ipx5 Water Resistant, Touch Controls and Voice Assistant (Red)</t>
  </si>
  <si>
    <t>Classmate Soft Cover 6 Subject Spiral Binding Notebook, Unruled, 300 Pages</t>
  </si>
  <si>
    <t>LS LAPSTER Quality Assured Universal Silicone 15.6" Keyboard Protector Skin|| Keyboard Dust Cover|| Keyboard Skin for 15.6" Laptop| 15.6" Keyguard| (3.93 x 11.81 x 0.39 inches)</t>
  </si>
  <si>
    <t>KLAM LCD Writing Tablet Screenwriting Toys Board Smart Digital E-Note Pad 8.5 Inch Light Weight Magic Slate for Drawing Playing Noting by Kids and Adults Best Birthday Gift Girls Boys, Multicolor</t>
  </si>
  <si>
    <t>CP PLUS 2MP Full HD Smart Wi-fi CCTV Security Camera | 360¬∞ with Pan Tilt | Two Way Talk | Cloud Monitor | Motion Detect | Night Vision | Supports SD Card (Up to 128 GB) | Alexa &amp; Ok Google | CP-E21A</t>
  </si>
  <si>
    <t>HP Deskjet 2331 Colour Printer, Scanner and Copier for Home/Small Office, Compact Size, Reliable, Easy Set-Up Through Smart App On Your Pc Connected Through USB, Ideal for Home.</t>
  </si>
  <si>
    <t>D-Link DIR-615 Wi-fi Ethernet-N300 Single_band 300Mbps Router, Mobile App Support, Router | AP | Repeater | Client Modes(Black)</t>
  </si>
  <si>
    <t>RPM Euro Games Gaming Mousepad Speed Type Extended Large (Size - 800 mm x 300 mm x 3 mm)</t>
  </si>
  <si>
    <t>Wacom One by CTL-472/K0-CX Digital Drawing Graphics Pen Tablet (Red &amp; Black) Small (6-inch x 3.5-inch)(15x8cm) | Battery Free Cordless Pen with 2048 Pressure Level</t>
  </si>
  <si>
    <t>Lenovo 300 FHD Webcam with Full Stereo Dual Built-in mics | FHD 1080P 2.1 Megapixel CMOS Camera |Privacy Shutter | Ultra-Wide 95 Lens | 360 Rotation | Flexible Mount, Plug-n-Play | Cloud Grey</t>
  </si>
  <si>
    <t>Parker Quink Ink Bottle (Black)</t>
  </si>
  <si>
    <t>Sony WI-C100 Wireless Headphones with Customizable Equalizer for Deep Bass &amp; 25 Hrs Battery, DSEE-Upscale, Splash Proof, 360RA, Fast Pair, in-Ear Bluetooth Headset with mic for Phone Calls (Black)</t>
  </si>
  <si>
    <t>Zebronics, ZEB-NC3300 USB Powered Laptop Cooling Pad with Dual Fan, Dual USB Port and Blue LED Lights</t>
  </si>
  <si>
    <t>Tukzer Gel Mouse Pad Wrist Rest Memory-Foam Ergonomic Mousepad| Cushion Wrist Support &amp; Pain Relief| Suitable for Gaming, Computer, Laptop, Home &amp; Office Non-Slip Rubber Base (Blue)</t>
  </si>
  <si>
    <t>Infinity (JBL Glide 510, 72 Hrs Playtime with Quick Charge, Wireless On Ear Headphone with Mic, Deep Bass, Dual Equalizer, Bluetooth 5.0 with Voice Assistant Support (Black)</t>
  </si>
  <si>
    <t>Robustrion Smart Trifold Hard Back Flip Stand Case Cover for Apple iPad 10.2 Cover iPad 9th Generation Cover 2021 8th Gen 2020 7th Gen 2019 Generation Case - Black</t>
  </si>
  <si>
    <t>Logitech M331 Silent Plus Wireless Mouse, 2.4GHz with USB Nano Receiver, 1000 DPI Optical Tracking, 3 Buttons, 24 Month Life Battery, PC/Mac/Laptop - Black</t>
  </si>
  <si>
    <t>Camel Artist Acrylic Color Box - 9ml Tubes, 12 Shades</t>
  </si>
  <si>
    <t>Portronics Key2 Combo Multimedia USB Wireless Keyboard and Mouse Set with 2.4 GHz Wireless Technology, Soft &amp; Silent Button, Compact Size (Grey)</t>
  </si>
  <si>
    <t>SupCares Laptop Stand 7 Height Adjustable, Aluminium, Ventilated, Foldable, Portable Laptop Holder for Desk &amp; Table Mount Upto 15.6 inch Laptop with Carry Pouch (Silver)</t>
  </si>
  <si>
    <t>ZEBRONICS Zeb-Sound Bomb N1 True Wireless in Ear Earbuds with Mic ENC, Gaming Mode (up to 50ms), up to 18H Playback, BT V5.2, Fidget Case, Voice Assistant, Splash Proof, Type C (Midnight Black)</t>
  </si>
  <si>
    <t>Western Digital WD Green SATA 240GB Internal SSD Solid State Drive - SATA 6Gb/s 2.5 inches - WDS240G3G0A</t>
  </si>
  <si>
    <t>Classmate Octane Neon- 25 Blue Gel Pens | Smooth Writing Pens| Water-proof Ink For Smudge-free Writing| Preferred By Students For Exam &amp; Class Notes| Study At Home Essential</t>
  </si>
  <si>
    <t>Classmate Octane Colour Burst-Multicolour Gel Pens (Pack of 10) | Gold &amp; Silver Glitter Sparkle Pens|10 colour ink shades for art lovers and kids|Fun at home essentials</t>
  </si>
  <si>
    <t>Tukzer Stylus Pen, iPad Pencil with Palm Rejection Tilt Sensor| 2nd Gen for 2018-2022 iPad 6/7/8/9th Gen; iPad 10.2", Pro 12.9/11", Mini 6/5th, Air 5/4/3rd, Precise for Writing/Drawing (3 Spare Tips)</t>
  </si>
  <si>
    <t>Logitech G102 USB Light Sync Gaming Mouse with Customizable RGB Lighting, 6 Programmable Buttons, Gaming Grade Sensor, 8K DPI Tracking, 16.8mn Color, Light Weight - Black</t>
  </si>
  <si>
    <t>Zebronics ZEB-VITA Wireless Bluetooth 10W Portable Bar Speaker With Supporting USB, SD Card, AUX, FM, TWS &amp; Call Function</t>
  </si>
  <si>
    <t>Lapster USB 3.0 sata Cable for 2.5 inch SSD and HDD , USB 3.0 to SATA III Hard Driver Adapter , sata to USB Cable-(Blue)</t>
  </si>
  <si>
    <t>URBN 10000 mAh Lithium Power Bank UPR10K with 12 Watt Fast Charging, Blue</t>
  </si>
  <si>
    <t>Qubo Smart Cam 360 from Hero Group | Made in India | 2MP 1080p Full HD | CCTV Wi-Fi Camera | 360 Degree Coverage| Two Way Talk | Mobile App Connectivity | Night Vision | Cloud &amp; SD Card Recording</t>
  </si>
  <si>
    <t>Duracell CR2025 3V Lithium Coin Battery, 5 pcs, 2025 Coin Button Cell Battery, DL2025</t>
  </si>
  <si>
    <t>Camel Fabrica Acrylic Ultra Color - 15ml each, 10 Shades</t>
  </si>
  <si>
    <t>Lenovo GX20L29764 65W Laptop Adapter/Charger with Power Cord for Select Models of Lenovo (Round pin) (Black)</t>
  </si>
  <si>
    <t>Hp Wired On Ear Headphones With Mic With 3.5 Mm Drivers, In-Built Noise Cancelling, Foldable And Adjustable For Laptop/Pc/Office/Home/ 1 Year Warranty (B4B09Pa)</t>
  </si>
  <si>
    <t>Redragon K617 Fizz 60% Wired RGB Gaming Keyboard, 61 Keys Compact Mechanical Keyboard w/White and Grey Color Keycaps, Linear Red Switch, Pro Driver/Software Supported</t>
  </si>
  <si>
    <t>HP GT 53 XL Cartridge Ink</t>
  </si>
  <si>
    <t>Noise ColorFit Ultra Smart Watch with 1.75" HD Display, Aluminium Alloy Body, 60 Sports Modes, Spo2, Lightweight, Stock Market Info, Calls &amp; SMS Reply (Space Blue)</t>
  </si>
  <si>
    <t>Zebronics Zeb-JUKEBAR 3900, 80W Multimedia soundbar with subwoofer Supporting Bluetooth, HDMI(ARC), Coaxial Input, AUX, USB &amp; Remote Control (Black)</t>
  </si>
  <si>
    <t>boAt Bassheads 102 Wired in Ear Earphones with Mic (Mint Green)</t>
  </si>
  <si>
    <t>Duracell CR2016 3V Lithium Coin Battery, 5 pcs, 2016 Coin Button Cell Battery, DL2016</t>
  </si>
  <si>
    <t>MI 360¬∞ Home Security Wireless Camera 2K Pro with Bluetooth Gateway BLE 4.2 l Dual Band Wi-fi Connection l 3 Million 1296p| Full Color in Low-Light | AI Human Detection, White</t>
  </si>
  <si>
    <t>ZEBRONICS Zeb-100HB 4 Ports USB Hub for Laptop, PC Computers, Plug &amp; Play, Backward Compatible - Black</t>
  </si>
  <si>
    <t>Boult Audio Bass Buds Q2 Lightweight Stereo Wired Over Ear Headphones Set with Mic with Deep Bass, Comfortable Ear Cushions, &amp; Long Cord (Black)</t>
  </si>
  <si>
    <t>ESR Screen Protector Compatible with iPad Pro 11 Inch (2022/2021/2020/2018) and iPad Air 5/4 (2022/2020, 10.9 Inch), Tempered-Glass Film with Alignment Frame, Scratch Resistant, HD Clarity, 2 Pack</t>
  </si>
  <si>
    <t>Parker Vector Standard Chrome Trim Ball Pen (Ink - Black)</t>
  </si>
  <si>
    <t>Silicone Rubber Earbuds Tips, Eartips, Earpads, Earplugs, for Replacement in Earphones and Bluetooth Medium Size (10 Pcs Black)</t>
  </si>
  <si>
    <t>Canon PIXMA MG2577s All-in-One Inkjet Colour Printer with 1 Additional Colour Cartridge</t>
  </si>
  <si>
    <t>Samsung 24-inch(60.46cm) FHD Monitor, IPS, 75 Hz, Bezel Less Design, AMD FreeSync, Flicker Free, HDMI, D-sub, (LF24T350FHWXXL, Dark Blue Gray)</t>
  </si>
  <si>
    <t>AirCase Protective Laptop Bag Sleeve fits Upto 14.1" Laptop/ MacBook, Wrinkle Free, Padded, Waterproof Light Neoprene case Cover Pouch, for Men &amp; Women, Black- 6 Months Warranty</t>
  </si>
  <si>
    <t>Faber-Castell Connector Pen Set - Pack of 25 (Assorted)</t>
  </si>
  <si>
    <t>Zinq UPS for Router, Mini UPS for 12V WiFi Router Broadband Modem with Upto 4 Hours Power Backup, Upto 2Amp, Works with Existing Adapter, Also Works with Set-top Box, Smart Camera, CCTV (Black)</t>
  </si>
  <si>
    <t>SaleOn‚Ñ¢ Portable Storage Organizer Bag for Earphone USB Cable Power Bank Mobile Charger Digital Gadget Hard Disk, Water Resistance Material - Dark Grey</t>
  </si>
  <si>
    <t>RPM Euro Games Laptop/PC Controller Wired for Windows - 7, 8, 8.1, 10 and XP, Ps3(Upgraded with XYAB Buttons)</t>
  </si>
  <si>
    <t>realme Buds Wireless in Ear Bluetooth Earphones with mic, 11.2mm Bass Boost Driver, Magnetic Fast Pair, Fast Charging and 12 Hrs Playtime (Yellow)</t>
  </si>
  <si>
    <t>TVARA LCD Writing Tablet, 8.5" Inch Colorful Toddler Doodle Board Drawing Tablet, Erasable Reusable Electronic Drawing Pads, Educational and Learning Tool for 3-6 Years Old Boy and Girls Mix Colors</t>
  </si>
  <si>
    <t>Wings Phantom Pro Earphones Gaming Earbuds with LED Battery Indicator, 50ms Low Latency, Bluetooth 5.3, 40 Hours Playtime, MEMs Mic, IPX4 Resist, 12mm Driver, 500mah case, Headphones, (Black TWS)</t>
  </si>
  <si>
    <t>Robustrion [Anti-Scratch] &amp; [Smudge Proof] [S Pen Compatible] Premium Tempered Glass Screen Protector for Samsung Tab S6 Lite 10.4 inch SM-P610/615 [Bubble Free]</t>
  </si>
  <si>
    <t>Cablet 2.5 Inch SATA USB 3.0 HDD/SSD Portable External Enclosure for 7mm and 9.5mm, Tool-Free Design, Supports UASP Max 6TB</t>
  </si>
  <si>
    <t>SanDisk 1TB Extreme Portable SSD 1050MB/s R, 1000MB/s W,Upto 2 Meter Drop Protection with IP55 Water/dust Resistance, HW Encryption, PC,MAC &amp; TypeC Smartphone Compatible, 5Y Warranty, External SSD</t>
  </si>
  <si>
    <t>ZEBRONICS Zeb-Warrior II 10 watts 2.0 Multimedia Speaker with RGB Lights, USB Powered, AUX Input, Volume Control Pod for PC, Laptops, Desktop</t>
  </si>
  <si>
    <t>TP-Link UE300C USB Type-C to RJ45 Gigabit Ethernet Network Adapter/RJ45 LAN Wired Adapter for Ultrabook, Chromebook, Laptop, Desktop, Plug &amp; Play, USB 3.0, Foldable and Portable Design</t>
  </si>
  <si>
    <t>Wecool Moonwalk M1 ENC True Wireless in Ear Earbuds with Mic, Titanium Drivers for Rich Bass Experience, 40+ Hours Play Time, Type C Fast Charging, Low Latency, BT 5.3, IPX5, Deep Bass (Black)</t>
  </si>
  <si>
    <t>HP 330 Wireless Black Keyboard and Mouse Set with Numeric Keypad, 2.4GHz Wireless Connection and 1600 DPI, USB Receiver, LED Indicators , Black(2V9E6AA)</t>
  </si>
  <si>
    <t>RC PRINT GI 790 Ink Refill for Canon G1000, G1010, G1100, G2000, G2002, G2010, G2012, G2100, G3000, G3010, G3012, G3100, G4000, G4010</t>
  </si>
  <si>
    <t>Redgear Cloak Wired RGB Wired Over Ear Gaming Headphones with Mic for PC</t>
  </si>
  <si>
    <t>Wayona Type C To Type C 65W/3.25A Nylon Braided Fast Charging Cable Compatible For Laptop, Macbook, Samsung Galaxy M33 M53 M51 S20 Ultra, A71, A53, A51, Ipad Pro 2018 (1M, Grey)</t>
  </si>
  <si>
    <t>Amazfit GTS2 Mini (New Version) Smart Watch with Always-on AMOLED Display, Alexa Built-in, SpO2, 14 Days' Battery Life, 68 Sports Modes, GPS, HR, Sleep &amp; Stress Monitoring (Meteor Black)</t>
  </si>
  <si>
    <t>Tabelito¬Æ Polyester Foam, Nylon Hybrid laptopss Bag Sleeve Case Cover Pouch for laptopss Apple/Dell/Lenovo/ Asus/ Hp/Samsung/Mi/MacBook/Ultrabook/Thinkpad/Ideapad/Surfacepro (15.6 inches /39.6cm, Blue) laptopsss</t>
  </si>
  <si>
    <t>Robustrion Anti-Scratch &amp; Smudge Proof Tempered Glass Screen Protector for Xiaomi Mi Pad 5 11 inch</t>
  </si>
  <si>
    <t>Portronics Ruffpad 15 Re-Writable LCD Screen 38.1cm (15-inch) Writing Pad for Drawing, Playing, Handwriting Gifts for Kids &amp; Adults (Grey)</t>
  </si>
  <si>
    <t>DIGITEK¬Æ (DLS-9FT) Lightweight &amp; Portable Aluminum Alloy Light Stand for Ring Light, Reflector, Flash Units, Diffuser, Portrait, Softbox, Studio Lighting &amp; More Ideal for Outdoor &amp; Indoor Shoots</t>
  </si>
  <si>
    <t>Classmate Pulse 1 Subject Notebook - 240mm x 180mm , Soft Cover, 180 Pages, Single Line, Pack of 4</t>
  </si>
  <si>
    <t>Scarters Mouse Pad, Desk Mat Extended for Work from Home/Office/Gaming | Vegan PU Leather | Anti-Skid, Anti-Slip, Reversible Splash-Proof ‚Äì Deskspread ~ Navy Blue &amp; Yellow</t>
  </si>
  <si>
    <t>Casio MJ-120D 150 Steps Check and Correct Desktop Calculator with Tax Keys, Black</t>
  </si>
  <si>
    <t>Gizga Essentials Laptop Bag Sleeve Case Cover Pouch with Handle for 14.1 Inch Laptop for Men &amp; Women, Padded Laptop Compartment, Premium Zipper Closure, Water Repellent Nylon Fabric, Grey</t>
  </si>
  <si>
    <t>Parker Vector Camouflage Gift Set - Roller Ball Pen &amp; Parker Logo Keychain (Black Body, Blue Ink), 2 Piece Set</t>
  </si>
  <si>
    <t>TP-Link AC1200 Archer A6 Smart WiFi, 5GHz Gigabit Dual Band MU-MIMO Wireless Internet Router, Long Range Coverage by 4 Antennas, Qualcomm Chipset</t>
  </si>
  <si>
    <t>HP Deskjet 2723 AIO Printer, Copy, Scan, WiFi, Bluetooth, USB, Simple Setup Smart App, Ideal for Home.</t>
  </si>
  <si>
    <t>Xiaomi Mi 4A Dual_Band Ethernet 1200Mbps Speed Router| 2.4GHz &amp; 5GHz Frequency|128MB RAM | DualCore 4 Thread CPU|4 Omni Directional Antenna|Mi Wi-Fi app-Parental Control &amp; Anti Hacking|Repeater, White</t>
  </si>
  <si>
    <t>SLOVIC¬Æ Tripod Mount Adapter| Tripod Mobile Holder|Tripod Phone Mount(Made in India)| Smartphone Clip Clipper 360 Degree for Taking Magic Video Shots &amp; Pictures.</t>
  </si>
  <si>
    <t>Orico 2.5"(6.3cm) USB 3.0 HDD Enclosure Case Cover for SATA SSD HDD | SATA SSD HDD Enclosure High Speed USB 3.0 | Tool Free Installation | Black</t>
  </si>
  <si>
    <t>Logitech G402 Hyperion Fury USB Wired Gaming Mouse, 4,000 DPI, Lightweight, 8 Programmable Buttons, Compatible for PC/Mac - Black</t>
  </si>
  <si>
    <t>Panasonic Eneloop BQ-CC55N Advanced, Smart and Quick Charger for AA &amp; AAA Rechargeable Batteries, White</t>
  </si>
  <si>
    <t>Logitech K380 Wireless Multi-Device Keyboard for Windows, Apple iOS, Apple TV Android or Chrome, Bluetooth, Compact Space-Saving Design, PC/Mac/Laptop/Smartphone/Tablet (Dark Grey)</t>
  </si>
  <si>
    <t>Canon PIXMA E477 All-in-One Wireless Ink Efficient Colour Printer (White/Blue)</t>
  </si>
  <si>
    <t>Redgear Cosmo 7,1 Usb Gaming Wired Over Ear Headphones With Mic With Virtual Surround Sound,50Mm Driver, Rgb Leds &amp; Remote Control(Black)</t>
  </si>
  <si>
    <t>Belkin Essential Series 4-Socket Surge Protector Universal Socket with 5ft Heavy Duty Cable (Grey)</t>
  </si>
  <si>
    <t>Classmate Long Book - Unruled, 160 Pages, 314 mm x 194 mm - Pack Of 3</t>
  </si>
  <si>
    <t>Artis AR-45W-MG2 45 Watts MG2 Laptop Adapter/Charger Compatible with MB Air 13‚Äù &amp; MB Air 11‚Äù (14.5 V, 3.1 A) Connector: MG2 (T Tip Connector)</t>
  </si>
  <si>
    <t>Imou 360¬∞ 1080P Full HD Security Camera, Human Detection, Motion Tracking, 2-Way Audio, Night Vision, Dome Camera with WiFi &amp; Ethernet Connection, Alexa Google Assistant, Up to 256GB SD Card Support</t>
  </si>
  <si>
    <t>E-COSMOS 5V 1.2W Portable Flexible USB LED Light (Colours May Vary, Small, EC-POF1)</t>
  </si>
  <si>
    <t>Xiaomi Pad 5| Qualcomm Snapdragon 860| 120Hz Refresh Rate| 6GB, 128GB| 2.5K+ Display (10.95-inch/27.81cm)|1 Billion Colours| Dolby Vision Atmos| Quad Speakers| Wi-Fi| Gray</t>
  </si>
  <si>
    <t>Sennheiser CX 80S in-Ear Wired Headphones with in-line One-Button Smart Remote with Microphone Black</t>
  </si>
  <si>
    <t>HB Plus Folding Height Adjustable Aluminum Foldable Portable Adjustment Desktop Laptop Holder Riser Stand</t>
  </si>
  <si>
    <t>HP 65W AC Laptops Charger Adapter 4.5mm for HP Pavilion Black (Without Power Cable)</t>
  </si>
  <si>
    <t>Tukzer Fully Foldable Tabletop Desktop Tablet Mobile Stand Holder - Angle &amp; Height Adjustable for Desk, Cradle, Dock, Compatible with Smartphones &amp; Tablets (White)</t>
  </si>
  <si>
    <t>Gizga Essentials Cable Organiser, Cord Management System for PC, TV, Home Theater, Speaker &amp; Cables, Reusable Cable Organizer for Desk, WFH Accessories, Organizer Tape Roll, Reusable Cable Ties Strap</t>
  </si>
  <si>
    <t>Camel Oil Pastel with Reusable Plastic Box - 50 Shades</t>
  </si>
  <si>
    <t>HP M270 Backlit USB Wired Gaming Mouse with 6 Buttons, 4-Speed Customizable 2400 DPI, Ergonomic Design, Breathing LED Lighting, Metal Scroll Wheel, Lightweighted / 3 Years Warranty (7ZZ87AA), Black</t>
  </si>
  <si>
    <t>Foxin FTC 12A / Q2612A Black Laser Toner Cartridge Compatible with Laserjet 1020,M1005,1018,1010,1012,1015,1020 Plus,1022,3015,3020,3030,3050, 3050Z, 3052,3055 (Black)</t>
  </si>
  <si>
    <t>Robustrion [Anti-Scratch] &amp; [Smudge Proof] [Bubble Free] Premium Tempered Glass Screen Protector Guard for Samsung Galaxy Tab A8 10.5 inch [SM-X200/X205/X207] 2022</t>
  </si>
  <si>
    <t>PC SQUARE Laptop Tabletop Stand/ Computer Tablet Stand 6 Angles Adjustable Aluminum Ergonomic Foldable Portable Desktop Holder Compatible with MacBook, HP, Dell, Lenovo &amp; All Other Notebook (Silver)</t>
  </si>
  <si>
    <t>Lenovo 130 Wireless Compact Mouse, 1K DPI Optical sensor, 2.4GHz Wireless NanoUSB, 10m range, 3button(left,right,scroll) upto 3M left/right clicks, 10 month battery, Ambidextrous, Ergonomic GY51C12380</t>
  </si>
  <si>
    <t>Pilot Frixion Clicker Roller Pen (Blue), (9000019529)</t>
  </si>
  <si>
    <t>ZEBRONICS Aluminium Alloy Laptop Stand, Compatible with 9-15.6 inch Laptops, 7 Angles Adjustable, Anti Slip Silicon Rubber Pads, Foldable, Velvet Pouch Inside, Zeb-NS2000 (Dark Grey)</t>
  </si>
  <si>
    <t>HP K500F Backlit Membrane Wired Gaming Keyboard with Mixed Color Lighting, Metal Panel with Logo Lighting, 26 Anti-Ghosting Keys, and Windows Lock Key / 3 Years Warranty(7ZZ97AA)</t>
  </si>
  <si>
    <t>GIZGA Club-laptop Neoprene Reversible for 15.6-inches Laptop Sleeve - Black-Red</t>
  </si>
  <si>
    <t>Inventis 5V 1.2W Portable Flexible USB LED Light Lamp (Colors may vary)</t>
  </si>
  <si>
    <t>TP-Link TL-WA855RE 300 Mbps Wi-Fi Range Extender (White)</t>
  </si>
  <si>
    <t>boAt Stone 250 Portable Wireless Speaker with 5W RMS Immersive Audio, RGB LEDs, Up to 8HRS Playtime, IPX7 Water Resistance, Multi-Compatibility Modes(Black)</t>
  </si>
  <si>
    <t>Offbeat¬Æ - DASH 2.4GHz Wireless + Bluetooth 5.1 Mouse, Multi-Device Dual Mode Slim Rechargeable Silent Click Buttons Wireless Bluetooth Mouse, 3 Adjustable DPI, Works on 2 devices at the same time with a switch button for Windows/Mac/Android/Ipad/Smart TV</t>
  </si>
  <si>
    <t>Classmate Drawing Book - Unruled, 40 Pages, 210 mm x 297 mm - Pack Of 4</t>
  </si>
  <si>
    <t>HP GK320 Wired Full Size RGB Backlight Mechanical Gaming Keyboard, 4 LED Indicators, Mechanical Switches, Double Injection Key Caps, and Windows Lock Key(4QN01AA)</t>
  </si>
  <si>
    <t>Parker Moments Vector Timecheck Gold Trim Roller Ball Pen (Black)</t>
  </si>
  <si>
    <t>Camlin Elegante Fountain Pen - Black/Blue/Red</t>
  </si>
  <si>
    <t>CARECASE¬Æ Optical Bay 2nd Hard Drive Caddy, 9.5 mm CD/DVD Drive Slot for SSD and HDD</t>
  </si>
  <si>
    <t>Canon E4570 All-in-One Wi-Fi Ink Efficient Colour Printer with FAX/ADF/Duplex Printing (Black)- Smart Speaker Compatible, Standard</t>
  </si>
  <si>
    <t>Crucial P3 500GB PCIe 3.0 3D NAND NVMe M.2 SSD, up to 3500MB/s - CT500P3SSD8</t>
  </si>
  <si>
    <t>HP v222w 64GB USB 2.0 Pen Drive (Silver)</t>
  </si>
  <si>
    <t>Duracell Ultra Alkaline D Battery, 2 Pcs</t>
  </si>
  <si>
    <t>BESTOR¬Æ LCD Writing Tablet/pad 12 inches | Electronic Writing Scribble Board for Kids | Kids Learning Toy | Portable Ruff for LCD Paperless Memo Digital Tablet Notepad E-Writer/Writing/Drawing Pad Home/School/Office (Black)</t>
  </si>
  <si>
    <t>Lenovo IdeaPad 3 11th Gen Intel Core i3 15.6" FHD Thin &amp; Light Laptop(8GB/512GB SSD/Windows 11/Office 2021/2Yr Warranty/3months Xbox Game Pass/Platinum Grey/1.7Kg), 81X800LGIN</t>
  </si>
  <si>
    <t>boAt BassHeads 900 On-Ear Wired Headphones with Mic (White)</t>
  </si>
  <si>
    <t>Zebronics Astra 10 Portable Wireless BT v5.0 Speaker, 10W RMS Power, 15* Hours Backup, 2.25" Drive Size, up to 6.4" Mobile Holder Support, Carry Handle, USB, mSD, AUX Input and FM Radio with Antenna</t>
  </si>
  <si>
    <t>SWAPKART Portable Flexible Adjustable Eye Protection USB LED Desk Light Table Lamp for Reading, Working on PC, Laptop, Power Bank, Bedroom ( Multicolour )</t>
  </si>
  <si>
    <t>Infinity (JBL Fuze 100, Wireless Portable Bluetooth Speaker with Mic, Deep Bass, Dual Equalizer, IPX7 Waterproof, Rugged Fabric Design (Black)</t>
  </si>
  <si>
    <t>Pigeon by Stovekraft Amaze Plus Electric Kettle (14289) with Stainless Steel Body, 1.5 litre, used for boiling Water, making tea and coffee, instant noodles, soup etc. 1500 Watt (Silver)</t>
  </si>
  <si>
    <t>USHA Quartz Room Heater with Overheating Protection (3002, Ivory, 800 Watts)</t>
  </si>
  <si>
    <t>Amazon Brand - Solimo 2000/1000 Watts Room Heater with Adjustable Thermostat (ISI certified, White colour, Ideal for small to medium room/area)</t>
  </si>
  <si>
    <t>StyleHouse Lint Remover for Woolen Clothes, Electric Lint Remover, Best Lint Shaver for Clothes</t>
  </si>
  <si>
    <t>beatXP Kitchen Scale Multipurpose Portable Electronic Digital Weighing Scale | Weight Machine With Back light LCD Display | White |10 kg | 2 Year Warranty |</t>
  </si>
  <si>
    <t>Glun Multipurpose Portable Electronic Digital Weighing Scale Weight Machine (10 Kg - with Back Light)</t>
  </si>
  <si>
    <t>Pigeon Polypropylene Mini Handy and Compact Chopper with 3 Blades for Effortlessly Chopping Vegetables and Fruits for Your Kitchen (12420, Green, 400 ml)</t>
  </si>
  <si>
    <t>Prestige 1.5 Litre Kettle 1500-watts, Red</t>
  </si>
  <si>
    <t>Bajaj RHX-2 800-Watt Room Heater (White)</t>
  </si>
  <si>
    <t>Prestige Electric Kettle PKOSS - 1500watts, Steel (1.5Ltr), Black</t>
  </si>
  <si>
    <t>Pigeon by Stovekraft Cruise 1800 watt Induction Cooktop (Black)</t>
  </si>
  <si>
    <t>Prestige PKGSS 1.7L 1500W Electric Kettle (Stainless Steel)</t>
  </si>
  <si>
    <t>SHOPTOSHOP Electric Lint Remover, Best Lint Shaver for Clothes,Lint Remover for Woolen Clothes ,Lint Remover for Sweaters</t>
  </si>
  <si>
    <t>Orpat OEH-1260 2000-Watt Fan Heater (Grey)</t>
  </si>
  <si>
    <t>PRO365 Indo Mocktails/Coffee Foamer/Cappuccino/Lemonade/Milk Frother (6 Months Warranty)</t>
  </si>
  <si>
    <t>Bajaj DX-6 1000W Dry Iron with Advance Soleplate and Anti-bacterial German Coating Technology, White</t>
  </si>
  <si>
    <t>Croma 500W Mixer Grinder with 3 Stainless Steel Leak-proof Jars, 3 speed &amp; Pulse function, 2 years warranty (CRAK4184, White &amp; Purple)</t>
  </si>
  <si>
    <t>Havells Instanio 3-Litre Instant Geyser (White/Blue)</t>
  </si>
  <si>
    <t>Morphy Richards OFR Room Heater, 09 Fin 2000 Watts Oil Filled Room Heater , ISI Approved (OFR 9 Grey)</t>
  </si>
  <si>
    <t>Havells Aqua Plus 1.2 litre Double Wall Kettle / 304 Stainless Steel Inner Body / Cool touch outer body / Wider mouth/ 2 Year warranty (Black, 1500 Watt)</t>
  </si>
  <si>
    <t>Bajaj Splendora 3 Litre 3KW IWH Instant Water Heater (Geyser), White</t>
  </si>
  <si>
    <t>KENT 16052 Elegant Electric Glass Kettle 1.8L 2000 W | Blue LED Illumination | Borosilicate Glass Body | Boil Drying Protection | Used as Boiler | Milk | Tea | Water &amp; Soup | 1 Year Warranty</t>
  </si>
  <si>
    <t>Bajaj New Shakti Neo 15L Vertical Storage Water Heater (Geyser 15 litres) 4 Star BEE Rated Heater For Water Heating with Titanium Armour, Swirl Flow Technology, Glasslined Tank (White), 1 Yr Warranty</t>
  </si>
  <si>
    <t>Lifelong LLMG23 Power Pro 500-Watt Mixer Grinder with 3 Jars (Liquidizing, Wet Grinding and Chutney Jar), Stainless Steel blades, 1 Year Warranty (Black)</t>
  </si>
  <si>
    <t>Bajaj Majesty DX-11 1000W Dry Iron with Advance Soleplate and Anti-bacterial German Coating Technology, White and Blue</t>
  </si>
  <si>
    <t>Bajaj Rex 500W Mixer Grinder with Nutri-Pro Feature, 3 Jars, White</t>
  </si>
  <si>
    <t>Lifelong LLEK15 Electric Kettle 1.5L with Stainless Steel Body, Easy and Fast Boiling of Water for Instant Noodles, Soup, Tea etc. (1 Year Warranty, Silver)</t>
  </si>
  <si>
    <t>Lifelong LLQH922 Regalia 800 W (ISI Certified) Quartz Room Heater with 2 Power settings, Overheating Protection, 2 Rod Heater (1 Year Warranty, White)</t>
  </si>
  <si>
    <t>R B Nova Lint/Fabric Shaver for Cloths, Lint Remover for Woolen Sweaters, Blankets, Jackets/Burr Remover Pill Remover from Carpets, Pack of 1</t>
  </si>
  <si>
    <t>Bajaj Immersion Rod Water Heater 1500 Watts, Silver</t>
  </si>
  <si>
    <t>INALSA Electric Kettle 1.5 Litre with Stainless Steel Body - Absa|Auto Shut Off &amp; Boil Dry Protection Safety Features| Cordless Base &amp; Cord Winder|Hot Water Kettle |Water Heater Jug</t>
  </si>
  <si>
    <t>Prestige PIC 20 1600 Watt Induction Cooktop with Push button (Black)</t>
  </si>
  <si>
    <t>Pigeon Healthifry Digital Air Fryer, 360¬∞ High Speed Air Circulation Technology 1200 W with Non-Stick 4.2 L Basket - Green</t>
  </si>
  <si>
    <t>PrettyKrafts Laundry Basket for clothes with Lid &amp; Handles, Toys Organiser, 75 Ltr Black &amp; Grey</t>
  </si>
  <si>
    <t>Philips GC1905 1440-Watt Steam Iron with Spray (Blue)</t>
  </si>
  <si>
    <t>Havells Immersion HB15 1500 Watt (White Blue)</t>
  </si>
  <si>
    <t>AGARO LR2007 Lint Remover, Rechargeable, for Woolen Sweaters, Blankets, Jackets, Burr Remover, Pill Remover From Carpets, Curtains</t>
  </si>
  <si>
    <t>Pigeon 1.5 litre Hot Kettle and Stainless Steel Water Bottle Combo used for boiling Water, Making Tea and Coffee, Instant Noodles, Soup, 1500 Watt with Auto Shut- off Feature - (Silver)</t>
  </si>
  <si>
    <t>NutriPro Juicer Mixer Grinder - Smoothie Maker - 500 Watts (3 Jars 2 Blades)</t>
  </si>
  <si>
    <t>Philips GC026/30 Fabric Shaver, Lint Remover for Woolen Sweaters, Blankets, Jackets/Burr Remover Pill Remover from Carpets, Curtains (White)</t>
  </si>
  <si>
    <t>Havells Cista Room Heater, White, 2000 Watts</t>
  </si>
  <si>
    <t>AGARO Regal 800 Watts Handheld Vacuum Cleaner, Lightweight &amp; Durable Body, Small/Mini Size ( Black)</t>
  </si>
  <si>
    <t>Philips Viva Collection HD4928/01 2100-Watt Induction Cooktop with Feather Touch Sensor and Crystal Glass Plate (Black)</t>
  </si>
  <si>
    <t>Pigeon By Stovekraft ABS Plastic Acer Plus Induction Cooktop 1800 Watts With Feather Touch Control - Black</t>
  </si>
  <si>
    <t>AGARO Esteem Multi Kettle 1.2 Litre, 600W with 3 Heating Modes &amp; Rapid Boil Technology</t>
  </si>
  <si>
    <t>Bajaj Minor 1000 Watts Radiant Room Heater (Steel, ISI Approved)</t>
  </si>
  <si>
    <t>Butterfly Jet Elite Mixer Grinder, 750W, 4 Jars (Grey)</t>
  </si>
  <si>
    <t>SOFLIN Egg Boiler Electric Automatic Off 7 Egg Poacher for Steaming, Cooking, Boiling and Frying (400 Watts, Blue)</t>
  </si>
  <si>
    <t>Lifelong LLQH925 Dyno Quartz Heater 2 Power settings Tip Over Cut-off Switch 800 Watt Silent operation Power Indicator 2 Rod Room Heater (1 Year Warranty, Grey)</t>
  </si>
  <si>
    <t>Amazon Basics 1500 W Electric Kettle (Stainless Steel Body, 1.5 L)</t>
  </si>
  <si>
    <t>Prestige Sandwich Maker PGMFD 01, Black</t>
  </si>
  <si>
    <t>Orient Electric Fabrijoy DIFJ10BP 1000-Watt Dry Iron, Non-Stick (White and Blue)</t>
  </si>
  <si>
    <t>Lifelong LLFH921 Regalia 2000 W Fan Heater, 3 Air Settings, Room Heater with Overheating Protection, 1 Year Warranty ( White, (ISI Certified, Ideal for small to medium room/area)</t>
  </si>
  <si>
    <t>Philips GC181 Heavy Weight 1000-Watt Dry Iron, Pack of 1</t>
  </si>
  <si>
    <t>Bulfyss USB Rechargeable Lint Remover Fabric Shaver Pet Hair Remover, Effectively and Quickly Remove Fuzz for Clothes, Sweater, Couch, Sofa, Blanket, Curtain, Wool, Cashmere (Grey, 1 Year Warranty)</t>
  </si>
  <si>
    <t>Bajaj DX-7 1000W Dry Iron with Advance Soleplate and Anti-bacterial German Coating Technology, White</t>
  </si>
  <si>
    <t>Bajaj New Shakti Neo 25L Vertical Storage Water Heater (Geyser 25 Litres) 4 Star BEE Rated Heater For Water Heating with Titanium Armour, Swirl Flow Technology, Glasslined Tank(White), 1 Yr Warranty</t>
  </si>
  <si>
    <t>PHILIPS Handheld Garment Steamer STH3000/20 - Compact &amp; Foldable, Convenient Vertical Steaming, 1000 Watt Quick Heat Up, up to 20g/min, Kills 99.9%* Bacteria (Reno Blue), Small</t>
  </si>
  <si>
    <t>Room Heater Warmer Wall-Outlet 400 Watts Electric Handy Room Heater (Room Heaters Home for Bedroom, Reading Books, Work, bathrooms, Rooms, Offices, Home Offices,2022</t>
  </si>
  <si>
    <t>Wonderchef Nutri-blend Mixer, Grinder &amp; Blender | Powerful 400W 22000 RPM motor | Stainless steel Blades | 2 unbreakable jars | 2 Years warranty | Online recipe book by Chef Sanjeev Kapoor | Black</t>
  </si>
  <si>
    <t>USHA Armor AR1100WB 1100 W Dry Iron with Black Weilburger Soleplate (Purple)</t>
  </si>
  <si>
    <t>Butterfly EKN 1.5-Litre Electric Kettle (Silver with Black)</t>
  </si>
  <si>
    <t>Crompton Arno Neo 15-L 5 Star Rated Storage Water Heater (Geyser) with Advanced 3 Level Safety (Grey)</t>
  </si>
  <si>
    <t>Borosil Chef Delite BCH20DBB21 300-Watt Chopper (Black)</t>
  </si>
  <si>
    <t>KENT 16055 Amaze Cool Touch Electric Kettle 1.8 L 1500 W | Plastic Outer &amp; Stainless Steel Inside body | Auto shut off Over heating protection | Multipurpose hot water Kettle | 1 Year Warranty</t>
  </si>
  <si>
    <t>Prestige IRIS Plus 750 watt mixer grinder</t>
  </si>
  <si>
    <t>Simxen Egg Boiler Electric Automatic Off 7 Egg Poacher for Steaming, Cooking Also Boiling and Frying 400 W (Blue, Pink)</t>
  </si>
  <si>
    <t>Amazon Basics 2000/1000 Watt Room Heater with Adjustable Thermostat (ISI certified, White color, Ideal for small to medium room/area)</t>
  </si>
  <si>
    <t>HealthSense Weight Machine for Kitchen, Kitchen Food Weighing Scale for Health, Fitness, Home Baking &amp; Cooking with Hanging Design, Touch Button, Tare Function &amp; 1 Year Warranty ‚Äì Chef-Mate KS 40</t>
  </si>
  <si>
    <t>Bajaj New Shakti Neo 10L Vertical Storage Water Heater (Geyser 10 Litres) 4 Star BEE Rated Heater For Water Heating with Titanium Armour, Swirl Flow Technology, Glasslined Tank(White), 1 Yr Warranty</t>
  </si>
  <si>
    <t>Bosch Pro 1000W Mixer Grinder MGM8842MIN - Black</t>
  </si>
  <si>
    <t>Bulfyss Stainless Steel Digital Kitchen Weighing Scale &amp; Food Weight Machine for Diet, Nutrition, Health, Fitness, Baking &amp; Cooking (5Kgs, Stainless Steel, 2 Years Warranty)</t>
  </si>
  <si>
    <t>VR 18 Pcs - 3 Different Size Plastic Food Snack Bag Pouch Clip Sealer Large, Medium, Small Plastic Snack Seal Sealing Bag Clips Vacuum Sealer (Set of 18, Multi-Color) (Multicolor)</t>
  </si>
  <si>
    <t>Orient Electric Apex-FX 1200mm Ultra High Speed 400 RPM Ceiling Fan (Brown)</t>
  </si>
  <si>
    <t>PrettyKrafts Folding Laundry Basket for Clothes with Lid &amp; Handle, Toys Organiser, 75 Litre, (Pack of 1), Mushroom Print</t>
  </si>
  <si>
    <t>Bajaj Majesty RX11 2000 Watts Heat Convector Room Heater (White, ISI Approved)</t>
  </si>
  <si>
    <t>Eureka Forbes Trendy Zip 1000 Watts powerful suction vacuum cleaner with resuable dust bag &amp; 5 accessories,1 year warrantycompact,light weight &amp; easy to use (Black)</t>
  </si>
  <si>
    <t>Pigeon by Stovekraft Quartz Electric Kettle (14299) 1.7 Litre with Stainless Steel Body, used for boiling Water, making tea and coffee, instant noodles, soup etc. 1500 Watt (Silver)</t>
  </si>
  <si>
    <t>Maharaja Whiteline Lava Neo 1200-Watts Halogen Heater (White and Red)</t>
  </si>
  <si>
    <t>Crompton Gracee 5-L Instant Water Heater (Geyser)</t>
  </si>
  <si>
    <t>Bajaj DX-2 600W Dry Iron with Advance Soleplate and Anti-bacterial German Coating Technology, Black</t>
  </si>
  <si>
    <t>Bajaj Waterproof 1500 Watts Immersion Rod Heater</t>
  </si>
  <si>
    <t>AGARO Supreme High Pressure Washer, 1800 Watts, 120 Bars, 6.5L/Min Flow Rate, 8 Meters Outlet Hose, Portable, for Car,Bike and Home Cleaning Purpose, Black and Orange</t>
  </si>
  <si>
    <t>Bajaj Deluxe 2000 Watts Halogen Room Heater (Steel, ISI Approved), Multicolor</t>
  </si>
  <si>
    <t>Orpat HHB-100E WOB 250-Watt Hand Blender (White)</t>
  </si>
  <si>
    <t>GILTON Egg Boiler Electric Automatic Off 7 Egg Poacher for Steaming, Cooking Also Boiling and Frying, Multi Color</t>
  </si>
  <si>
    <t>HealthSense Chef-Mate KS 33 Digital Kitchen Weighing Scale &amp; Food Weight Machine for Health, Fitness, Home Baking &amp; Cooking with Free Bowl, 1 Year Warranty &amp; Batteries Included</t>
  </si>
  <si>
    <t>PHILIPS Digital Air Fryer HD9252/90 with Touch Panel, uses up to 90% less fat, 7 Pre-set Menu, 1400W, 4.1 Liter, with Rapid Air Technology (Black), Large</t>
  </si>
  <si>
    <t>Milton Go Electro 2.0 Stainless Steel Electric Kettle, 1 Piece, 2 Litres, Silver | Power Indicator | 1500 Watts | Auto Cut-off | Detachable 360 Degree Connector | Boiler for Water</t>
  </si>
  <si>
    <t>Philips Daily Collection HD2582/00 830-Watt 2-Slice Pop-up Toaster (White)</t>
  </si>
  <si>
    <t>Crompton Insta Comfy 800 Watt Room Heater with 2 Heat Settings(Grey Blue)</t>
  </si>
  <si>
    <t>USHA Heat Convector 812 T 2000-Watt with Instant Heating Feature (Black)</t>
  </si>
  <si>
    <t>Philips HL7756/00 Mixer Grinder, 750W, 3 Jars (Black)</t>
  </si>
  <si>
    <t>Kuber Industries Waterproof Round Non Wovan Laundry Bag/Hamper|Metalic Printed With Handles|Foldable Bin &amp; 45 Liter Capicity|Size 37 x 37 x 49, Pack of 1 (Beige &amp; Brown)-KUBMART11450</t>
  </si>
  <si>
    <t>Lifelong LLMG93 500 Watt Duos Mixer Grinder, 2 Stainless Steel Jar (Liquidizing and Chutney Jar)| ABS Body, Stainless Steel Blades, 3 Speed Options with Whip (1 Year Warranty, Black)</t>
  </si>
  <si>
    <t>IKEA Frother for Milk</t>
  </si>
  <si>
    <t>Crompton Insta Comfort Heater 2000 Watts Heat Convector with Adjustable Thermostats, Hybrid Cyan, Standard (‚ÄéACGRH- INSTACOMFORT)</t>
  </si>
  <si>
    <t>Lint Remover Woolen Clothes Lint Extractor Battery Lint Removing Machine Bhur Remover</t>
  </si>
  <si>
    <t>Pigeon Kessel Multipurpose Kettle (12173) 1.2 litres with Stainless Steel Body, used for boiling Water and milk, Tea, Coffee, Oats, Noodles, Soup etc. 600 Watt (Black &amp; Silver)</t>
  </si>
  <si>
    <t>C (DEVICE) Lint Remover for Woolen Clothes, Electric Lint Remover, Best Lint Shaver for Clothes Pack of 1</t>
  </si>
  <si>
    <t>Pigeon by Stovekraft 2 Slice Auto Pop up Toaster. A Smart Bread Toaster for Your Home (750 Watt) (black)</t>
  </si>
  <si>
    <t>Bajaj OFR Room Heater, 13 Fin 2900 Watts Oil Filled Room Heater with 400W PTC Ceramic Fan Heater, ISI Approved (Majesty 13F Plus Black)</t>
  </si>
  <si>
    <t>Luminous Vento Deluxe 150 mm Exhaust Fan for Kitchen, Bathroom with Strong Air Suction, Rust Proof Body and Dust Protection Shutters (2-Year Warranty, White)</t>
  </si>
  <si>
    <t>Wipro Vesta 1.8 litre Cool touch electric Kettle with Auto cut off | Double Layer outer body | Triple Protection - Dry Boil, Steam &amp; Over Heat |Stainless Steel Inner Body | (Black, 1500 Watt)</t>
  </si>
  <si>
    <t>Kitchen Mart Stainless Steel South Indian Filter Coffee Drip Maker, Madras Kappi, Drip Decotion Maker160ml (2 Cup)</t>
  </si>
  <si>
    <t>Ikea 903.391.72 Polypropylene Plastic Solid Bevara Sealing Clip (Multicolour) - 30 Pack, Adjustable</t>
  </si>
  <si>
    <t>HUL Pureit Germkill kit for Classic 23 L water purifier - 1500 L Capacity</t>
  </si>
  <si>
    <t>HUL Pureit Germkill kit for Classic 23 L water purifier - 3000 L Capacity</t>
  </si>
  <si>
    <t>Prestige Iris 750 Watt Mixer Grinder with 3 Stainless Steel Jar + 1 Juicer Jar (White and Blue)</t>
  </si>
  <si>
    <t>Preethi Blue Leaf Diamond MG-214 mixer grinder 750 watt (Blue/White), 3 jars &amp; Flexi Lid, FBT motor with 2yr Guarantee &amp; Lifelong Free Service</t>
  </si>
  <si>
    <t>Themisto 350 Watts Egg Boiler-Blue</t>
  </si>
  <si>
    <t>Butterfly Smart Mixer Grinder, 750W, 4 Jars (Grey)</t>
  </si>
  <si>
    <t>KENT Smart Multi Cooker Cum Kettle 1.2 Liter 800 Watts, Electric Cooker with Steamer &amp; Boiler for Idlis, Instant Noodles, Momos, Eggs, &amp; Steam Vegetables, Inner Stainless Steel &amp; Cool Touch Outer Body</t>
  </si>
  <si>
    <t>InstaCuppa Portable Blender for Smoothie, Milk Shakes, Crushing Ice and Juices, USB Rechargeable Personal Blender Machine for Kitchen with 2000 mAh Rechargeable Battery, 150 Watt Motor, 400 ML</t>
  </si>
  <si>
    <t>USHA EI 1602 1000 W Lightweight Dry Iron with Non-Stick Soleplate (Multi-colour)</t>
  </si>
  <si>
    <t>KENT 16044 Hand Blender Stainless Steel 400 W | Variable Speed Control | Easy to Clean and Store | Low Noise Operation</t>
  </si>
  <si>
    <t>White Feather Portable Heat Sealer Mini Sealing Machine for Food Storage Vacuum Bag, Chip, Plastic, Snack Bags, Package Home Closer Storage Tool (Multicolor) Random Colour</t>
  </si>
  <si>
    <t>Crompton IHL 152 1500-Watt Immersion Water Heater with Copper Heating Element (Black)</t>
  </si>
  <si>
    <t>InstaCuppa Rechargeable Mini Electric Chopper - Stainless Steel Blades, One Touch Operation, for Mincing Garlic, Ginger, Onion, Vegetable, Meat, Nuts, (White, 250 ML, Pack of 1, 45 Watts)</t>
  </si>
  <si>
    <t>Philips PowerPro FC9352/01 Compact Bagless Vacuum Cleaner (Blue)</t>
  </si>
  <si>
    <t>SAIELLIN Electric Lint Remover for Clothes Fabric Shaver Lint Shaver for Woolen Clothes Blanket Jackets Stainless Steel Blades, Clothes and Furniture Lint Roller for Fabrics Portable Lint Shavers (White Orange)</t>
  </si>
  <si>
    <t>Cookwell Bullet Mixer Grinder (5 Jars, 3 Blades, Silver)</t>
  </si>
  <si>
    <t>Prestige PRWO 1.8-2 700-Watts Delight Electric Rice Cooker with 2 Aluminium Cooking Pans - 1.8 Liters, White</t>
  </si>
  <si>
    <t>Swiffer Instant Electric Water Heater Faucet Tap Home-Kitchen Instantaneous Water Heater Tank less for Tap, LED Electric Head Water Heaters Tail Gallon Comfort(3000W) ((Pack of 1))</t>
  </si>
  <si>
    <t>InstaCuppa Portable Blender for Smoothie, Milk Shakes, Crushing Ice and Juices, USB Rechargeable Personal Blender Machine for Kitchen with 4000 mAh Rechargeable Battery, 230 Watt Motor, 500 ML</t>
  </si>
  <si>
    <t>Lifelong LLWH106 Flash 3 Litres Instant Water Heater for Home Use, 8 Bar Pressure,Power On/Off Indicator and Advanced Safety, (3000W, ISI Certified, 2 Years Warranty)</t>
  </si>
  <si>
    <t>Hindware Atlantic Compacto 3 Litre Instant water heater with Stainless Steel Tank, Robust Construction, Pressure Relief Valve And I-thermostat Feature (White And Grey)</t>
  </si>
  <si>
    <t>ATOM Selves-MH 200 GM Digital Pocket Scale</t>
  </si>
  <si>
    <t>Crompton InstaBliss 3-L Instant Water Heater (Geyser) with Advanced 4 Level Safety</t>
  </si>
  <si>
    <t>Croma 1100 W Dry Iron with Weilburger Dual Soleplate Coating (CRSHAH702SIR11, White)</t>
  </si>
  <si>
    <t>Lint Roller with 40 Paper Sheets, 22 x 5 cm (Grey)</t>
  </si>
  <si>
    <t>Portable Lint Remover Pet Fur Remover Clothes Fuzz Remover Pet Hairball Quick Epilator Shaver Removing Dust Pet Hair from Clothing Furniture Perfect for Clothing,Furniture,Couch,Carpet (Standard)</t>
  </si>
  <si>
    <t>atomberg Renesa 1200mm BLDC Motor with Remote 3 Blade Energy Saving Ceiling Fan (Matt Black)</t>
  </si>
  <si>
    <t>Pigeon by Stovekraft Amaze Plus Electric Kettle (14313) with Stainless Steel Body, 1.8 litre, used for boiling Water, making tea and coffee, instant noodles, soup etc. 1500 Watt (Silver)</t>
  </si>
  <si>
    <t>Usha CookJoy (CJ1600WPC) 1600 Watt Induction cooktop (Black)</t>
  </si>
  <si>
    <t>Reffair AX30 [MAX] Portable Air Purifier for Car, Home &amp; Office | Smart Ionizer Function | H13 Grade True HEPA Filter [Internationally Tested] Aromabuds Fragrance Option - Black</t>
  </si>
  <si>
    <t>!!1000 Watt/2000-Watt Room Heater!! Fan Heater!!Pure White!!HN-2500!!Made in India!!</t>
  </si>
  <si>
    <t>Eureka Forbes Wet &amp; Dry Ultimo 1400 Watts Multipurpose Vacuum Cleaner,Power Suction &amp; Blower with 20 litres Tank Capacity,6 Accessories,1 Year Warranty,Compact,Light Weight &amp; Easy to use (Red)</t>
  </si>
  <si>
    <t>Activa Heat-Max 2000 Watts Room Heater (White color ) with ABS body</t>
  </si>
  <si>
    <t>PHILIPS HL1655/00 Hand Blender, White Jar 250W</t>
  </si>
  <si>
    <t>Bajaj DX-2 600W Dry Iron with Advance Soleplate and Anti-Bacterial German Coating Technology, Grey</t>
  </si>
  <si>
    <t>V-Guard Zio Instant Water Geyser | 3 Litre | 3000 W Heating | White-Blue | | 2 Year Warranty</t>
  </si>
  <si>
    <t>Homeistic Applience‚Ñ¢ Instant Electric Water Heater Faucet Tap For Kitchen And Bathroom Sink Digital Water Heating Tap with Shower Head ABS Body- Shock Proof (Pack Of 1. White)</t>
  </si>
  <si>
    <t>Kitchenwell 18Pc Plastic Food Snack Bag Pouch Clip Sealer for Keeping Food Fresh for Home, Kitchen, Camping Snack Seal Sealing Bag Clips (Multi-Color) | (Pack of 18)|</t>
  </si>
  <si>
    <t>Havells Instanio 10 Litre Storage Water Heater with Flexi Pipe and Free installation (White Blue)</t>
  </si>
  <si>
    <t>Prestige PIC 16.0+ 1900W Induction Cooktop with Soft Touch Push Buttons (Black)</t>
  </si>
  <si>
    <t>AGARO 33398 Rapid 1000-Watt, 10-Litre Wet &amp; Dry Vacuum Cleaner, with Blower Function (Red &amp; Black)</t>
  </si>
  <si>
    <t>KENT 16026 Electric Kettle Stainless Steel 1.8 L | 1500W | Superfast Boiling | Auto Shut-Off | Boil Dry Protection | 360¬∞ Rotating Base | Water Level Indicator</t>
  </si>
  <si>
    <t>SKYTONE Stainless Steel Electric Meat Grinders with Bowl 700W Heavy for Kitchen Food Chopper, Meat, Vegetables, Onion , Garlic Slicer Dicer, Fruit &amp; Nuts Blender (2L, 700 Watts)</t>
  </si>
  <si>
    <t>KENT 16088 Vogue Electric Kettle 1.8 Litre 1500 W | Stainless Steel body | Auto shut off over heating protection | 1 Year Warranty</t>
  </si>
  <si>
    <t>Eureka Forbes Supervac 1600 Watts Powerful Suction,bagless Vacuum Cleaner with cyclonic Technology,7 Accessories,1 Year Warranty,Compact,Lightweight &amp; Easy to use (Red)</t>
  </si>
  <si>
    <t>Mi Air Purifier 3 with True HEPA Filter, removes air pollutants, smoke, odor, bacteria &amp; viruses with 99.97% efficiency, coverage area up to 484 sq. ft., Wi-Fi &amp; Voice control - Alexa/GA (white)</t>
  </si>
  <si>
    <t>Tata Swach Bulb 6000-Litre Cartridge, 1 Piece, White, Hollow Fiber Membrane</t>
  </si>
  <si>
    <t>Havells Ambrose 1200mm Ceiling Fan (Gold Mist Wood)</t>
  </si>
  <si>
    <t>PrettyKrafts Laundry Bag / Basket for Dirty Clothes, Folding Round Laundry Bag,Set of 2, Black Wave</t>
  </si>
  <si>
    <t>FABWARE Lint Remover for Clothes - Sticky Lint Roller for Clothes, Furniture, Wool, Coat, Car Seats, Carpet, Fabric, Dust Cleaner, Pet Hair Remover with 1 Handle &amp; 1 Refill Total 60 Sheets &amp; 1 Cover</t>
  </si>
  <si>
    <t>Brayden Fito Atom Rechargeable Smoothie Blender with 2000 mAh Battery and 3.7V Motor with 400ml Tritan Jar (Blue)</t>
  </si>
  <si>
    <t>Bajaj Frore 1200 mm Ceiling Fan (Brown)</t>
  </si>
  <si>
    <t>Venus Digital Kitchen Weighing Scale &amp; Food Weight Machine for Health, Fitness, Home Baking &amp; Cooking Scale, 2 Year Warranty &amp; Battery Included (Weighing Scale Without Bowl) Capacity 10 Kg, 1 Gm</t>
  </si>
  <si>
    <t>Bajaj ATX 4 750-Watt Pop-up Toaster (White)</t>
  </si>
  <si>
    <t>Coway Professional Air Purifier for Home, Longest Filter Life 8500 Hrs, Green True HEPA Filter, Traps 99.99% Virus &amp; PM 0.1 Particles, Warranty 7 Years (AirMega 150 (AP-1019C))</t>
  </si>
  <si>
    <t>KENT Gold Optima Gravity Water Purifier (11016) | UF Technology Based | Non-Electric &amp; Chemical Free | Counter Top | 10L Storage | White</t>
  </si>
  <si>
    <t>HOMEPACK 750W Radiant Room Home Office Heaters For Winter</t>
  </si>
  <si>
    <t>Bajaj Rex 750W Mixer Grinder with Nutri Pro Feature, 4 Jars, White</t>
  </si>
  <si>
    <t>Heart Home Waterproof Round Non Wovan Laundry Bag/Hamper|Metalic Printed With Handles|Foldable Bin &amp; 45 Liter Capicity|Size 37 x 37 x 49, Pack of 1 (Grey &amp; Black)-HEARTXY11447</t>
  </si>
  <si>
    <t>MILTON Smart Egg Boiler 360-Watts (Transparent and Silver Grey), Boil Up to 7 Eggs</t>
  </si>
  <si>
    <t>iBELL SEK15L Premium 1.5 Litre Stainless Steel Electric Kettle,1500W Auto Cut-Off Feature,Silver with Black</t>
  </si>
  <si>
    <t>Tosaa T2STSR Sandwich Gas Toaster Regular (Black)</t>
  </si>
  <si>
    <t>V-Guard Divino 5 Star Rated 15 Litre Storage Water Heater (Geyser) with Advanced Safety Features, White</t>
  </si>
  <si>
    <t>Akiara¬Æ - Makes life easy Mini Sewing Machine with Table Set | Tailoring Machine | Hand Sewing Machine with extension table, foot pedal, adapter</t>
  </si>
  <si>
    <t>Usha Steam Pro SI 3713, 1300 W Steam Iron, Powerful steam Output up to 18 g/min, Non-Stick Soleplate (White &amp; Blue)</t>
  </si>
  <si>
    <t>Wonderchef Nutri-blend Complete Kitchen Machine | 22000 RPM Mixer Grinder, Blender, Chopper, Juicer | 400W Powerful motor | SS Blades | 4 Unbreakable Jars | 2 Years Warranty | Online Recipe Book By Chef Sanjeev Kapoor | Black</t>
  </si>
  <si>
    <t>WIDEWINGS Electric Handheld Milk Wand Mixer Frother for Latte Coffee Hot Milk, Milk Frother for Coffee, Egg Beater, Hand Blender, Coffee Beater with Stand</t>
  </si>
  <si>
    <t>Morphy Richards Icon Superb 750W Mixer Grinder, 4 Jars, Silver and Black</t>
  </si>
  <si>
    <t>Philips Handheld Garment Steamer GC360/30 - Vertical &amp; Horizontal Steaming, 1200 Watt, up to 22g/min</t>
  </si>
  <si>
    <t>Vedini Transparent Empty Refillable Reusable Fine Mist Spray Bottle for Perfume, Travel with DIY Sticker Set ( 100ml, Pack of 4)</t>
  </si>
  <si>
    <t>Crompton Sea Sapphira 1200 mm Ultra High Speed 3 Blade Ceiling Fan (Lustre Brown, Pack of 1)</t>
  </si>
  <si>
    <t>Kuber Industries Waterproof Canvas Laundry Bag/Hamper|Metalic Printed With Handles|Foldable Bin &amp; 45 Liter Capicity|Size 37 x 37 x 46, Pack of 1 (Brown)</t>
  </si>
  <si>
    <t>JM SELLER 180 W 2021 Edition Electric Beater High Speed Hand Mixer Egg Beater for Cake Making and Whipping Cream with 7 Speed Control (White) with Free Spatula and Oil Brush</t>
  </si>
  <si>
    <t>Oratech Coffee Frother electric, milk frother electric, coffee beater, cappuccino maker, Coffee Foamer, Mocktail Mixer, Coffee Foam Maker, coffee whisker electric, Froth Maker, coffee stirrers electric, coffee frothers, Coffee Blender, (6 Month Warranty) (Multicolour)</t>
  </si>
  <si>
    <t>Havells Glaze 74W Pearl Ivory Gold Ceiling Fan, Sweep: 1200 Mm</t>
  </si>
  <si>
    <t>Pick Ur Needs¬Æ Lint Remover for Clothes High Range Rechargeable Lint Shaver for All Types of Clothes, Fabrics, Blanket with 1 Extra Blade Multicolor (Rechargeable)</t>
  </si>
  <si>
    <t>Rico Japanese Technology Rechargeable Wireless Electric Chopper with Replacement Warranty - Stainless Steel Blades, One Touch Operation, 10 Seconds Chopping, Mincing Vegetable, Meat - 250 ML, 30 Watts</t>
  </si>
  <si>
    <t>Butterfly Smart Wet Grinder, 2L (White) with Coconut Scrapper Attachment, Output - 150 W, Input 260 W</t>
  </si>
  <si>
    <t>AGARO Marvel 9 Liters Oven Toaster Griller, Cake Baking OTG (Black)</t>
  </si>
  <si>
    <t>Philips GC1920/28 1440-Watt Non-Stick Soleplate Steam Iron</t>
  </si>
  <si>
    <t>Havells OFR 13 Wave Fin with PTC Fan Heater 2900 Watts (Black)</t>
  </si>
  <si>
    <t>Bajaj DHX-9 1000W Heavy Weight Dry Iron with Advance Soleplate and Anti-Bacterial German Coating Technology, Ivory</t>
  </si>
  <si>
    <t>Aquasure From Aquaguard Amaze RO+UV+MTDS,7L storage water purifier,suitable for borewell,tanker,municipal water (Grey) from Eureka Forbes</t>
  </si>
  <si>
    <t>ROYAL STEP Portable Electric USB Juice Maker Juicer Bottle Blender Grinder Mixer,6 Blades Rechargeable Bottle with (MULTII) (MULTI COLOUR 6 BLED JUICER MIXER)</t>
  </si>
  <si>
    <t>KENT 16068 Zoom Vacuum Cleaner for Home and Car 130 W | Cordless, Hoseless, Rechargeable HEPA Filters Vacuum Cleaner with Cyclonic Technology | Bagless Design and Multi Nozzle Operation | Blue</t>
  </si>
  <si>
    <t>ENEM Sealing Machine | 12 Inch (300 mm) | 1 Year Warranty | Full Customer Support | Beep Sound Function | Plastic Packing Machine | Plastic Bag Sealing Machine | Heat Sealer Machine | Plastic Sealing Machine | Blue | Made in India</t>
  </si>
  <si>
    <t>Wipro Vesta 1200 Watt GD203 Heavyweight Automatic Dry Iron| Quick Heat Up| Anti bacterial German Weilburger Double Coated Black Soleplate |2 Years Warranty</t>
  </si>
  <si>
    <t>Inalsa Electric Kettle Prism Inox - 1350 W with LED Illumination &amp; Boro-Silicate Body, 1.8 L Capacity along with Cordless Base, 2 Year Warranty (Black)</t>
  </si>
  <si>
    <t>VRPRIME Lint Roller Lint Remover for Clothes, Pet | 360 Sheets Reusable Sticky Easy-Tear Sheet Brush for Clothes, Furniture, Carpet, Dog Fur, Sweater, Dust &amp; Dirt (4 Rolls - 90 Sheet Each Roll)</t>
  </si>
  <si>
    <t>Philips AC1215/20 Air purifier, removes 99.97% airborne pollutants, 4-stage filtration with True HEPA filter (white)</t>
  </si>
  <si>
    <t>Eopora PTC Ceramic Fast Heating Room Heater for Bedroom, 1500/1000 Watts Room Heater for Home, Electric Heater, Electric Fan Heater for Home Office Bedroom (White)</t>
  </si>
  <si>
    <t>Usha Goliath GO1200WG Heavy Weight 1200-Watt Dry Iron, 1.8 Kg(Red)</t>
  </si>
  <si>
    <t>Wipro Vesta Electric Egg Boiler, 360 Watts, 3 Boiling Modes, Stainless Steel Body and Heating Plate, Boils up to 7 Eggs at a time, Automatic Shut Down, White, Standard (VB021070)</t>
  </si>
  <si>
    <t>Philips Viva Collection HR1832/00 1.5-Litre400-Watt Juicer (Ink Black)</t>
  </si>
  <si>
    <t>Kitchenwell Multipurpose Portable Electronic Digital Weighing Scale Weight Machine | Weight Machine | 10 Kg</t>
  </si>
  <si>
    <t>FIGMENT Handheld Milk Frother Rechargeable, 3-Speed Electric Frother for Coffee with 2 Whisks and Coffee Decoration Tool, Coffee Frother Mixer, CRESCENT ENTERPRISES VRW0.50BK (A1)</t>
  </si>
  <si>
    <t>Balzano High Speed Nutri Blender/Mixer/Smoothie Maker - 500 Watt - Silver, 2 Jar</t>
  </si>
  <si>
    <t>Swiss Military VC03 Wireless Car Vacuum Cleaner | Wireless Vacuum Cleaner for Home, Car, Living Room | Wireless Vacuum Cleaner Dust Collection/Lighting Car Pet Hair Vacuum with Powerful Motor</t>
  </si>
  <si>
    <t>Zuvexa USB Rechargeable Electric Foam Maker - Handheld Milk Wand Mixer Frother for Hot Milk, Hand Blender Coffee, Egg Beater (Black)</t>
  </si>
  <si>
    <t>Usha IH2415 1500-Watt Immersion Heater (Silver)</t>
  </si>
  <si>
    <t>ACTIVA Instant 3 LTR 3 KVA SPECIAL Anti Rust Coated Tank Geyser with Full ABS Body with 5 Year Warranty Premium (White)</t>
  </si>
  <si>
    <t>Havells Instanio 1-Litre 3KW Instant Water Heater (Geyser), White Blue</t>
  </si>
  <si>
    <t>Lifelong 2-in1 Egg Boiler and Poacher 500-Watt (Transparent and Silver Grey), Boil 8 eggs, Poach 4 eggs, Easy to clean| 3 Boiling Modes, Stainless Steel Body and Heating Plate, Automatic Turn-Off</t>
  </si>
  <si>
    <t>INDIAS¬Æ‚Ñ¢ Electro-Instant Water Geyser A.B.S. Body Shock Proof Can be Used in Bathroom, Kitchen, wash Area, Hotels, Hospital etc.</t>
  </si>
  <si>
    <t>AmazonBasics Induction Cooktop 1600 Watt (Black)</t>
  </si>
  <si>
    <t>Sui Generis Electric Handheld Milk Wand Mixer Frother for Latte Coffee Hot Milk, Milk Frother, Electric Coffee Beater, Egg Beater, Latte Maker, Mini Hand Blender Cappuccino Maker (Multicolor)</t>
  </si>
  <si>
    <t>Philips Air Purifier Ac2887/20,Vitashield Intelligent Purification,Long Hepa Filter Life Upto 17000 Hours,Removes 99.9% Airborne Viruses &amp; Bacteria,99.97% Airborne Pollutants,Ideal For Master Bedroom</t>
  </si>
  <si>
    <t>Esquire Laundry Basket Brown, 50 Ltr Capacity(Plastic)</t>
  </si>
  <si>
    <t>PHILIPS Air Fryer HD9200/90, uses up to 90% less fat, 1400W, 4.1 Liter, with Rapid Air Technology (Black), Large</t>
  </si>
  <si>
    <t>Havells Bero Quartz Heater Black 800w 2 Heat Settings 2 Year Product Warranty</t>
  </si>
  <si>
    <t>Philips EasyTouch Plus Standing Garment Steamer GC523/60 - 1600 Watt, 5 Steam Settings, Up to 32 g/min steam, with Double Pole</t>
  </si>
  <si>
    <t>Brayden Chopro, Electric Vegetable Chopper for Kitchen with 500 ML Capacity, 400 Watts Copper Motor and 4 Bi-Level SS Blades (Black)</t>
  </si>
  <si>
    <t>Wonderchef Nutri-blend Mixer, Grinder &amp; Blender | Powerful 400W 22000 RPM motor | Stainless steel Blades | 3 unbreakable jars | 2 Years warranty | Online recipe book by Chef Sanjeev Kapoor | Black</t>
  </si>
  <si>
    <t>Usha Janome Dream Stitch Automatic Zig-Zag Electric Sewing Machine with 14 Stitch Function (White and Blue) with Free Sewing KIT Worth RS 500</t>
  </si>
  <si>
    <t>Black+Decker Handheld Portable Garment Steamer 1500 Watts with Anti Calc (Violet)</t>
  </si>
  <si>
    <t>Personal Size Blender, Portable Blender, Battery Powered USB Blender, with Four Blades, Mini Blender Travel Bottle for Juice, Shakes, and Smoothies (Pink)</t>
  </si>
  <si>
    <t>Sujata Powermatic Plus 900 Watts Juicer Mixer Grinder</t>
  </si>
  <si>
    <t>Sure From Aquaguard Delight NXT RO+UV+UF+Taste Adjuster(MTDS),6L water purifier,8 stages purification,Suitable for borewell,tanker,municipal water(Black) from Eureka Forbes</t>
  </si>
  <si>
    <t>PrettyKrafts Laundry Basket for clothes with Lid &amp; Handles, Toys Organiser, 75 Ltr Grey</t>
  </si>
  <si>
    <t>Dr Trust Electronic Kitchen Digital Scale Weighing Machine (Blue)</t>
  </si>
  <si>
    <t>Tesora - Inspired by you Large Premium Electric Kettle 1.8L, Stainless Steel Inner Body - Auto Power Cut, Boil Dry Protection &amp; Cool Touch Double Wall, Portable | 1500 Watts |1 Year Warranty | (White)</t>
  </si>
  <si>
    <t>AGARO Ace 1600 Watts, 21.5 kPa Suction Power, 21 litres Wet &amp; Dry Stainless Steel Vacuum Cleaner with Blower Function and Washable Dust Bag</t>
  </si>
  <si>
    <t>INALSA Hand Blender 1000 Watt with Chopper, Whisker, 600 ml Multipurpose Jar|Variable Speed And Turbo Speed Function |100% Copper Motor |Low Noise |ANTI-SPLASH TECHNOLOGY|2 Year Warranty</t>
  </si>
  <si>
    <t>akiara - Makes life easy Electric Handy Sewing/Stitch Handheld Cordless Portable White Sewing Machine for Home Tailoring, Hand Machine | Mini Silai | White Hand Machine with Adapter</t>
  </si>
  <si>
    <t>Philips EasySpeed Plus Steam Iron GC2145/20-2200W, Quick Heat Up with up to 30 g/min steam, 110 g steam Boost, Scratch Resistant Ceramic Soleplate, Vertical steam &amp; Drip-Stop</t>
  </si>
  <si>
    <t>INALSA Electric Chopper Bullet- 400 Watts with 100% Pure Copper Motor| Chop, Mince, Puree, Dice | Twin Blade Technology| 900 ml Capacity| One Touch Operation, 1.30mtr Long Power Cord (Black/Silver)</t>
  </si>
  <si>
    <t>Borosil Electric Egg Boiler, 8 Egg Capacity, For Hard, Soft, Medium Boiled Eggs, Steamed Vegetables, Transparent Lid, Stainless Steel Exterior (500 Watts)</t>
  </si>
  <si>
    <t>Wipro Vesta Grill 1000 Watt Sandwich Maker |Dual function-SW Maker&amp;Griller|Non stick Coat -BPA&amp;PTFE Free |Auto Temp Cut-off| Height Control -180·∂ø&amp;105·∂ø |2 year warranty|SS Finish|Standard size</t>
  </si>
  <si>
    <t>Rico IRPRO 1500 Watt Japanese Technology Electric Water Heater Immersion Rod Shockproof Protection &amp; Stainless Steel Heating Element for Instant Heating| ISI Certified 1 Year Replacement Warranty</t>
  </si>
  <si>
    <t>Eureka Forbes Active Clean 700 Watts Powerful Suction &amp; Blower Vacuum Cleaner with Washable HEPA Filter &amp; 6 Accessories,1 Year Warranty,Compact,Light Weight &amp; Easy to use (Red &amp; Black)</t>
  </si>
  <si>
    <t>CSI INTERNATIONAL¬Æ Instant Water Geyser, Water Heater, Portable Water Heater, Geyser Made of First Class ABS Plastic 3KW (White)</t>
  </si>
  <si>
    <t>Hindware Atlantic Xceed 5L 3kW Instant Water Heater with Copper Heating Element and High Grade Stainless Steel Tank</t>
  </si>
  <si>
    <t>Morphy Richards New Europa 800-Watt Espresso and Cappuccino 4-Cup Coffee Maker (Black)</t>
  </si>
  <si>
    <t>Lifelong Power - Pro 500 Watt 3 Jar Mixer Grinder with 3 Speed Control and 1100 Watt Dry Non-Stick soleplate Iron Super Combo (White and Grey, 1 Year Warranty)</t>
  </si>
  <si>
    <t>iBELL Castor CTEK15L Premium 1.5 Litre Stainless Steel Electric Kettle,1500W Auto Cut-Off Feature,Silver</t>
  </si>
  <si>
    <t>BAJAJ PYGMY MINI 110 MM 10 W HIGH SPEED OPERATION, USB CHARGING, MULTI-CLIP FUNCTION PERSONAL FAN</t>
  </si>
  <si>
    <t>Crompton InstaGlide 1000-Watts Dry Iron with American Heritage Coating, Pack of 1 Iron</t>
  </si>
  <si>
    <t>Prestige Clean Home Water Purifier Cartridge</t>
  </si>
  <si>
    <t>Morphy Richards Aristo 2000 Watts PTC Room Heater (White)</t>
  </si>
  <si>
    <t>Gadgetronics Digital Kitchen Weighing Scale &amp; Food Weight Machine for Health, Fitness, Home Baking &amp; Cooking (10 KGs,1 Year Warranty &amp; Batteries Included)</t>
  </si>
  <si>
    <t>HUL Pureit Germkill kit for Advanced 23 L water purifier - 3000 L Capacity, Sand, Multicolour</t>
  </si>
  <si>
    <t>Tom &amp; Jerry Folding Laundry Basket for Clothes with Lid &amp; Handle, Toys Organiser, 75 Litre, Green</t>
  </si>
  <si>
    <t>Ikea Little Loved Corner PRODUKT Milk-frother, Coffee/Tea Frother, Handheld Milk Wand Mixer Frother, Black</t>
  </si>
  <si>
    <t>Philips EasySpeed Plus Steam Iron GC2147/30-2400W, Quick Heat up with up to 30 g/min steam, 150g steam Boost, Scratch Resistant Ceramic Soleplate, Vertical steam, Drip-Stop</t>
  </si>
  <si>
    <t>Bajaj New Shakti Neo Plus 15 Litre 4 Star Rated Storage Water Heater (Geyser) with Multiple Safety System, White</t>
  </si>
  <si>
    <t>House of Quirk Reusable Sticky Picker Cleaner Easy-Tear Sheets Travel Pet Hair Lint Rollers Brush (10cm Sheet, Set of 3 Rolls, 180 Sheets, 60 Sheets Each roll Lint Roller Remover, Multicolour)</t>
  </si>
  <si>
    <t>Allin Exporters J66 Ultrasonic Humidifier Cool Mist Air Purifier for Dryness, Cold &amp; Cough Large Capacity for Room, Baby, Plants, Bedroom (2.4 L) (1 Year Warranty)</t>
  </si>
  <si>
    <t>Multifunctional 2 in 1 Electric Egg Boiling Steamer Egg Frying Pan Egg Boiler Electric Automatic Off with Egg Boiler Machine Non-Stick Electric Egg Frying Pan-Tiger Woods (Multy)</t>
  </si>
  <si>
    <t>Maharaja Whiteline Nano Carbon Neo, 500 Watts Room Heater (Black, White), Standard (5200100986)</t>
  </si>
  <si>
    <t>KENT Electric Chopper-B for Kitchen 250 Watt | Chop, Mince, Puree, Whisk, 400 ml Capacity | Stainless Steel Double Chopping Blades | Transparent Chopping Bowl | Anti-Skid | One Touch Operation | Black</t>
  </si>
  <si>
    <t>Crompton Amica 15-L 5 Star Rated Storage Water Heater (Geyser) with Free Installation (White)</t>
  </si>
  <si>
    <t>Eureka Forbes car Vac 100 Watts Powerful Suction Vacuum Cleaner with Washable HEPA Filter, 3 Accessories,Compact,Light Weight &amp; Easy to use (Black and Red)</t>
  </si>
  <si>
    <t>|</t>
  </si>
  <si>
    <t>KENT 16025 Sandwich Grill 700W | Non-Toxic Ceramic Coating | Automatic Temperature Cut-off with LED Indicator | Adjustable Height Control, Metallic Silver, Standard</t>
  </si>
  <si>
    <t>Candes Gloster All in One Silent Blower Fan Room Heater Ideal for Small and Medium Area, 2000 Watts (White)</t>
  </si>
  <si>
    <t>Inalsa Electric Fan Heater Hotty - 2000 Watts Variable Temperature Control Cool/Warm/Hot Air Selector | Over Heat Protection | ISI Certification, White</t>
  </si>
  <si>
    <t>Havells Zella Flap Auto Immersion Rod 1500 Watts</t>
  </si>
  <si>
    <t>iBELL SM1301 3-in-1 Sandwich Maker with Detachable Plates for Toast / Waffle / Grill , 750 Watt (Black)</t>
  </si>
  <si>
    <t>Inalsa Vacuum Cleaner Wet and Dry Micro WD10 with 3in1 Multifunction Wet/Dry/Blowing| 14KPA Suction and Impact Resistant Polymer Tank,(Yellow/Black)</t>
  </si>
  <si>
    <t>MR. BRAND Portable USB Juicer Electric USB Juice Maker Mixer Bottle Blender Grinder Mixer,6 Blades Rechargeable Bottle with (Multi color) (MULTI MIXER 6 BLED)</t>
  </si>
  <si>
    <t>Crompton Hill Briz Deco 1200mm (48 inch) High Speed Designer Ceiling Fan (Smoked Brown)</t>
  </si>
  <si>
    <t>Sujata Powermatic Plus, Juicer Mixer Grinder with Chutney Jar, 900 Watts, 3 Jars (White)</t>
  </si>
  <si>
    <t>Aquadpure Copper + Mineral RO+UV+UF 10 to 12 Liter RO + UV + TDS ADJUSTER Water Purifier with Copper Charge Technology black &amp; copper Best For Home and Office (Made In India)</t>
  </si>
  <si>
    <t>Amazon Basics 650 Watt Drip Coffee Maker with Borosilicate Carafe</t>
  </si>
  <si>
    <t>Crompton Insta Delight Fan Circulator Room Heater with 3 Heat Settings (Slate Grey &amp; Black, 2000 Watt)</t>
  </si>
  <si>
    <t>!!HANEUL!!1000 Watt/2000-Watt Room Heater!! Fan Heater!!Pure White!!HN-2500!!Made in India!!Thermoset!!</t>
  </si>
  <si>
    <t>Melbon VM-905 2000-Watt Room Heater (ISI Certified, White Color) Ideal Electric Fan Heater for Small to Medium Room/Area (Plastic Body)</t>
  </si>
  <si>
    <t>Cello Eliza Plastic Laundry Bag/Basket, 50 litres, Light Grey</t>
  </si>
  <si>
    <t>ACTIVA 1200 MM HIGH SPEED 390 RPM BEE APPROVED 5 STAR RATED APSRA CEILING FAN BROWN 2 Years Warranty</t>
  </si>
  <si>
    <t>Shakti Technology S5 High Pressure Car Washer Machine 1900 Watts and Pressure 125 Bar with 10 Meter Hose Pipe</t>
  </si>
  <si>
    <t>AMERICAN MICRONIC- Imported Wet &amp; Dry Vacuum Cleaner, 21 Litre Stainless Steel with Blower &amp; HEPA filter, 1600 Watts 100% Copper Motor 28 KPa suction with washable reusable dust bag (Red/Black/Steel)-AMI-VCD21-1600WDx</t>
  </si>
  <si>
    <t>Demokrazy New Nova Lint Cum Fuzz Remover for All Woolens Sweaters, Blankets, Jackets Remover Pill Remover from Carpets, Curtains (Pack of 1)</t>
  </si>
  <si>
    <t>Instant Pot Air Fryer, Vortex 2QT, Touch Control Panel, 360¬∞ EvenCrisp‚Ñ¢ Technology, Uses 95 % less Oil, 4-in-1 Appliance: Air Fry, Roast, Bake, Reheat (Vortex 1.97Litre, Black)</t>
  </si>
  <si>
    <t>HUL Pureit Eco Water Saver Mineral RO+UV+MF AS wall mounted/Counter top Black 10L Water Purifier</t>
  </si>
  <si>
    <t>Livpure Glo Star RO+UV+UF+Mineraliser - 7 L Storage Tank, 15 LPH Water Purifier for Home, Black</t>
  </si>
  <si>
    <t>Philips Hi113 1000-Watt Plastic Body Ptfe Coating Dry Iron, Pack of 1</t>
  </si>
  <si>
    <t>Kuber Industries Round Non Woven Fabric Foldable Laundry Basket|Toy Storage Basket|Cloth Storage Basket With Handles| Capicity 45 Ltr (Grey &amp; Black)-KUBMART11446</t>
  </si>
  <si>
    <t>Preethi MGA-502 0.4-Litre Grind and Store Jar (White), stainless steel, Set of 1</t>
  </si>
  <si>
    <t>Usha Aurora 1000 W Dry Iron with Innovative Tail Light Indicator, Weilburger Soleplate (White &amp; Grey)</t>
  </si>
  <si>
    <t>ECOVACS DEEBOT N8 2-in-1 Robotic Vacuum Cleaner, 2022 New Launch, Most Powerful Suction, Covers 2000+ Sq. Ft in One Charge, Advanced dToF Technology with OZMO Mopping (DEEBOT N8) - White</t>
  </si>
  <si>
    <t>Kent Gold, Optima, Gold+ Spare Kit</t>
  </si>
  <si>
    <t>AVNISH Tap Water Purifier Filter Faucet 6 Layer Carbon Activated Dust Chlorine Remover Water Softener for Drinking Cartridge Alkaline Taps for Kitchen Sink Bathroom Wash Basin (6-Layer Filtration)</t>
  </si>
  <si>
    <t>Khaitan ORFin Fan heater for Home and kitchen-K0 2215</t>
  </si>
  <si>
    <t>USHA RapidMix 500-Watt Copper Motor Mixer Grinder with 3 Jars and 5 Years Warranty(Sea Green/White)</t>
  </si>
  <si>
    <t>CSI INTERNATIONAL¬Æ Instant Water Geyser, Water Heater, Portable Water Heater, Geyser Made of First Class ABS Plastic 3KW (Red)</t>
  </si>
  <si>
    <t>Havells Gatik Neo 400mm Pedestal Fan (Aqua Blue)</t>
  </si>
  <si>
    <t>INALSA Upright Vacuum Cleaner, 2-in-1,Handheld &amp; Stick for Home &amp; Office Use,800W- with 16KPA Strong Suction &amp; HEPA Filtration|0.8L Dust Tank|Includes Multiple Accessories,(Grey/Black)</t>
  </si>
  <si>
    <t>ROYAL STEP - AMAZON'S BRAND - Portable Electric USB Juice Maker Juicer Bottle Blender Grinder Mixer,4 Blades Rechargeable Bottle with (Multi color) (MULTI)</t>
  </si>
  <si>
    <t>Nirdambhay Mini Bag Sealer, 2 in 1 Heat Sealer and Cutter Handheld Sealing Machine Portable Bag Resealer Sealer for Plastic Bags Food Storage Snack Fresh Bag Sealer (Including 2 AA Battery)</t>
  </si>
  <si>
    <t>Cello Non-Stick Aluminium Sandwich Gas Toaster(Black)</t>
  </si>
  <si>
    <t>Proven¬Æ Copper + Mineral RO+UV+UF 10 to 12 Liter RO + UV + TDS ADJUSTER Water Purifier with Copper Charge Technology black &amp; copper Best For Home and Office (Made In India)</t>
  </si>
  <si>
    <t>Morphy Richards Daisy 1000W Dry Iron with American Heritage Non-Stick Coated Soleplate, White</t>
  </si>
  <si>
    <t>Wipro Vesta 1200 Watt GD201 Lightweight Automatic Dry Iron| Quick Heat Up| Stylish &amp; Sleek |Anti bacterial German Weilburger Double Coated Soleplate |2 Years Warranty</t>
  </si>
  <si>
    <t>Zuvexa Egg Boiler Poacher Automatic Off Steaming, Cooking, Boiling Double Layer 14 Egg Boiler (Multicolor)‚Ä¶</t>
  </si>
  <si>
    <t>AO Smith HSE-VAS-X-015 Storage 15 Litre Vertical Water Heater (Geyser) White 4 Star</t>
  </si>
  <si>
    <t>Havells Festiva 1200mm Dust Resistant Ceiling Fan (Gold Mist)</t>
  </si>
  <si>
    <t>INALSA Vaccum Cleaner Handheld 800W High Powerful Motor- Dura Clean with HEPA Filtration &amp; Strong Powerful 16KPA Suction| Lightweight, Compact &amp; Durable Body|Includes Multiple Accessories,(Grey/Black)</t>
  </si>
  <si>
    <t>iBELL SM1515NEW Sandwich Maker with Floating Hinges, 1000Watt, Panini / Grill / Toast (Black)</t>
  </si>
  <si>
    <t>Aquaguard Aura RO+UV+UF+Taste Adjuster(MTDS) with Active Copper &amp; Zinc 7L water purifier,8 stages of purification,suitable for borewell,tanker,municipal water(Black) from Eureka Forbes</t>
  </si>
  <si>
    <t>Havells Instanio 3-Litre 4.5KW Instant Water Heater (Geyser), White Blue</t>
  </si>
  <si>
    <t>Milk Frother, Immersion Blender Cordlesss Foam Maker USB Rechargeable Small Mixer Handheld with 2 Stainless WhisksÔºåWisker for Stirring 3-Speed Adjustable Mini Frother for Cappuccino Latte Coffee Egg</t>
  </si>
  <si>
    <t>Panasonic SR-WA22H (E) Automatic Rice Cooker, Apple Green, 2.2 Liters</t>
  </si>
  <si>
    <t>InstaCuppa Milk Frother for Coffee - Handheld Battery-Operated Electric Milk and Coffee Frother, Stainless Steel Whisk and Stand, Portable Foam Maker for Coffee, Cappuccino, Lattes, and Egg Beaters</t>
  </si>
  <si>
    <t>Goodscity Garment Steamer for Clothes, Steam Iron Press - Vertical &amp; Horizontal Steaming up to 22g/min, 1200 Watt, 230 ml Water tank &amp; 30 sec Fast Heating (GC 111)</t>
  </si>
  <si>
    <t>Solidaire 550-Watt Mixer Grinder with 3 Jars (Black) (SLD-550-B)</t>
  </si>
  <si>
    <t>Amazon Basics 300 W Hand Blender with Stainless Steel Stem for Hot/Cold Blending and In-Built Cord Hook, ISI-Marked, Black</t>
  </si>
  <si>
    <t>Orpat HHB-100E 250-Watt Hand Blender (White)</t>
  </si>
  <si>
    <t>HealthSense Rechargeable Lint Remover for Clothes | Fuzz and Fur Remover | Electric Fabric Shaver, Trimmer for Clothes, Carpet, Sofa, Sweaters, Curtains | One-Year Warranty Included - New-Feel LR350</t>
  </si>
  <si>
    <t>AGARO Classic Portable Yogurt Maker, 1.2L Capacity, Electric, Automatic, Grey and White, Medium (33603)</t>
  </si>
  <si>
    <t>AGARO Imperial 240-Watt Slow Juicer with Cold Press Technology</t>
  </si>
  <si>
    <t>Wipro Smartlife Super Deluxe Dry Iron- 1000W</t>
  </si>
  <si>
    <t>AmazonBasics Cylinder Bagless Vacuum Cleaner with Power Suction, Low Sound, High Energy Efficiency and 2 Years Warranty (1.5L, Black)</t>
  </si>
  <si>
    <t>Crompton IHL 251 1500-Watt Immersion Water Heater with Copper Heating Element and IP 68 Protection</t>
  </si>
  <si>
    <t>SaiEllin Room Heater For Home 2000 Watts Room Heater For Bedroom | ISI Approved With 1 Year Warranty | For 250 Sq. Feet Blower Heater &amp; Room Heaters Home For Winters</t>
  </si>
  <si>
    <t>Bajaj Majesty Duetto Gas 6 Ltr Vertical Water Heater ( LPG), White</t>
  </si>
  <si>
    <t>Black + Decker BD BXIR2201IN 2200-Watt Cord &amp; Cordless Steam Iron (Green)</t>
  </si>
  <si>
    <t>Inalsa Hand Blender| Hand Mixer|Beater - Easy Mix, Powerful 250 Watt Motor | Variable 7 Speed Control | 1 Year Warranty | (White/Red)</t>
  </si>
  <si>
    <t>Longway Blaze 2 Rod Quartz Room Heater (White, Gray, 800 watts)</t>
  </si>
  <si>
    <t>Prestige PWG 07 Wet Grinder, 2L (Multicolor) with Coconut Scraper and Atta Kneader Attachments, 200 Watt</t>
  </si>
  <si>
    <t>Pigeon Zest Mixer Grinder 3 Speed Control 750 Watt Powerful Copper Motor with 3 Stainless Steel Jars for Dry Grinding, Wet Grinding and Making Chutney and 3 Polycarbonate lids - Blue</t>
  </si>
  <si>
    <t>Borosil Volcano 13 Fin Oil Filled Radiator Room Heater, 2900 W, Black</t>
  </si>
  <si>
    <t>Crompton Solarium Qube 15-L 5 Star Rated Storage Water Heater (Geyser) with Free Installation and Connection Pipes (White and Black)</t>
  </si>
  <si>
    <t>Singer Aroma 1.8 Liter Electric Kettle High Grade Stainless Steel with Cool and Touch Body and Cordless Base, 1500 watts, Auto Shut Off with Dry Boiling (Silver/Black)</t>
  </si>
  <si>
    <t>Orient Electric Aura Neo Instant 3L Water Heater (Geyser), 5-level Safety Shield, Stainless Steel Tank (White &amp; Turquoise)</t>
  </si>
  <si>
    <t>Crompton Brio 1000-Watts Dry Iron with Weilburger Coating (Sky Blue and White)</t>
  </si>
  <si>
    <t>Butterfly Hero Mixer Grinder, 500W, 3 Jars (Grey)</t>
  </si>
  <si>
    <t>Racold Eterno Pro 25L Vertical 5 Star Storage Water Heater (Geyser) with free Standard Installation and free Installation Pipes</t>
  </si>
  <si>
    <t>LG 1.5 Ton 5 Star AI DUAL Inverter Split AC (Copper, Super Convertible 6-in-1 Cooling, HD Filter with Anti-Virus Protection, 2022 Model, PS-Q19YNZE, White)</t>
  </si>
  <si>
    <t>Eureka Forbes Aquasure Amrit Twin Cartridge (Pack of 2), White</t>
  </si>
  <si>
    <t>Green Tales Heat Seal Mini Food Sealer-Impulse Machine for Sealing Plastic Bags Packaging</t>
  </si>
  <si>
    <t>SaleOn Instant Coal Heater 500W Charcoal Burner Electric Stove Hot Plate - Mix Colors - Pack of 1 - Only Charcoal Heater</t>
  </si>
  <si>
    <t>Sujata Chutney Steel Jar, 400 ml, (White), Stainless Steel</t>
  </si>
  <si>
    <t>KHAITAN AVAANTE KA-2013 1200 Watt 3-Rod Halogen Heater (1200 Watts, Grey)</t>
  </si>
  <si>
    <t>Kenstar 2400 Watts 9 Fins Oil Filled Radiator with PTC Fan Heater (BLACK GOLD)</t>
  </si>
  <si>
    <t>NEXOMS Instant Heating Water Tap Wall Mounted with 3 Pin Indian Plug (16Amp)</t>
  </si>
  <si>
    <t>JIALTO Mini Waffle Maker 4 Inch- 350 Watts: Stainless Steel Non-Stick Electric Iron Machine for Individual Belgian Waffles, Pan Cakes, Paninis or Other Snacks - Aqua blue</t>
  </si>
  <si>
    <t>Candes BlowHot All in One Silent Blower Fan Room Heater (ABS Body, White, Brown) 2000 Watts</t>
  </si>
  <si>
    <t>Ionix Jewellery Scale | Weight Scale | Digital Weight Machine | weight machine for gold | Electronic weighing machines for Jewellery 0.01G to 200G Small Weight Machine for Shop - Silver</t>
  </si>
  <si>
    <t>Kitchen Kit Electric Kettle, 1.8L Stainless Steel Tea Kettle, Fast Boil Water Warmer with Auto Shut Off and Boil Dry Protection Tech</t>
  </si>
  <si>
    <t>Racold Pronto Pro 3Litres 3KW Vertical Instant Water Heater (Geyser)</t>
  </si>
  <si>
    <t>ESN 999 Supreme Quality 1500W Immersion Water Heater Rod (Black)</t>
  </si>
  <si>
    <t>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</si>
  <si>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Saiyam Stainless Steel Espresso Maker Stovetop Coffee Percolator Italian Coffee Maker Moka Pot (4 Cup - 200 ml, Silver)</t>
  </si>
  <si>
    <t>KONVIO NEER 10 Inch Spun Filter (PP SPUN) Cartridge Compatible for 10 Inch Pre-Filter Housing of Water Purifier | Pack of 4 Spun</t>
  </si>
  <si>
    <t>Havells Glydo 1000 watt Dry Iron With American Heritage Non Stick Sole Plate, Aerodynamic Design, Easy Grip Temperature Knob &amp; 2 years Warranty. (Charcoal Blue)</t>
  </si>
  <si>
    <t>Raffles Premium Stainless Steel South Indian Coffee Filter/Drip Coffee Maker, 2-3 Cups, 150 ml</t>
  </si>
  <si>
    <t>IONIX Activated Carbon Faucet Water Filters Universal Interface Home Kitchen Faucet Tap Water | Tap filter Multilayer | Clean Purifier Filter Cartridge Five Layer Water Filter-Pack of 1</t>
  </si>
  <si>
    <t>KNYUC MART Mini Electric Handy Room Heater Compact Plug-in, The Wall Outlet 400 Watts, Handy Air Warmer Blower Adjustable Timer Digital Display</t>
  </si>
  <si>
    <t>INKULTURE Stainless_Steel Measuring Cups &amp; Spoon Combo for Dry or Liquid/Kitchen Gadgets for Cooking &amp; Baking Cakes/Measuring Cup Set Combo with Handles (Set of 4 Cups &amp; 4 Spoons)</t>
  </si>
  <si>
    <t>Macmillan Aquafresh 5 Micron PS-05 10" in PP Spun Filter Candle Set for All Type RO Water Purifier 10 inch (4)</t>
  </si>
  <si>
    <t>Havells D'zire 1000 watt Dry Iron With American Heritage Sole Plate, Aerodynamic Design, Easy Grip Temperature Knob &amp; 2 years Warranty. (Mint)</t>
  </si>
  <si>
    <t>TE‚Ñ¢ Instant Electric Heating Hot and Cold Water Geyser Tap Water with Digital Display (White)</t>
  </si>
  <si>
    <t>ZIGMA WinoteK WinoteK Sun Instant Water Geyser, Water Heater, Portable Water Heater, Geysers Made of First Class ABS Plastic, automatic Reset Model, AE10-3 W (Yellow)</t>
  </si>
  <si>
    <t>KENT 11054 Alkaline Water Filter Pitcher 3.5 L | Chemical-Free Water with Balanced pH Levels 8.0 to 9.5 | Solves Acidity Issue | Equipped with Carbon and Sediment Filter - Grey</t>
  </si>
  <si>
    <t>Sujata Dynamix DX Mixer Grinder, 900W, 3 Jars (White)</t>
  </si>
  <si>
    <t>Lifelong LLMG74 750 Watt Mixer Grinder with 3 Jars (White and Grey)</t>
  </si>
  <si>
    <t>TTK Prestige Limited Orion Mixer Grinder 500 Watts, 3 Jars (1200ml, 1000ml, 500ml) (Red)</t>
  </si>
  <si>
    <t>AGARO Regal Electric Rice Cooker, 3L Ceramic Inner Bowl, Cooks Up to 600 Gms Raw Rice, SS Steamer, Preset Cooking Functions, Preset Timer, Keep Warm Function, LED Display, Black</t>
  </si>
  <si>
    <t>VAPJA¬Æ Portable Mini Juicer Cup Blender USB Rechargeable with 4 Blades for Shakes and Smoothies Fruits Vegetables Juice Maker Grinder Mixer Strong Cutting Bottle Sports Travel Outdoors Gym (BOTTLE)</t>
  </si>
  <si>
    <t>Philips HD6975/00 25 Litre Digital Oven Toaster Grill, Grey, 25 liter</t>
  </si>
  <si>
    <t>Usha EI 3710 Heavy Weight 1000-Watt Dry Iron with Golden American Heritage Soleplate, 1.75 Kg(White)</t>
  </si>
  <si>
    <t>Campfire Spring Chef Prolix Instant Portable Water Heater Geyser 1Ltr. for Use Home Stainless Steel Baking Rack | Restaurant | Office | Labs | Clinics | Saloon | with Installation Kit (With MCB)</t>
  </si>
  <si>
    <t>Themisto TH-WS20 Digital Kitchen Weighing Scale Stainless Steel (5Kg)</t>
  </si>
  <si>
    <t>FYA Handheld Vacuum Cleaner Cordless, Wireless Hand Vacuum&amp;Air Blower 2-in-1, Mini Portable Car Vacuum Cleaner with Powerful Suction, USB Rechargeable Vacuum for Pet Hair, Home and Car</t>
  </si>
  <si>
    <t>Lifelong LLSM120G Sandwich Griller , Classic Pro 750 W Sandwich Maker with 4 Slice Non-Stick Fixed Plates for Sandwiches at Home with 1 Year Warranty (Black)</t>
  </si>
  <si>
    <t>Kuber Industries Nylon Mesh Laundry Basket|Sturdy Material &amp; Durable Handles|Netted Lightweight Laundry Bag, Size 36 x 36 x 58, Capicity 30 Ltr (Pink)</t>
  </si>
  <si>
    <t>Bulfyss Plastic Sticky Lint Roller Hair Remover Cleaner Set of 5 Rolls 150 Sheets, 30 Sheets Each roll Lint Roller Remover for Clothes, Furniture, Carpet, Dog Fur, Sweater, Dust &amp; Dirt</t>
  </si>
  <si>
    <t>T TOPLINE 180 W Electric Hand Mixer,Hand Blender , Egg Beater, Cake maker , Beater Cream Mix, Food Blender, Beater for Whipping Cream Beater for Cake With 7 -Speed with spatula and oil brush</t>
  </si>
  <si>
    <t>Empty Mist Trigger Plastic Spray Bottle for Multi use 200ml Pack of 2</t>
  </si>
  <si>
    <t>LONAXA Mini Travel Rechargeable Fruit Juicer - USB Electric Fruit &amp; Vegetable Juice Blender/Grinder for Home and Office Use (Multicolor)‚Ä¶</t>
  </si>
  <si>
    <t>SUJATA Powermatic Plus, Juicer Mixer Grinder, 900 Watts, 2 Jars (White)</t>
  </si>
  <si>
    <t>AGARO Royal Double Layered Kettle, 1.5 Litres, Double Layered Cool Touch , Dry Boiling Protection, Black</t>
  </si>
  <si>
    <t>Cafe JEI French Press Coffee and Tea Maker 600ml with 4 Level Filtration System, Heat Resistant Borosilicate Glass (Black, 600ml)</t>
  </si>
  <si>
    <t>Borosil Prime Grill Sandwich Maker (Grey)</t>
  </si>
  <si>
    <t>Candes 10 Litre Perfecto 5 Star Rated Automatic Instant Storage Electric Water Heater with Special Metal Body Anti Rust Coating With Installation Kit, 2KW Geyser (Ivory)</t>
  </si>
  <si>
    <t>Prestige PSMFB 800 Watt Sandwich Toaster with Fixed Plates, Black</t>
  </si>
  <si>
    <t>iBELL MPK120L Premium Stainless Steel Multi Purpose Kettle/Cooker with Inner Pot 1.2 Litre (Silver)</t>
  </si>
  <si>
    <t>Maharaja Whiteline Odacio Plus 550-Watt Juicer Mixer Grinder with 3 Jars (Black/Silver)</t>
  </si>
  <si>
    <t>Shakti Technology S3 High Pressure Car Washer Machine 1800 Watts and Pressure 120 Bar for Cleaning Car, Bike &amp; Home</t>
  </si>
  <si>
    <t>Cello Quick Boil Popular Electric Kettle 1 Litre 1200 Watts | Stainless Steel body | Boiler for Water, Silver</t>
  </si>
  <si>
    <t>AGARO Glory Cool Mist Ultrasonic Humidifier, 4.5Litres, For Large Area, Room, Home, Office, Adjustable Mist Output, Ceramic Ball Filter, Ultra Quiet, 360¬∞ Rotatable Nozzle, Auto Shut Off, Grey</t>
  </si>
  <si>
    <t>Wolpin 1 Lint Roller with 60 Sheets Remove Clothes Lint Dog Hair Dust (19 x 13 cm) Orange</t>
  </si>
  <si>
    <t>Abode Kitchen Essential Measuring Cup &amp; Spoon for Spices | for Cooking and Baking Cake | Multipurpose Tablespoon Cups with Ring Holder | (Black)</t>
  </si>
  <si>
    <t>Sujata Supermix, Mixer Grinder, 900 Watts, 3 Jars (White)</t>
  </si>
  <si>
    <t>CARDEX Digital Kitchen Weighing Machine Multipurpose Electronic Weight Scale With Back Lite LCD Display for Measuring Food, Cake, Vegetable, Fruit (KITCHEN SCALE)</t>
  </si>
  <si>
    <t>V-Guard Zenora RO+UF+MB Water Purifier | Suitable for water with TDS up to 2000 ppm | 8 Stage Purification with World-class RO Membrane and Advanced UF Membrane | Free PAN India Installation &amp; 1-Year Comprehensive Warranty | 7 Litre, Black</t>
  </si>
  <si>
    <t>Bajaj Rex DLX 750 W 4 Jars Mixer Grinder, White and Blue</t>
  </si>
  <si>
    <t>KENT 16051 Hand Blender 300 W | 5 Variable Speed Control | Multiple Beaters &amp; Dough Hooks | Turbo Function</t>
  </si>
  <si>
    <t>Prestige PIC 15.0+ 1900-Watt Induction Cooktop (Black)</t>
  </si>
  <si>
    <t>Aqua d pure Active Copper 12-L RO+UV Water Filter Purifier for Home, Kitchen Fully Automatic UF+TDS Controller</t>
  </si>
  <si>
    <t>PrettyKrafts Laundry Square Shape Basket Bag/Foldable/Multipurpose/Carry Handles/Slanting Lid for Home, Cloth Storage,(Single) Jute Grey</t>
  </si>
  <si>
    <t>Libra Roti Maker Electric Automatic | chapati Maker Electric Automatic | roti Maker Machine with 900 Watts for Making Roti/Chapati/Parathas - Stainless Steel</t>
  </si>
  <si>
    <t>Glen 3 in 1 Electric Multi Cooker - Steam, Cook &amp; Egg Boiler with 350 W (SA 3035MC) - 350 Watts</t>
  </si>
  <si>
    <t>Dynore Stainless Steel Set of 4 Measuring Cup and 4 Measuring Spoon</t>
  </si>
  <si>
    <t>Lint Remover For Clothes With 1 Year Warranty Fabric Shaver Lint Shaver for Woolen Clothes Blanket Jackets Stainless Steel Blades,Bedding, Clothes and Furniture Best Remover for Fabrics Portable Lint Shavers (White Orange)</t>
  </si>
  <si>
    <t>Monitor AC Stand/Heavy Duty Air Conditioner Outdoor Unit Mounting Bracket</t>
  </si>
  <si>
    <t>iBELL Induction Cooktop, 2000W with Auto Shut Off and Overheat Protection, BIS Certified, Black</t>
  </si>
  <si>
    <t>KENT POWP-Sediment Filter 10'' Thread WCAP</t>
  </si>
  <si>
    <t>LACOPINE Mini Pocket Size Lint Roller (White)</t>
  </si>
  <si>
    <t>iBELL SEK170BM Premium Electric Kettle, 1.7 Litre, Stainless Steel with Coating,1500W Auto Cut-Off, Silver with Black</t>
  </si>
  <si>
    <t>Activa Easy Mix Nutri Mixer Grinder 500 Watt | Long Lasting Shock Proof ABS Body | Heavy Duty Motor With Nano - Grinding Technology</t>
  </si>
  <si>
    <t>Sujata Dynamix, Mixer Grinder, 900 Watts, 3 Jars (White)</t>
  </si>
  <si>
    <t>Wipro Vesta 1380W Cordless Steam Iron Quick heat up with 20gm/ min Steam Burst, Scratch resistant Ceramic soleplate ,Vertical and Horizontal Ironing, Steam burst of upto .8g/ shot</t>
  </si>
  <si>
    <t>Mi Robot Vacuum-Mop P, Best-in-class Laser Navigation in 10-20K INR price band, Intelligent mapping, Robotic Floor Cleaner with 2 in 1 Mopping and Vacuum, App Control (WiFi, Alexa,GA), Strong suction</t>
  </si>
  <si>
    <t>Havells Ventil Air DX 200mm Exhaust Fan (White)</t>
  </si>
  <si>
    <t>AGARO Royal Stand 1000W Mixer with 5L SS Bowl and 8 Speed Setting, Includes Whisking Cone, Mixing Beater &amp; Dough Hook, and Splash Guard, 2 Years Warranty, (Black), Medium (33554)</t>
  </si>
  <si>
    <t>Crompton Highspeed Markle Prime 1200 mm (48 inch) Anti-Dust Ceiling Fan with Energy Efficient 55W Motor (Burgundy)</t>
  </si>
  <si>
    <t>Lifelong LLWM105 750-Watt Belgian Waffle Maker for Home| Makes 2 Square Shape Waffles| Non-stick Plates| Easy to Use¬†with Indicator Lights (1 Year Warranty, Black)</t>
  </si>
  <si>
    <t>Kuber Industries Waterproof Round Laundry Bag/Hamper|Polka Dots Print Print with Handles|Foldable Bin &amp; 45 Liter Capicity|Size 37 x 37 x 49, Pack of 1(Black &amp; White)- CTKTC044992</t>
  </si>
  <si>
    <t>Portable, Handy Compact Plug-in Portable Digital Electric Heater Fan Wall-Outlet Handy Air Warmer Blower Adjustable Timer Digital Display Heater for Home/Office/Camper (Black, 400 Watts)</t>
  </si>
  <si>
    <t>Karcher WD3 EU Wet and Dry Vacuum Cleaner, 1000 Watts Powerful Suction, 17 L Capacity, Blower Function, Easy Filter Removal for Home and Garden Cleaning¬† (Yellow/Black)</t>
  </si>
  <si>
    <t>INALSA Air Fryer Digital 4L Nutri Fry - 1400W with Smart AirCrisp Technology| 8-Preset Menu, Touch Control &amp; Digital Display|Variable Temperature &amp; Timer Control|Free Recipe book|2 Yr Warranty (Black)</t>
  </si>
  <si>
    <t>AmazonBasics High Speed 55 Watt Oscillating Pedestal Fan, 400mm Sweep Length, White (Without Remote)</t>
  </si>
  <si>
    <t>Eco Crystal J 5 inch Cartridge (Pack of 2)</t>
  </si>
  <si>
    <t>Borosil Rio 1.5 L Electric Kettle, Stainless Steel Inner Body, Boil Water For Tea, Coffee, Soup, Silver</t>
  </si>
  <si>
    <t>Havells Ambrose 1200mm Ceiling Fan (Pearl White Wood)</t>
  </si>
  <si>
    <t>PHILIPS Drip Coffee Maker HD7432/20, 0.6 L, Ideal for 2-7 cups, Black, Medium</t>
  </si>
  <si>
    <t>Eureka Forbes Euroclean Paper Vacuum Cleaner Dust Bags for Excel, Ace, 300, Jet Models - Set of 10</t>
  </si>
  <si>
    <t>Larrito wooden Cool Mist Humidifiers Essential Oil Diffuser Aroma Air Humidifier with Colorful Change for Car, Office, Babies, humidifiers for home, air humidifier for room (WOODEN HUMIDIFIRE-A)</t>
  </si>
  <si>
    <t>Hilton Quartz Heater 400/800-Watt ISI 2 Rods Multi Mode Heater Long Lasting Quick Heating Extremely Warm (Grey)</t>
  </si>
  <si>
    <t>Syska SDI-07 1000 W Stellar with Golden American Heritage Soleplate Dry Iron (Blue)</t>
  </si>
  <si>
    <t>IKEA Milk Frother for Your Milk, Coffee,(Cold and hot Drinks), Black</t>
  </si>
  <si>
    <t>IONIX Tap filter Multilayer | Activated Carbon Faucet Water Filters Universal Interface Home Kitchen Faucet Tap Water Clean Purifier Filter Cartridge Five Layer Water Filter-Pack of 1</t>
  </si>
  <si>
    <t>Kitchengenix's Mini Waffle Maker 4 Inch- 350 Watts: Stainless Steel Non-Stick Electric Iron Machine for Individual Belgian Waffles, Pan Cakes, Paninis or Other Snacks (Red)</t>
  </si>
  <si>
    <t>Bajaj HM-01 Powerful 250W Hand Mixer, Black</t>
  </si>
  <si>
    <t>KNOWZA Electric Handheld Milk Wand Mixer Frother for Latte Coffee Hot Milk, Milk Frother for Coffee, Egg Beater, Hand Blender, Coffee Beater (BLACK COFFEE BEATER)</t>
  </si>
  <si>
    <t>Usha Hc 812 T Thermo Fan Room Heater</t>
  </si>
  <si>
    <t>akiara - Makes life easy Mini Sewing Machine for Home Tailoring use | Mini Silai Machine with Sewing Kit Set Sewing Box with Thread Scissors, Needle All in One Sewing Accessories (White &amp; Purple)</t>
  </si>
  <si>
    <t>USHA 1212 PTC with Adjustable Thermostat Fan Heater (Black/Brown, 1500-Watts).</t>
  </si>
  <si>
    <t>4 in 1 Handheld Electric Vegetable Cutter Set,Wireless Food Processor Electric Food Chopper for Garlic Chili Pepper Onion Ginger Celery Meat with Brush</t>
  </si>
  <si>
    <t>Philips HD9306/06 1.5-Litre Electric Kettle (Multicolor)</t>
  </si>
  <si>
    <t>Libra Room Heater for Home, Room Heaters Home for Winter, Electric Heater with 2000 Watts Power as per IS Specification for Small to Medium Rooms - FH12 (Grey)</t>
  </si>
  <si>
    <t>NGI Store 2 Pieces Pet Hair Removers for Your Laundry Catcher Lint Remover for Washing Machine Lint Remover Reusable Portable Silica Gel Clothes Washer Dryer Floating Ball</t>
  </si>
  <si>
    <t>Noir Aqua - 5pcs PP Spun Filter + 1 Spanner | for All Types of RO Water purifiers (5 Piece, White, 10 Inch, 5 Micron) - RO Spun Filter Cartridge Sponge Replacement Water Filter Candle</t>
  </si>
  <si>
    <t>Prestige Delight PRWO Electric Rice Cooker (1 L, White)</t>
  </si>
  <si>
    <t>Bajaj Majesty RX10 2000 Watts Heat Convector Room Heater (White, ISI Approved)</t>
  </si>
  <si>
    <t>Havells Ventil Air DSP 230mm Exhaust Fan (Pista Green)</t>
  </si>
  <si>
    <t>Borosil Jumbo 1000-Watt Grill Sandwich Maker (Black)</t>
  </si>
  <si>
    <t>1,39,900</t>
  </si>
  <si>
    <t>Quantum QHM-7406 Full-Sized Keyboard with () Rupee Symbol, Hotkeys and 3-pieces LED function for Desktop/Laptop/Smart TV Spill-Resistant Wired USB Keyboard with 10 million keystrokes lifespan (Black)</t>
  </si>
  <si>
    <t>PRODUCT-NAME</t>
  </si>
  <si>
    <t>DISCOUNTED-PRICE</t>
  </si>
  <si>
    <t>ACTUAL PRICE</t>
  </si>
  <si>
    <t>RATING</t>
  </si>
  <si>
    <t>RATING COUNT</t>
  </si>
  <si>
    <t>DISCOUNT PERCENTAGE</t>
  </si>
  <si>
    <t>Computers&amp;Accessories</t>
  </si>
  <si>
    <t>Accessories&amp;Peripherals</t>
  </si>
  <si>
    <t>Cables&amp;Accessories</t>
  </si>
  <si>
    <t>Cables</t>
  </si>
  <si>
    <t>NetworkingDevices</t>
  </si>
  <si>
    <t>NetworkAdapters</t>
  </si>
  <si>
    <t>WirelessUSBAdapters</t>
  </si>
  <si>
    <t>Electronics</t>
  </si>
  <si>
    <t>HomeTheater,TV&amp;Video</t>
  </si>
  <si>
    <t>Accessories</t>
  </si>
  <si>
    <t>Televisions</t>
  </si>
  <si>
    <t>SmartTelevisions</t>
  </si>
  <si>
    <t>RemoteControls</t>
  </si>
  <si>
    <t>StandardTelevisions</t>
  </si>
  <si>
    <t>TVMounts,Stands&amp;Turntables</t>
  </si>
  <si>
    <t>HomeAudio</t>
  </si>
  <si>
    <t>SpeakerAccessories</t>
  </si>
  <si>
    <t>Mounts</t>
  </si>
  <si>
    <t>Projectors</t>
  </si>
  <si>
    <t>Adapters</t>
  </si>
  <si>
    <t>SatelliteEquipment</t>
  </si>
  <si>
    <t>SatelliteReceivers</t>
  </si>
  <si>
    <t>MediaStreamingDevices</t>
  </si>
  <si>
    <t>StreamingClients</t>
  </si>
  <si>
    <t>AVReceivers&amp;Amplifiers</t>
  </si>
  <si>
    <t>Speakers</t>
  </si>
  <si>
    <t>TowerSpeakers</t>
  </si>
  <si>
    <t>3DGlasses</t>
  </si>
  <si>
    <t>WearableTechnology</t>
  </si>
  <si>
    <t>SmartWatches</t>
  </si>
  <si>
    <t>Mobiles&amp;Accessories</t>
  </si>
  <si>
    <t>MobileAccessories</t>
  </si>
  <si>
    <t>Chargers</t>
  </si>
  <si>
    <t>Smartphones&amp;BasicMobiles</t>
  </si>
  <si>
    <t>Smartphones</t>
  </si>
  <si>
    <t>MemoryCards</t>
  </si>
  <si>
    <t>MicroSD</t>
  </si>
  <si>
    <t>BasicMobiles</t>
  </si>
  <si>
    <t>Headphones,Earbuds&amp;Accessories</t>
  </si>
  <si>
    <t>Headphones</t>
  </si>
  <si>
    <t>In-Ear</t>
  </si>
  <si>
    <t>AutomobileAccessories</t>
  </si>
  <si>
    <t>Cables&amp;Adapters</t>
  </si>
  <si>
    <t>Photo&amp;VideoAccessories</t>
  </si>
  <si>
    <t>Stands</t>
  </si>
  <si>
    <t>CableConnectionProtectors</t>
  </si>
  <si>
    <t>D√©cor</t>
  </si>
  <si>
    <t>Maintenance,Upkeep&amp;Repairs</t>
  </si>
  <si>
    <t>ScreenProtectors</t>
  </si>
  <si>
    <t>StylusPens</t>
  </si>
  <si>
    <t>Cases&amp;Covers</t>
  </si>
  <si>
    <t>On-Ear</t>
  </si>
  <si>
    <t>LaptopAccessories</t>
  </si>
  <si>
    <t>CameraPrivacyCovers</t>
  </si>
  <si>
    <t>ExternalDevices&amp;DataStorage</t>
  </si>
  <si>
    <t>PenDrives</t>
  </si>
  <si>
    <t>Keyboards,Mice&amp;InputDevices</t>
  </si>
  <si>
    <t>Mice</t>
  </si>
  <si>
    <t>GraphicTablets</t>
  </si>
  <si>
    <t>Lapdesks</t>
  </si>
  <si>
    <t>NotebookComputerStands</t>
  </si>
  <si>
    <t>Keyboards</t>
  </si>
  <si>
    <t>MusicalInstruments</t>
  </si>
  <si>
    <t>Microphones</t>
  </si>
  <si>
    <t>Condenser</t>
  </si>
  <si>
    <t>GeneralPurposeBatteries&amp;BatteryChargers</t>
  </si>
  <si>
    <t>DisposableBatteries</t>
  </si>
  <si>
    <t>OfficeProducts</t>
  </si>
  <si>
    <t>OfficePaperProducts</t>
  </si>
  <si>
    <t>Paper</t>
  </si>
  <si>
    <t>Stationery</t>
  </si>
  <si>
    <t>Home&amp;Kitchen</t>
  </si>
  <si>
    <t>CraftMaterials</t>
  </si>
  <si>
    <t>Scrapbooking</t>
  </si>
  <si>
    <t>Tape</t>
  </si>
  <si>
    <t>Keyboard&amp;MouseSets</t>
  </si>
  <si>
    <t>ExternalHardDisks</t>
  </si>
  <si>
    <t>Cameras&amp;Photography</t>
  </si>
  <si>
    <t>VideoCameras</t>
  </si>
  <si>
    <t>Tripods&amp;Monopods</t>
  </si>
  <si>
    <t>OfficeElectronics</t>
  </si>
  <si>
    <t>Calculators</t>
  </si>
  <si>
    <t>Scientific</t>
  </si>
  <si>
    <t>Repeaters&amp;Extenders</t>
  </si>
  <si>
    <t>Printers,Inks&amp;Accessories</t>
  </si>
  <si>
    <t>Inks,Toners&amp;Cartridges</t>
  </si>
  <si>
    <t>InkjetInkCartridges</t>
  </si>
  <si>
    <t>Keyboard&amp;MiceAccessories</t>
  </si>
  <si>
    <t>PCGamingPeripherals</t>
  </si>
  <si>
    <t>GamingMice</t>
  </si>
  <si>
    <t>PaintingMaterials</t>
  </si>
  <si>
    <t>Paints</t>
  </si>
  <si>
    <t>HardDiskBags</t>
  </si>
  <si>
    <t>Flashes</t>
  </si>
  <si>
    <t>Macro&amp;RinglightFlashes</t>
  </si>
  <si>
    <t>Routers</t>
  </si>
  <si>
    <t>Over-Ear</t>
  </si>
  <si>
    <t>BluetoothSpeakers</t>
  </si>
  <si>
    <t>RechargeableBatteries</t>
  </si>
  <si>
    <t>BluetoothAdapters</t>
  </si>
  <si>
    <t>USBtoUSBAdapters</t>
  </si>
  <si>
    <t>Film</t>
  </si>
  <si>
    <t>Monitors</t>
  </si>
  <si>
    <t>USBGadgets</t>
  </si>
  <si>
    <t>Lamps</t>
  </si>
  <si>
    <t>Cleaners</t>
  </si>
  <si>
    <t>SecurityCameras</t>
  </si>
  <si>
    <t>DomeCameras</t>
  </si>
  <si>
    <t>TabletAccessories</t>
  </si>
  <si>
    <t>Gamepads</t>
  </si>
  <si>
    <t>Basic</t>
  </si>
  <si>
    <t>USBHubs</t>
  </si>
  <si>
    <t>Audio&amp;VideoAccessories</t>
  </si>
  <si>
    <t>PCMicrophones</t>
  </si>
  <si>
    <t>OutdoorSpeakers</t>
  </si>
  <si>
    <t>Bags&amp;Sleeves</t>
  </si>
  <si>
    <t>ExternalMemoryCardReaders</t>
  </si>
  <si>
    <t>Components</t>
  </si>
  <si>
    <t>Memory</t>
  </si>
  <si>
    <t>UninterruptedPowerSupplies</t>
  </si>
  <si>
    <t>Cases</t>
  </si>
  <si>
    <t>SecureDigitalCards</t>
  </si>
  <si>
    <t>Webcams&amp;VoIPEquipment</t>
  </si>
  <si>
    <t>CoolingPads</t>
  </si>
  <si>
    <t>HomeImprovement</t>
  </si>
  <si>
    <t>Electrical</t>
  </si>
  <si>
    <t>Adapters&amp;Multi-Outlets</t>
  </si>
  <si>
    <t>Copy&amp;PrintingPaper</t>
  </si>
  <si>
    <t>InternalSolidStateDrives</t>
  </si>
  <si>
    <t>MultimediaSpeakerSystems</t>
  </si>
  <si>
    <t>DataCards&amp;Dongles</t>
  </si>
  <si>
    <t>LaptopChargers&amp;PowerSupplies</t>
  </si>
  <si>
    <t>PCSpeakers</t>
  </si>
  <si>
    <t>Batteries&amp;Chargers</t>
  </si>
  <si>
    <t>Bags,Cases&amp;Sleeves</t>
  </si>
  <si>
    <t>DrawingMaterials</t>
  </si>
  <si>
    <t>DrawingMedia</t>
  </si>
  <si>
    <t>InternalHardDrives</t>
  </si>
  <si>
    <t>Printers</t>
  </si>
  <si>
    <t>PCHeadsets</t>
  </si>
  <si>
    <t>GamingKeyboards</t>
  </si>
  <si>
    <t>SoundbarSpeakers</t>
  </si>
  <si>
    <t>Earpads</t>
  </si>
  <si>
    <t>InkjetPrinters</t>
  </si>
  <si>
    <t>Toys&amp;Games</t>
  </si>
  <si>
    <t>Arts&amp;Crafts</t>
  </si>
  <si>
    <t>Drawing&amp;PaintingSupplies</t>
  </si>
  <si>
    <t>ColouringPens&amp;Markers</t>
  </si>
  <si>
    <t>Headsets</t>
  </si>
  <si>
    <t>ExternalSolidStateDrives</t>
  </si>
  <si>
    <t>PowerLANAdapters</t>
  </si>
  <si>
    <t>InkjetInkRefills&amp;Kits</t>
  </si>
  <si>
    <t>PhotoStudio&amp;Lighting</t>
  </si>
  <si>
    <t>Financial&amp;Business</t>
  </si>
  <si>
    <t>PowerAccessories</t>
  </si>
  <si>
    <t>SurgeProtectors</t>
  </si>
  <si>
    <t>Tablets</t>
  </si>
  <si>
    <t>CordManagement</t>
  </si>
  <si>
    <t>TonerCartridges</t>
  </si>
  <si>
    <t>HardDriveAccessories</t>
  </si>
  <si>
    <t>Caddies</t>
  </si>
  <si>
    <t>Laptops</t>
  </si>
  <si>
    <t>TraditionalLaptops</t>
  </si>
  <si>
    <t>Kitchen&amp;HomeAppliances</t>
  </si>
  <si>
    <t>SmallKitchenAppliances</t>
  </si>
  <si>
    <t>Kettles&amp;HotWaterDispensers</t>
  </si>
  <si>
    <t>Heating,Cooling&amp;AirQuality</t>
  </si>
  <si>
    <t>RoomHeaters</t>
  </si>
  <si>
    <t>ElectricHeaters</t>
  </si>
  <si>
    <t>FanHeaters</t>
  </si>
  <si>
    <t>Vacuum,Cleaning&amp;Ironing</t>
  </si>
  <si>
    <t>Irons,Steamers&amp;Accessories</t>
  </si>
  <si>
    <t>DigitalKitchenScales</t>
  </si>
  <si>
    <t>Kitchen&amp;Dining</t>
  </si>
  <si>
    <t>KitchenTools</t>
  </si>
  <si>
    <t>ManualChoppers&amp;Chippers</t>
  </si>
  <si>
    <t>InductionCooktop</t>
  </si>
  <si>
    <t>HandBlenders</t>
  </si>
  <si>
    <t>MixerGrinders</t>
  </si>
  <si>
    <t>WaterHeaters&amp;Geysers</t>
  </si>
  <si>
    <t>InstantWaterHeaters</t>
  </si>
  <si>
    <t>StorageWaterHeaters</t>
  </si>
  <si>
    <t>ImmersionRods</t>
  </si>
  <si>
    <t>DeepFatFryers</t>
  </si>
  <si>
    <t>HomeStorage&amp;Organization</t>
  </si>
  <si>
    <t>LaundryOrganization</t>
  </si>
  <si>
    <t>LaundryBaskets</t>
  </si>
  <si>
    <t>JuicerMixerGrinders</t>
  </si>
  <si>
    <t>Vacuums&amp;FloorCare</t>
  </si>
  <si>
    <t>EggBoilers</t>
  </si>
  <si>
    <t>SandwichMakers</t>
  </si>
  <si>
    <t>MiniFoodProcessors&amp;Choppers</t>
  </si>
  <si>
    <t>VacuumSealers</t>
  </si>
  <si>
    <t>Fans</t>
  </si>
  <si>
    <t>CeilingFans</t>
  </si>
  <si>
    <t>PressureWashers,Steam&amp;WindowCleaners</t>
  </si>
  <si>
    <t>HalogenHeaters</t>
  </si>
  <si>
    <t>Pop-upToasters</t>
  </si>
  <si>
    <t>HeatConvectors</t>
  </si>
  <si>
    <t>Coffee,Tea&amp;Espresso</t>
  </si>
  <si>
    <t>CoffeeGrinders</t>
  </si>
  <si>
    <t>ExhaustFans</t>
  </si>
  <si>
    <t>DripCoffeeMachines</t>
  </si>
  <si>
    <t>WaterPurifiers&amp;Accessories</t>
  </si>
  <si>
    <t>WaterPurifierAccessories</t>
  </si>
  <si>
    <t>WaterCartridges</t>
  </si>
  <si>
    <t>Rice&amp;PastaCookers</t>
  </si>
  <si>
    <t>Car&amp;Motorbike</t>
  </si>
  <si>
    <t>CarAccessories</t>
  </si>
  <si>
    <t>InteriorAccessories</t>
  </si>
  <si>
    <t>AirPurifiers&amp;Ionizers</t>
  </si>
  <si>
    <t>AirPurifiers</t>
  </si>
  <si>
    <t>HEPAAirPurifiers</t>
  </si>
  <si>
    <t>WaterFilters&amp;Purifiers</t>
  </si>
  <si>
    <t>LaundryBags</t>
  </si>
  <si>
    <t>SewingMachines&amp;Accessories</t>
  </si>
  <si>
    <t>Sewing&amp;EmbroideryMachines</t>
  </si>
  <si>
    <t>IroningAccessories</t>
  </si>
  <si>
    <t>HandMixers</t>
  </si>
  <si>
    <t>Mills&amp;Grinders</t>
  </si>
  <si>
    <t>OvenToasterGrills</t>
  </si>
  <si>
    <t>Juicers</t>
  </si>
  <si>
    <t>Health&amp;PersonalCare</t>
  </si>
  <si>
    <t>HomeMedicalSupplies&amp;Equipment</t>
  </si>
  <si>
    <t>HealthMonitors</t>
  </si>
  <si>
    <t>WeighingScales</t>
  </si>
  <si>
    <t>EspressoMachines</t>
  </si>
  <si>
    <t>TableFans</t>
  </si>
  <si>
    <t>MilkFrothers</t>
  </si>
  <si>
    <t>Humidifiers</t>
  </si>
  <si>
    <t>SmallApplianceParts&amp;Accessories</t>
  </si>
  <si>
    <t>YogurtMakers</t>
  </si>
  <si>
    <t>AirConditioners</t>
  </si>
  <si>
    <t>Split-SystemAirConditioners</t>
  </si>
  <si>
    <t>WaffleMakers&amp;Irons</t>
  </si>
  <si>
    <t>StovetopEspressoPots</t>
  </si>
  <si>
    <t>CoffeeMakerAccessories</t>
  </si>
  <si>
    <t>CoffeePresses</t>
  </si>
  <si>
    <t>RotiMakers</t>
  </si>
  <si>
    <t>Parts&amp;Accessories</t>
  </si>
  <si>
    <t>FanParts&amp;Accessories</t>
  </si>
  <si>
    <t>StandMixers</t>
  </si>
  <si>
    <t>PedestalFans</t>
  </si>
  <si>
    <t>MAIN CATEGORY</t>
  </si>
  <si>
    <t>SECOND CATEGORY</t>
  </si>
  <si>
    <t>THIRD CATEGORY</t>
  </si>
  <si>
    <t>FOURTH CATEGORY</t>
  </si>
  <si>
    <t>POTENTIAL REVENUE</t>
  </si>
  <si>
    <t xml:space="preserve">PRICE RANGE BUCKET </t>
  </si>
  <si>
    <t>DISCOUNT RANGE BUCKET</t>
  </si>
  <si>
    <t>Row Labels</t>
  </si>
  <si>
    <t>Grand Total</t>
  </si>
  <si>
    <t>Average of DISCOUNT PERCENTAGE</t>
  </si>
  <si>
    <t>Average of DISCOUNTED-PRICE</t>
  </si>
  <si>
    <t>Average of ACTUAL PRICE</t>
  </si>
  <si>
    <t>Count of POTENTIAL REVENUE</t>
  </si>
  <si>
    <t>Max of DISCOUNT PERCENTAGE</t>
  </si>
  <si>
    <t>NO 13</t>
  </si>
  <si>
    <t>NO 9</t>
  </si>
  <si>
    <t>Sum of RATING COUNT</t>
  </si>
  <si>
    <t>NO 3</t>
  </si>
  <si>
    <t>NO  1</t>
  </si>
  <si>
    <t>NO  5</t>
  </si>
  <si>
    <t>DISCOUNT 50%</t>
  </si>
  <si>
    <t>product_id</t>
  </si>
  <si>
    <t>B07JW9H4J1</t>
  </si>
  <si>
    <t>B098NS6PVG</t>
  </si>
  <si>
    <t>B096MSW6CT</t>
  </si>
  <si>
    <t>B08HDJ86NZ</t>
  </si>
  <si>
    <t>B08CF3B7N1</t>
  </si>
  <si>
    <t>B08Y1TFSP6</t>
  </si>
  <si>
    <t>B08WRWPM22</t>
  </si>
  <si>
    <t>B08DDRGWTJ</t>
  </si>
  <si>
    <t>B008IFXQFU</t>
  </si>
  <si>
    <t>B082LZGK39</t>
  </si>
  <si>
    <t>B08CF3D7QR</t>
  </si>
  <si>
    <t>B0789LZTCJ</t>
  </si>
  <si>
    <t>B07KSMBL2H</t>
  </si>
  <si>
    <t>B085DTN6R2</t>
  </si>
  <si>
    <t>B09KLVMZ3B</t>
  </si>
  <si>
    <t>B083342NKJ</t>
  </si>
  <si>
    <t>B0B6F7LX4C</t>
  </si>
  <si>
    <t>B082LSVT4B</t>
  </si>
  <si>
    <t>B08WRBG3XW</t>
  </si>
  <si>
    <t>B08DPLCM6T</t>
  </si>
  <si>
    <t>B09C6HXFC1</t>
  </si>
  <si>
    <t>B085194JFL</t>
  </si>
  <si>
    <t>B09F6S8BT6</t>
  </si>
  <si>
    <t>B09NHVCHS9</t>
  </si>
  <si>
    <t>B0B1YVCJ2Y</t>
  </si>
  <si>
    <t>B01M4GGIVU</t>
  </si>
  <si>
    <t>B08B42LWKN</t>
  </si>
  <si>
    <t>B094JNXNPV</t>
  </si>
  <si>
    <t>B09W5XR9RT</t>
  </si>
  <si>
    <t>B077Z65HSD</t>
  </si>
  <si>
    <t>B00NH11PEY</t>
  </si>
  <si>
    <t>B09CMM3VGK</t>
  </si>
  <si>
    <t>B08QSC1XY8</t>
  </si>
  <si>
    <t>B008FWZGSG</t>
  </si>
  <si>
    <t>B0B4HJNPV4</t>
  </si>
  <si>
    <t>B08Y1SJVV5</t>
  </si>
  <si>
    <t>B07XLCFSSN</t>
  </si>
  <si>
    <t>B09RZS1NQT</t>
  </si>
  <si>
    <t>B0B3MMYHYW</t>
  </si>
  <si>
    <t>B09C6HWG18</t>
  </si>
  <si>
    <t>B00NH11KIK</t>
  </si>
  <si>
    <t>B09JPC82QC</t>
  </si>
  <si>
    <t>B07JW1Y6XV</t>
  </si>
  <si>
    <t>B07KRCW6LZ</t>
  </si>
  <si>
    <t>B09NJN8L25</t>
  </si>
  <si>
    <t>B07XJYYH7L</t>
  </si>
  <si>
    <t>B002PD61Y4</t>
  </si>
  <si>
    <t>B014I8SSD0</t>
  </si>
  <si>
    <t>B09L8DSSFH</t>
  </si>
  <si>
    <t>B07232M876</t>
  </si>
  <si>
    <t>B07P681N66</t>
  </si>
  <si>
    <t>B0711PVX6Z</t>
  </si>
  <si>
    <t>B082T6V3DT</t>
  </si>
  <si>
    <t>B07MKFNHKG</t>
  </si>
  <si>
    <t>B0BFWGBX61</t>
  </si>
  <si>
    <t>B01N90RZ4M</t>
  </si>
  <si>
    <t>B0088TKTY2</t>
  </si>
  <si>
    <t>B09Q5SWVBJ</t>
  </si>
  <si>
    <t>B0B4DT8MKT</t>
  </si>
  <si>
    <t>B08CDKQ8T6</t>
  </si>
  <si>
    <t>B07B275VN9</t>
  </si>
  <si>
    <t>B0B15CPR37</t>
  </si>
  <si>
    <t>B0994GFWBH</t>
  </si>
  <si>
    <t>B01GGKZ0V6</t>
  </si>
  <si>
    <t>B09F9YQQ7B</t>
  </si>
  <si>
    <t>B014I8SX4Y</t>
  </si>
  <si>
    <t>B09Q8HMKZX</t>
  </si>
  <si>
    <t>B0B9XN9S3W</t>
  </si>
  <si>
    <t>B07966M8XH</t>
  </si>
  <si>
    <t>B01GGKYKQM</t>
  </si>
  <si>
    <t>B0B86CDHL1</t>
  </si>
  <si>
    <t>B0B5ZF3NRK</t>
  </si>
  <si>
    <t>B09RFC46VP</t>
  </si>
  <si>
    <t>B08R69VDHT</t>
  </si>
  <si>
    <t>B09RWZRCP1</t>
  </si>
  <si>
    <t>B09CMP1SC8</t>
  </si>
  <si>
    <t>B09YLXYP7Y</t>
  </si>
  <si>
    <t>B09ZPM4C2C</t>
  </si>
  <si>
    <t>B0B2DJDCPX</t>
  </si>
  <si>
    <t>B0BCZCQTJX</t>
  </si>
  <si>
    <t>B07LGT55SJ</t>
  </si>
  <si>
    <t>B09NKZXMWJ</t>
  </si>
  <si>
    <t>B08QX1CC14</t>
  </si>
  <si>
    <t>B0974H97TJ</t>
  </si>
  <si>
    <t>B07GVGTSLN</t>
  </si>
  <si>
    <t>B09VCHLSJF</t>
  </si>
  <si>
    <t>B0B1YZX72F</t>
  </si>
  <si>
    <t>B092BJMT8Q</t>
  </si>
  <si>
    <t>B0BMXMLSMM</t>
  </si>
  <si>
    <t>B07JH1C41D</t>
  </si>
  <si>
    <t>B0141EZMAI</t>
  </si>
  <si>
    <t>B09Q5P2MT3</t>
  </si>
  <si>
    <t>B08HDH26JX</t>
  </si>
  <si>
    <t>B09VT6JKRP</t>
  </si>
  <si>
    <t>B09T3KB6JZ</t>
  </si>
  <si>
    <t>B093QCY6YJ</t>
  </si>
  <si>
    <t>B093ZNQZ2Y</t>
  </si>
  <si>
    <t>B08LKS3LSP</t>
  </si>
  <si>
    <t>B00V4BGDKU</t>
  </si>
  <si>
    <t>B08CHKQ8D4</t>
  </si>
  <si>
    <t>B09BW334ML</t>
  </si>
  <si>
    <t>B082T6GVLJ</t>
  </si>
  <si>
    <t>B07DL1KC3H</t>
  </si>
  <si>
    <t>B0B6F98KJJ</t>
  </si>
  <si>
    <t>B07JNVF678</t>
  </si>
  <si>
    <t>B09QGZFBPM</t>
  </si>
  <si>
    <t>B07JGDB5M1</t>
  </si>
  <si>
    <t>B0981XSZJ7</t>
  </si>
  <si>
    <t>B0B9XLX8VR</t>
  </si>
  <si>
    <t>B08Y5KXR6Z</t>
  </si>
  <si>
    <t>B09F6VHQXB</t>
  </si>
  <si>
    <t>B0974G5Q2Y</t>
  </si>
  <si>
    <t>B09YL9SN9B</t>
  </si>
  <si>
    <t>B09RX1FK54</t>
  </si>
  <si>
    <t>B09TT6BFDX</t>
  </si>
  <si>
    <t>B09KH58JZR</t>
  </si>
  <si>
    <t>B09DDCQFMT</t>
  </si>
  <si>
    <t>B08RP2L2NL</t>
  </si>
  <si>
    <t>B0B4G2MWSB</t>
  </si>
  <si>
    <t>B0B21C4BMX</t>
  </si>
  <si>
    <t>B084MZXJNK</t>
  </si>
  <si>
    <t>B0BHZCNC4P</t>
  </si>
  <si>
    <t>B0B16KD737</t>
  </si>
  <si>
    <t>B099K9ZX65</t>
  </si>
  <si>
    <t>B08Y55LPBF</t>
  </si>
  <si>
    <t>B015OW3M1W</t>
  </si>
  <si>
    <t>B01D5H8ZI8</t>
  </si>
  <si>
    <t>B09X1M3DHX</t>
  </si>
  <si>
    <t>B09MM6P76N</t>
  </si>
  <si>
    <t>B01D5H8LDM</t>
  </si>
  <si>
    <t>B0B1YY6JJL</t>
  </si>
  <si>
    <t>B09QGZM8QB</t>
  </si>
  <si>
    <t>B08L4SBJRY</t>
  </si>
  <si>
    <t>B09X79PP8F</t>
  </si>
  <si>
    <t>B082T6GVG9</t>
  </si>
  <si>
    <t>B0B3XY5YT4</t>
  </si>
  <si>
    <t>B0B4HKH19N</t>
  </si>
  <si>
    <t>B08TGG316Z</t>
  </si>
  <si>
    <t>B071VMP1Z4</t>
  </si>
  <si>
    <t>B071SDRGWL</t>
  </si>
  <si>
    <t>B08PSQRW2T</t>
  </si>
  <si>
    <t>B0859M539M</t>
  </si>
  <si>
    <t>B08RX8G496</t>
  </si>
  <si>
    <t>B002SZEOLG</t>
  </si>
  <si>
    <t>B08CS3BT4L</t>
  </si>
  <si>
    <t>B00RFWNJMC</t>
  </si>
  <si>
    <t>B082T6GXS5</t>
  </si>
  <si>
    <t>B09CMQRQM6</t>
  </si>
  <si>
    <t>B005LJQMCK</t>
  </si>
  <si>
    <t>B09C6H53KH</t>
  </si>
  <si>
    <t>B0BB3CBFBM</t>
  </si>
  <si>
    <t>B08QSDKFGQ</t>
  </si>
  <si>
    <t>B08PV1X771</t>
  </si>
  <si>
    <t>B07YTNKVJQ</t>
  </si>
  <si>
    <t>B0117H7GZ6</t>
  </si>
  <si>
    <t>B09XJ1LM7R</t>
  </si>
  <si>
    <t>B084N133Y7</t>
  </si>
  <si>
    <t>B088Z1YWBC</t>
  </si>
  <si>
    <t>B07VSG5SXZ</t>
  </si>
  <si>
    <t>B08RWCZ6SY</t>
  </si>
  <si>
    <t>B07KSB1MLX</t>
  </si>
  <si>
    <t>B081FG1QYX</t>
  </si>
  <si>
    <t>B08R69WBN7</t>
  </si>
  <si>
    <t>B0B3RHX6B6</t>
  </si>
  <si>
    <t>B084N18QZY</t>
  </si>
  <si>
    <t>B081NHWT6Z</t>
  </si>
  <si>
    <t>B07JPJJZ2H</t>
  </si>
  <si>
    <t>B09JKNF147</t>
  </si>
  <si>
    <t>B0B9959XF3</t>
  </si>
  <si>
    <t>B09PNR6F8Q</t>
  </si>
  <si>
    <t>B07M69276N</t>
  </si>
  <si>
    <t>B0B1YZ9CB8</t>
  </si>
  <si>
    <t>B09YLYB9PB</t>
  </si>
  <si>
    <t>B08CTNJ985</t>
  </si>
  <si>
    <t>B0BP7XLX48</t>
  </si>
  <si>
    <t>B09LHXNZLR</t>
  </si>
  <si>
    <t>B0B3N8VG24</t>
  </si>
  <si>
    <t>B08PSVBB2X</t>
  </si>
  <si>
    <t>B0B3MQXNFB</t>
  </si>
  <si>
    <t>B08XMSKKMM</t>
  </si>
  <si>
    <t>B09L8DT7D6</t>
  </si>
  <si>
    <t>B00GE55L22</t>
  </si>
  <si>
    <t>B0162K34H2</t>
  </si>
  <si>
    <t>B0B8SRZ5SV</t>
  </si>
  <si>
    <t>B07CWNJLPC</t>
  </si>
  <si>
    <t>B00NH12R1O</t>
  </si>
  <si>
    <t>B0B8SSC5D9</t>
  </si>
  <si>
    <t>B08WKG2MWT</t>
  </si>
  <si>
    <t>B0B466C3G4</t>
  </si>
  <si>
    <t>B005LJQMZC</t>
  </si>
  <si>
    <t>B07MDRGHWQ</t>
  </si>
  <si>
    <t>B07DC4RZPY</t>
  </si>
  <si>
    <t>B0B15GSPQW</t>
  </si>
  <si>
    <t>B08GJNM9N7</t>
  </si>
  <si>
    <t>B09C6FML9B</t>
  </si>
  <si>
    <t>B0B65MJ45G</t>
  </si>
  <si>
    <t>B08P9RYPLR</t>
  </si>
  <si>
    <t>B0B6F8HHR6</t>
  </si>
  <si>
    <t>B084MZXJN6</t>
  </si>
  <si>
    <t>B08XMG618K</t>
  </si>
  <si>
    <t>B0BCKWZ884</t>
  </si>
  <si>
    <t>B00GGGOYEK</t>
  </si>
  <si>
    <t>B07ZR4S1G4</t>
  </si>
  <si>
    <t>B09C635BMM</t>
  </si>
  <si>
    <t>B00GG59HU2</t>
  </si>
  <si>
    <t>B00RGLI0ZS</t>
  </si>
  <si>
    <t>B09ZPJT8B2</t>
  </si>
  <si>
    <t>B07HZ2QCGR</t>
  </si>
  <si>
    <t>B095244Q22</t>
  </si>
  <si>
    <t>B08CKW1KH9</t>
  </si>
  <si>
    <t>B0BLV1GNLN</t>
  </si>
  <si>
    <t>B08RHPDNVV</t>
  </si>
  <si>
    <t>B00NH13Q8W</t>
  </si>
  <si>
    <t>B0B8SSZ76F</t>
  </si>
  <si>
    <t>B0841KQR1Z</t>
  </si>
  <si>
    <t>B0B467CCB9</t>
  </si>
  <si>
    <t>B095JQVC7N</t>
  </si>
  <si>
    <t>B08PPHFXG3</t>
  </si>
  <si>
    <t>B06XR9PR5X</t>
  </si>
  <si>
    <t>B09JSW16QD</t>
  </si>
  <si>
    <t>B07JH1CBGW</t>
  </si>
  <si>
    <t>B09127FZCK</t>
  </si>
  <si>
    <t>B083GQGT3Z</t>
  </si>
  <si>
    <t>B09Q8WQ5QJ</t>
  </si>
  <si>
    <t>B07YZG8PPY</t>
  </si>
  <si>
    <t>B09H39KTTB</t>
  </si>
  <si>
    <t>B08DCVRW98</t>
  </si>
  <si>
    <t>B0718ZN31Q</t>
  </si>
  <si>
    <t>B0162LYSFS</t>
  </si>
  <si>
    <t>B07PFJ5VQD</t>
  </si>
  <si>
    <t>B01J8S6X2I</t>
  </si>
  <si>
    <t>B09MJ77786</t>
  </si>
  <si>
    <t>B09NNGHG22</t>
  </si>
  <si>
    <t>B07V5YF4ND</t>
  </si>
  <si>
    <t>B0B65P827P</t>
  </si>
  <si>
    <t>B084MZYBTV</t>
  </si>
  <si>
    <t>B097ZQTDVZ</t>
  </si>
  <si>
    <t>B0B5F3YZY4</t>
  </si>
  <si>
    <t>B09G5TSGXV</t>
  </si>
  <si>
    <t>B006LW0WDQ</t>
  </si>
  <si>
    <t>B09YLX91QR</t>
  </si>
  <si>
    <t>B081FJWN52</t>
  </si>
  <si>
    <t>B0758F7KK7</t>
  </si>
  <si>
    <t>B09L835C3V</t>
  </si>
  <si>
    <t>B098TV3L96</t>
  </si>
  <si>
    <t>B08NCKT9FG</t>
  </si>
  <si>
    <t>B0B4T6MR8N</t>
  </si>
  <si>
    <t>B01GGKZ4NU</t>
  </si>
  <si>
    <t>B09BW2GP18</t>
  </si>
  <si>
    <t>B09WN3SRC7</t>
  </si>
  <si>
    <t>B09B125CFJ</t>
  </si>
  <si>
    <t>B09RQRZW2X</t>
  </si>
  <si>
    <t>B07924P3C5</t>
  </si>
  <si>
    <t>B08N1WL9XW</t>
  </si>
  <si>
    <t>B07VVXJ2P5</t>
  </si>
  <si>
    <t>B0BC8BQ432</t>
  </si>
  <si>
    <t>B06XFTHCNY</t>
  </si>
  <si>
    <t>B08CT62BM1</t>
  </si>
  <si>
    <t>B07CRL2GY6</t>
  </si>
  <si>
    <t>B07DWFX9YS</t>
  </si>
  <si>
    <t>B01D5H90L4</t>
  </si>
  <si>
    <t>B07F1P8KNV</t>
  </si>
  <si>
    <t>B084N1BM9L</t>
  </si>
  <si>
    <t>B09F6D21BY</t>
  </si>
  <si>
    <t>B09LQQYNZQ</t>
  </si>
  <si>
    <t>B0BC9BW512</t>
  </si>
  <si>
    <t>B0B61HYR92</t>
  </si>
  <si>
    <t>B075ZTJ9XR</t>
  </si>
  <si>
    <t>B0978V2CP6</t>
  </si>
  <si>
    <t>B09LRZYBH1</t>
  </si>
  <si>
    <t>B0B997FBZT</t>
  </si>
  <si>
    <t>B098LCVYPW</t>
  </si>
  <si>
    <t>B09HV71RL1</t>
  </si>
  <si>
    <t>B08PZ6HZLT</t>
  </si>
  <si>
    <t>B075TJHWVC</t>
  </si>
  <si>
    <t>B09LV13JFB</t>
  </si>
  <si>
    <t>B092BL5DCX</t>
  </si>
  <si>
    <t>B09VH568H7</t>
  </si>
  <si>
    <t>B09HQSV46W</t>
  </si>
  <si>
    <t>B08TZD7FQN</t>
  </si>
  <si>
    <t>B0B21XL94T</t>
  </si>
  <si>
    <t>B09PTT8DZF</t>
  </si>
  <si>
    <t>B0B94JPY2N</t>
  </si>
  <si>
    <t>B0B3XXSB1K</t>
  </si>
  <si>
    <t>B08RZ12GKR</t>
  </si>
  <si>
    <t>B0B4T8RSJ1</t>
  </si>
  <si>
    <t>B0B7B9V9QP</t>
  </si>
  <si>
    <t>B08XXVXP3J</t>
  </si>
  <si>
    <t>B06XGWRKYT</t>
  </si>
  <si>
    <t>B07CWDX49D</t>
  </si>
  <si>
    <t>B09TY4MSH3</t>
  </si>
  <si>
    <t>B07RY2X9MP</t>
  </si>
  <si>
    <t>B0B2C5MJN6</t>
  </si>
  <si>
    <t>B0BBMGLQDW</t>
  </si>
  <si>
    <t>B01LONQBDG</t>
  </si>
  <si>
    <t>B08XXF5V6G</t>
  </si>
  <si>
    <t>B09HK9JH4F</t>
  </si>
  <si>
    <t>B09MMD1FDN</t>
  </si>
  <si>
    <t>B09HN7LD5L</t>
  </si>
  <si>
    <t>B0BNDD9TN6</t>
  </si>
  <si>
    <t>B0941392C8</t>
  </si>
  <si>
    <t>B01M5967SY</t>
  </si>
  <si>
    <t>B016MDK4F4</t>
  </si>
  <si>
    <t>B08G43CCLC</t>
  </si>
  <si>
    <t>B0B61GCHC1</t>
  </si>
  <si>
    <t>B07RX14W1Q</t>
  </si>
  <si>
    <t>B09PLD9TCD</t>
  </si>
  <si>
    <t>B0B8ZKWGKD</t>
  </si>
  <si>
    <t>B09NNJ9WYM</t>
  </si>
  <si>
    <t>B08H5L8V1L</t>
  </si>
  <si>
    <t>B0B8CXTTG3</t>
  </si>
  <si>
    <t>B09HCH3JZG</t>
  </si>
  <si>
    <t>B097JVLW3L</t>
  </si>
  <si>
    <t>B09SB6SJB4</t>
  </si>
  <si>
    <t>B08NW8GHCJ</t>
  </si>
  <si>
    <t>B09YHLPQYT</t>
  </si>
  <si>
    <t>B08G1RW2Q3</t>
  </si>
  <si>
    <t>B08YXJJW8H</t>
  </si>
  <si>
    <t>B09P8M18QM</t>
  </si>
  <si>
    <t>B08BG4M4N7</t>
  </si>
  <si>
    <t>B07VJ9ZTXS</t>
  </si>
  <si>
    <t>B084872DQY</t>
  </si>
  <si>
    <t>B00GGGOYEU</t>
  </si>
  <si>
    <t>B08FD2VSD9</t>
  </si>
  <si>
    <t>B0BQRJ3C47</t>
  </si>
  <si>
    <t>B095JPKPH3</t>
  </si>
  <si>
    <t>B087JWLZ2K</t>
  </si>
  <si>
    <t>B09DSXK8JX</t>
  </si>
  <si>
    <t>B08V9C4B1J</t>
  </si>
  <si>
    <t>B08PKBMJKS</t>
  </si>
  <si>
    <t>B0B8VQ7KDS</t>
  </si>
  <si>
    <t>B086JTMRYL</t>
  </si>
  <si>
    <t>B09RWQ7YR6</t>
  </si>
  <si>
    <t>B00OFM6PEO</t>
  </si>
  <si>
    <t>B0BF57RN3K</t>
  </si>
  <si>
    <t>B0B3RRWSF6</t>
  </si>
  <si>
    <t>B0B5B6PQCT</t>
  </si>
  <si>
    <t>B08HV83HL3</t>
  </si>
  <si>
    <t>B0BBN4DZBD</t>
  </si>
  <si>
    <t>B0B3CPQ5PF</t>
  </si>
  <si>
    <t>B0B3CQBRB4</t>
  </si>
  <si>
    <t>B0BBN56J5H</t>
  </si>
  <si>
    <t>B0BBN3WF7V</t>
  </si>
  <si>
    <t>B0BDRVFDKP</t>
  </si>
  <si>
    <t>B0B5LVS732</t>
  </si>
  <si>
    <t>B09V2Q4QVQ</t>
  </si>
  <si>
    <t>B09V12K8NT</t>
  </si>
  <si>
    <t>B01DEWVZ2C</t>
  </si>
  <si>
    <t>B0BMGB3CH9</t>
  </si>
  <si>
    <t>B08D77XZX5</t>
  </si>
  <si>
    <t>B09XB8GFBQ</t>
  </si>
  <si>
    <t>B07WG8PDCW</t>
  </si>
  <si>
    <t>B07GPXXNNG</t>
  </si>
  <si>
    <t>B0BDYVC5TD</t>
  </si>
  <si>
    <t>B0BMGB2TPR</t>
  </si>
  <si>
    <t>B08MC57J31</t>
  </si>
  <si>
    <t>B08HVL8QN3</t>
  </si>
  <si>
    <t>B0746JGVDS</t>
  </si>
  <si>
    <t>B08VFF6JQ8</t>
  </si>
  <si>
    <t>B09NVPSCQT</t>
  </si>
  <si>
    <t>B09YV4RG4D</t>
  </si>
  <si>
    <t>B09TWHTBKQ</t>
  </si>
  <si>
    <t>B08L5HMJVW</t>
  </si>
  <si>
    <t>B0B4F2XCK3</t>
  </si>
  <si>
    <t>B0BF54972T</t>
  </si>
  <si>
    <t>B09YV4MW2T</t>
  </si>
  <si>
    <t>B09TWH8YHM</t>
  </si>
  <si>
    <t>B07WGMMQGP</t>
  </si>
  <si>
    <t>B0BF563HB4</t>
  </si>
  <si>
    <t>B09GFPVD9Y</t>
  </si>
  <si>
    <t>B09GFLXVH9</t>
  </si>
  <si>
    <t>B0BF4YBLPX</t>
  </si>
  <si>
    <t>B09XB7DPW1</t>
  </si>
  <si>
    <t>B07PFJ5W31</t>
  </si>
  <si>
    <t>B0B3N7LR6K</t>
  </si>
  <si>
    <t>B09ZQK9X8G</t>
  </si>
  <si>
    <t>B07WJV6P1R</t>
  </si>
  <si>
    <t>B0BF54LXW6</t>
  </si>
  <si>
    <t>B09XB7SRQ5</t>
  </si>
  <si>
    <t>B09FFK1PQG</t>
  </si>
  <si>
    <t>B09RMQYHLH</t>
  </si>
  <si>
    <t>B08ZN4B121</t>
  </si>
  <si>
    <t>B0B3RSDSZ3</t>
  </si>
  <si>
    <t>B08VB34KJ1</t>
  </si>
  <si>
    <t>B09T39K9YL</t>
  </si>
  <si>
    <t>B08VF8V79P</t>
  </si>
  <si>
    <t>B08G28Z33M</t>
  </si>
  <si>
    <t>B09PNKXSKF</t>
  </si>
  <si>
    <t>B0B5DDJNH4</t>
  </si>
  <si>
    <t>B07WDKLDRX</t>
  </si>
  <si>
    <t>B09MQSCJQ1</t>
  </si>
  <si>
    <t>B094YFFSMY</t>
  </si>
  <si>
    <t>B09MT84WV5</t>
  </si>
  <si>
    <t>B08VS3YLRK</t>
  </si>
  <si>
    <t>B0B4F3QNDM</t>
  </si>
  <si>
    <t>B07GQD4K6L</t>
  </si>
  <si>
    <t>B07WDKLRM4</t>
  </si>
  <si>
    <t>B0BP18W8TM</t>
  </si>
  <si>
    <t>B07GXHC691</t>
  </si>
  <si>
    <t>B08FN6WGDQ</t>
  </si>
  <si>
    <t>B0B3D39RKV</t>
  </si>
  <si>
    <t>B085HY1DGR</t>
  </si>
  <si>
    <t>B08D75R3Z1</t>
  </si>
  <si>
    <t>B0B4F2TTTS</t>
  </si>
  <si>
    <t>B09WRMNJ9G</t>
  </si>
  <si>
    <t>B0B14MR9L1</t>
  </si>
  <si>
    <t>B09ZPL5VYM</t>
  </si>
  <si>
    <t>B0993BB11X</t>
  </si>
  <si>
    <t>B09V2PZDX8</t>
  </si>
  <si>
    <t>B085W8CFLH</t>
  </si>
  <si>
    <t>B09MT6XSFW</t>
  </si>
  <si>
    <t>B07RD611Z8</t>
  </si>
  <si>
    <t>B0B4F52B5X</t>
  </si>
  <si>
    <t>B096VF5YYF</t>
  </si>
  <si>
    <t>B0B5D39BCD</t>
  </si>
  <si>
    <t>B09XBJ1CTN</t>
  </si>
  <si>
    <t>B0B4F5L738</t>
  </si>
  <si>
    <t>B08MTCKDYN</t>
  </si>
  <si>
    <t>B09QS8V5N8</t>
  </si>
  <si>
    <t>B09T2WRLJJ</t>
  </si>
  <si>
    <t>B089WB69Y1</t>
  </si>
  <si>
    <t>B0116MIKKC</t>
  </si>
  <si>
    <t>B09P858DK8</t>
  </si>
  <si>
    <t>B07DJLFMPS</t>
  </si>
  <si>
    <t>B07WHQWXL7</t>
  </si>
  <si>
    <t>B07WDK3ZS6</t>
  </si>
  <si>
    <t>B09T2S8X9C</t>
  </si>
  <si>
    <t>B07S9S86BF</t>
  </si>
  <si>
    <t>B07N8RQ6W7</t>
  </si>
  <si>
    <t>B09FKDH6FS</t>
  </si>
  <si>
    <t>B08HVJCW95</t>
  </si>
  <si>
    <t>B09YDFDVNS</t>
  </si>
  <si>
    <t>B07WGPKTS4</t>
  </si>
  <si>
    <t>B09MZCQYHZ</t>
  </si>
  <si>
    <t>B0B4F2ZWL3</t>
  </si>
  <si>
    <t>B08VB2CMR3</t>
  </si>
  <si>
    <t>B095RTJH1M</t>
  </si>
  <si>
    <t>B097R25DP7</t>
  </si>
  <si>
    <t>B09YDFKJF8</t>
  </si>
  <si>
    <t>B07WDK3ZS2</t>
  </si>
  <si>
    <t>B08RZ5K9YH</t>
  </si>
  <si>
    <t>B08444S68L</t>
  </si>
  <si>
    <t>B07WHQBZLS</t>
  </si>
  <si>
    <t>B09JS562TP</t>
  </si>
  <si>
    <t>B09V17S2BG</t>
  </si>
  <si>
    <t>B0B5CGTBKV</t>
  </si>
  <si>
    <t>B0B23LW7NV</t>
  </si>
  <si>
    <t>B09KGV7WSV</t>
  </si>
  <si>
    <t>B0971DWFDT</t>
  </si>
  <si>
    <t>B0BNV7JM5Y</t>
  </si>
  <si>
    <t>B0B53QFZPY</t>
  </si>
  <si>
    <t>B07WJWRNVK</t>
  </si>
  <si>
    <t>B01F25X6RQ</t>
  </si>
  <si>
    <t>B0B244R4KB</t>
  </si>
  <si>
    <t>B0BMGG6NKT</t>
  </si>
  <si>
    <t>B092JHPL72</t>
  </si>
  <si>
    <t>B09GFM8CGS</t>
  </si>
  <si>
    <t>B0B3MWYCHQ</t>
  </si>
  <si>
    <t>B09J2MM5C6</t>
  </si>
  <si>
    <t>B07Q4QV1DL</t>
  </si>
  <si>
    <t>B0B56YRBNT</t>
  </si>
  <si>
    <t>B01DF26V7A</t>
  </si>
  <si>
    <t>B08K4PSZ3V</t>
  </si>
  <si>
    <t>B0B4F1YC3J</t>
  </si>
  <si>
    <t>B08K4RDQ71</t>
  </si>
  <si>
    <t>B085CZ3SR1</t>
  </si>
  <si>
    <t>B09YV3K34W</t>
  </si>
  <si>
    <t>B09Z6WH2N1</t>
  </si>
  <si>
    <t>B09NL4DJ2Z</t>
  </si>
  <si>
    <t>B0BGSV43WY</t>
  </si>
  <si>
    <t>B0926V9CTV</t>
  </si>
  <si>
    <t>B07WGPKMP5</t>
  </si>
  <si>
    <t>B0BBFJ9M3X</t>
  </si>
  <si>
    <t>B09PLFJ7ZW</t>
  </si>
  <si>
    <t>B0B53NXFFR</t>
  </si>
  <si>
    <t>B07GNC2592</t>
  </si>
  <si>
    <t>B09TP5KBN7</t>
  </si>
  <si>
    <t>B0949SBKMP</t>
  </si>
  <si>
    <t>B09V175NP7</t>
  </si>
  <si>
    <t>B07WHSJXLF</t>
  </si>
  <si>
    <t>B0BD3T6Z1D</t>
  </si>
  <si>
    <t>B09LHYZ3GJ</t>
  </si>
  <si>
    <t>B07WFPMGQQ</t>
  </si>
  <si>
    <t>B09QS9X9L8</t>
  </si>
  <si>
    <t>B0B6BLTGTT</t>
  </si>
  <si>
    <t>B084DTMYWK</t>
  </si>
  <si>
    <t>B0B53QLB9H</t>
  </si>
  <si>
    <t>B0BDYW3RN3</t>
  </si>
  <si>
    <t>B0B3RS9DNF</t>
  </si>
  <si>
    <t>B09QS9X16F</t>
  </si>
  <si>
    <t>B08HV25BBQ</t>
  </si>
  <si>
    <t>B09LJ116B5</t>
  </si>
  <si>
    <t>B0BMVWKZ8G</t>
  </si>
  <si>
    <t>B0BD92GDQH</t>
  </si>
  <si>
    <t>B0B5GF6DQD</t>
  </si>
  <si>
    <t>B09JS94MBV</t>
  </si>
  <si>
    <t>B09YV463SW</t>
  </si>
  <si>
    <t>B09NL4DCXK</t>
  </si>
  <si>
    <t>B0B8CHJLWJ</t>
  </si>
  <si>
    <t>B0B8ZWNR5T</t>
  </si>
  <si>
    <t>B0BBFJLP21</t>
  </si>
  <si>
    <t>B01F262EUU</t>
  </si>
  <si>
    <t>B09VZBGL1N</t>
  </si>
  <si>
    <t>B0BNVBJW2S</t>
  </si>
  <si>
    <t>B0B2DJ5RVQ</t>
  </si>
  <si>
    <t>B096TWZRJC</t>
  </si>
  <si>
    <t>B09GP6FBZT</t>
  </si>
  <si>
    <t>B0B3DV7S9B</t>
  </si>
  <si>
    <t>B09MKP344P</t>
  </si>
  <si>
    <t>B08JW1GVS7</t>
  </si>
  <si>
    <t>B09LHZSMRR</t>
  </si>
  <si>
    <t>B0B5V47VK4</t>
  </si>
  <si>
    <t>B08H21B6V7</t>
  </si>
  <si>
    <t>B09BNXQ6BR</t>
  </si>
  <si>
    <t>B01FSYQ2A4</t>
  </si>
  <si>
    <t>B08L5FM4JC</t>
  </si>
  <si>
    <t>B0B54Y2SNX</t>
  </si>
  <si>
    <t>B08BQ947H3</t>
  </si>
  <si>
    <t>B0B7DHSKS7</t>
  </si>
  <si>
    <t>B09SJ1FTYV</t>
  </si>
  <si>
    <t>B09XJ5LD6L</t>
  </si>
  <si>
    <t>B07WHS7MZ1</t>
  </si>
  <si>
    <t>B0BBVKRP7B</t>
  </si>
  <si>
    <t>B09NY7W8YD</t>
  </si>
  <si>
    <t>B0BMM7R92G</t>
  </si>
  <si>
    <t>B08M66K48D</t>
  </si>
  <si>
    <t>B09RFB2SJQ</t>
  </si>
  <si>
    <t>B0B82YGCF6</t>
  </si>
  <si>
    <t>B08HF4W2CT</t>
  </si>
  <si>
    <t>B08BCKN299</t>
  </si>
  <si>
    <t>B0B2X35B1K</t>
  </si>
  <si>
    <t>B09QS9CWLV</t>
  </si>
  <si>
    <t>B0B1NX6JTN</t>
  </si>
  <si>
    <t>B078G6ZF5Z</t>
  </si>
  <si>
    <t>B0BBW521YC</t>
  </si>
  <si>
    <t>B09HSKYMB3</t>
  </si>
  <si>
    <t>B09YV42QHZ</t>
  </si>
  <si>
    <t>B09BF8JBWX</t>
  </si>
  <si>
    <t>B0B5YBGCKD</t>
  </si>
  <si>
    <t>B09MY4W73Q</t>
  </si>
  <si>
    <t>B09T37CKQ5</t>
  </si>
  <si>
    <t>B09GFPN6TP</t>
  </si>
  <si>
    <t>B0B298D54H</t>
  </si>
  <si>
    <t>B08VB57558</t>
  </si>
  <si>
    <t>B0B9BXKBC7</t>
  </si>
  <si>
    <t>B09NY6TRXG</t>
  </si>
  <si>
    <t>B09NVPJ3P4</t>
  </si>
  <si>
    <t>B0B3NDPCS9</t>
  </si>
  <si>
    <t>B09VGKFM7Y</t>
  </si>
  <si>
    <t>B07QCWY5XV</t>
  </si>
  <si>
    <t>B098QXR9X2</t>
  </si>
  <si>
    <t>B07H1S7XW8</t>
  </si>
  <si>
    <t>B0BNXFDTZ2</t>
  </si>
  <si>
    <t>B088ZFJY82</t>
  </si>
  <si>
    <t>B0B4F4QZ1H</t>
  </si>
  <si>
    <t>B09BCNQ9R2</t>
  </si>
  <si>
    <t>B0B9BD2YL4</t>
  </si>
  <si>
    <t>B071Z8M4KX</t>
  </si>
  <si>
    <t>B09N3ZNHTY</t>
  </si>
  <si>
    <t>B005FYNT3G</t>
  </si>
  <si>
    <t>B01J0XWYKQ</t>
  </si>
  <si>
    <t>B09CTRPSJR</t>
  </si>
  <si>
    <t>B08JQN8DGZ</t>
  </si>
  <si>
    <t>B0B72BSW7K</t>
  </si>
  <si>
    <t>B08TV2P1N8</t>
  </si>
  <si>
    <t>B07XCM6T4N</t>
  </si>
  <si>
    <t>B07T5DKR5D</t>
  </si>
  <si>
    <t>B07PR1CL3S</t>
  </si>
  <si>
    <t>B07JQKQ91F</t>
  </si>
  <si>
    <t>B08W56G1K9</t>
  </si>
  <si>
    <t>B01L8ZNWN2</t>
  </si>
  <si>
    <t>B009VCGPSY</t>
  </si>
  <si>
    <t>B0B296NTFV</t>
  </si>
  <si>
    <t>B07TCN5VR9</t>
  </si>
  <si>
    <t>B00ZYLMQH0</t>
  </si>
  <si>
    <t>B01HJI0FS2</t>
  </si>
  <si>
    <t>B076B8G5D8</t>
  </si>
  <si>
    <t>B014SZO90Y</t>
  </si>
  <si>
    <t>B07KCMR8D6</t>
  </si>
  <si>
    <t>B00N1U9AJS</t>
  </si>
  <si>
    <t>B07KY3FNQP</t>
  </si>
  <si>
    <t>B07QZ3CZ48</t>
  </si>
  <si>
    <t>B09T3H12GV</t>
  </si>
  <si>
    <t>B08ZJDWTJ1</t>
  </si>
  <si>
    <t>B08FTFXNNB</t>
  </si>
  <si>
    <t>B08YDFX7Y1</t>
  </si>
  <si>
    <t>B087FXHB6J</t>
  </si>
  <si>
    <t>B07N42JB4S</t>
  </si>
  <si>
    <t>B0B31BYXQQ</t>
  </si>
  <si>
    <t>B07SLMR1K6</t>
  </si>
  <si>
    <t>B092X94QNQ</t>
  </si>
  <si>
    <t>B0846D5CBP</t>
  </si>
  <si>
    <t>B00KXULGJQ</t>
  </si>
  <si>
    <t>B08H9Z3XQW</t>
  </si>
  <si>
    <t>B08LPJZSSW</t>
  </si>
  <si>
    <t>B08CYPB15D</t>
  </si>
  <si>
    <t>B00MFPCY5C</t>
  </si>
  <si>
    <t>B07JJFSG2B</t>
  </si>
  <si>
    <t>B09NR6G588</t>
  </si>
  <si>
    <t>B07JPX9CR7</t>
  </si>
  <si>
    <t>B08D11DZ2W</t>
  </si>
  <si>
    <t>B07Q7561HD</t>
  </si>
  <si>
    <t>B0819HZPXL</t>
  </si>
  <si>
    <t>B00LXTFMRS</t>
  </si>
  <si>
    <t>B0B9LDCX89</t>
  </si>
  <si>
    <t>B0765B3TH7</t>
  </si>
  <si>
    <t>B0B1F6GQPS</t>
  </si>
  <si>
    <t>B07LG59NPV</t>
  </si>
  <si>
    <t>B00AXHBBXU</t>
  </si>
  <si>
    <t>B08MCD9JFY</t>
  </si>
  <si>
    <t>B083RCTXLL</t>
  </si>
  <si>
    <t>B08HLZ28QC</t>
  </si>
  <si>
    <t>B07GVR9TG7</t>
  </si>
  <si>
    <t>B0856HY85J</t>
  </si>
  <si>
    <t>B07CD2BN46</t>
  </si>
  <si>
    <t>B07PLHTTB4</t>
  </si>
  <si>
    <t>B077T3BG5L</t>
  </si>
  <si>
    <t>B079Y6JZC8</t>
  </si>
  <si>
    <t>B0856HNMR7</t>
  </si>
  <si>
    <t>B0B12K5BPM</t>
  </si>
  <si>
    <t>B00LVMTA2A</t>
  </si>
  <si>
    <t>B07TR5HSR9</t>
  </si>
  <si>
    <t>B0819ZZK5K</t>
  </si>
  <si>
    <t>B08QJJCY2Q</t>
  </si>
  <si>
    <t>B07L5L4GTB</t>
  </si>
  <si>
    <t>B07L8KNP5F</t>
  </si>
  <si>
    <t>B08CF4SCNP</t>
  </si>
  <si>
    <t>B09XX51X2G</t>
  </si>
  <si>
    <t>B01M72LILF</t>
  </si>
  <si>
    <t>B00LZLQ624</t>
  </si>
  <si>
    <t>B09GB5B4BK</t>
  </si>
  <si>
    <t>B015ZXUDD0</t>
  </si>
  <si>
    <t>B09PL79D2X</t>
  </si>
  <si>
    <t>B098K3H92Z</t>
  </si>
  <si>
    <t>B084PJSSQ1</t>
  </si>
  <si>
    <t>B097C564GC</t>
  </si>
  <si>
    <t>B08CYNJ5KY</t>
  </si>
  <si>
    <t>B00Y4ORQ46</t>
  </si>
  <si>
    <t>B074CWD7MS</t>
  </si>
  <si>
    <t>B00A0VCJPI</t>
  </si>
  <si>
    <t>B00UGZWM2I</t>
  </si>
  <si>
    <t>B00R1P3B4O</t>
  </si>
  <si>
    <t>B09DG9VNWB</t>
  </si>
  <si>
    <t>B09Y5MP7C4</t>
  </si>
  <si>
    <t>B01DJJVFPC</t>
  </si>
  <si>
    <t>B07DFYJRQV</t>
  </si>
  <si>
    <t>B08L879JSN</t>
  </si>
  <si>
    <t>B08TDJNM3G</t>
  </si>
  <si>
    <t>B06XSK3XL6</t>
  </si>
  <si>
    <t>B07YNTJ8ZM</t>
  </si>
  <si>
    <t>B07KR5P3YD</t>
  </si>
  <si>
    <t>B08FB2LNSZ</t>
  </si>
  <si>
    <t>B01IBRHE3E</t>
  </si>
  <si>
    <t>B01N6LU1VF</t>
  </si>
  <si>
    <t>B07XLML2YS</t>
  </si>
  <si>
    <t>B086WMSCN3</t>
  </si>
  <si>
    <t>B003B00484</t>
  </si>
  <si>
    <t>B003L62T7W</t>
  </si>
  <si>
    <t>B09P18XVW6</t>
  </si>
  <si>
    <t>B00LZLPYHW</t>
  </si>
  <si>
    <t>B00NNQMYNE</t>
  </si>
  <si>
    <t>B0B217Z5VK</t>
  </si>
  <si>
    <t>B07B88KQZ8</t>
  </si>
  <si>
    <t>B07Z3K96FR</t>
  </si>
  <si>
    <t>B0756CLQWL</t>
  </si>
  <si>
    <t>B004IO5BMQ</t>
  </si>
  <si>
    <t>B01HGCLUH6</t>
  </si>
  <si>
    <t>B01N4EV2TL</t>
  </si>
  <si>
    <t>B08MZQBFLN</t>
  </si>
  <si>
    <t>B0752LL57V</t>
  </si>
  <si>
    <t>B09Z28BQZT</t>
  </si>
  <si>
    <t>B094DQWV9B</t>
  </si>
  <si>
    <t>B0BBMPH39N</t>
  </si>
  <si>
    <t>B097JQ1J5G</t>
  </si>
  <si>
    <t>B07YY1BY5B</t>
  </si>
  <si>
    <t>B08VRMK55F</t>
  </si>
  <si>
    <t>B08CHZ3ZQ7</t>
  </si>
  <si>
    <t>B08SCCG9D4</t>
  </si>
  <si>
    <t>B0972BQ2RS</t>
  </si>
  <si>
    <t>B00ZRBWPA0</t>
  </si>
  <si>
    <t>B0B2DD66GS</t>
  </si>
  <si>
    <t>B09M869Z5V</t>
  </si>
  <si>
    <t>B07W6VWZ8C</t>
  </si>
  <si>
    <t>B07Z1X6VFC</t>
  </si>
  <si>
    <t>B07YL54NVJ</t>
  </si>
  <si>
    <t>B0759QMF85</t>
  </si>
  <si>
    <t>B00LM4X0KU</t>
  </si>
  <si>
    <t>B08PFSZ7FH</t>
  </si>
  <si>
    <t>B012MQS060</t>
  </si>
  <si>
    <t>B01MF8MB65</t>
  </si>
  <si>
    <t>B00LHZWD0C</t>
  </si>
  <si>
    <t>B08QDPB1SL</t>
  </si>
  <si>
    <t>B07BRKK9JQ</t>
  </si>
  <si>
    <t>B01EZ0X3L8</t>
  </si>
  <si>
    <t>B00LM4W1N2</t>
  </si>
  <si>
    <t>B08YD264ZS</t>
  </si>
  <si>
    <t>B00GZLB57U</t>
  </si>
  <si>
    <t>B07V82W5CN</t>
  </si>
  <si>
    <t>B08HD7JQHX</t>
  </si>
  <si>
    <t>B0B31FR4Y2</t>
  </si>
  <si>
    <t>B09Y14JLP3</t>
  </si>
  <si>
    <t>B09ZHCJDP1</t>
  </si>
  <si>
    <t>B08C4Z69LN</t>
  </si>
  <si>
    <t>B016XVRKZM</t>
  </si>
  <si>
    <t>B00LHZW3XY</t>
  </si>
  <si>
    <t>B098JYT4SY</t>
  </si>
  <si>
    <t>B08CFCK6CW</t>
  </si>
  <si>
    <t>B09P564ZTJ</t>
  </si>
  <si>
    <t>B07MSLTW8Z</t>
  </si>
  <si>
    <t>B09N6TTHT6</t>
  </si>
  <si>
    <t>B098R25TGC</t>
  </si>
  <si>
    <t>B0B2PQL5N3</t>
  </si>
  <si>
    <t>B07DKZCZ89</t>
  </si>
  <si>
    <t>B08GYG6T12</t>
  </si>
  <si>
    <t>B09BN2NPBD</t>
  </si>
  <si>
    <t>B00J4YG0PC</t>
  </si>
  <si>
    <t>B073BRXPZX</t>
  </si>
  <si>
    <t>B08LHTJTBB</t>
  </si>
  <si>
    <t>B07VTFN6HM</t>
  </si>
  <si>
    <t>B008QS9J6Y</t>
  </si>
  <si>
    <t>B09M8888DM</t>
  </si>
  <si>
    <t>B07Z1YVP72</t>
  </si>
  <si>
    <t>B082FTPRSK</t>
  </si>
  <si>
    <t>B09RF2QXGX</t>
  </si>
  <si>
    <t>B01KK0HU3Y</t>
  </si>
  <si>
    <t>B07JF9B592</t>
  </si>
  <si>
    <t>B086394NY5</t>
  </si>
  <si>
    <t>B017PDR9N0</t>
  </si>
  <si>
    <t>B07NC12T2R</t>
  </si>
  <si>
    <t>B07WKBD37W</t>
  </si>
  <si>
    <t>B08JMC1988</t>
  </si>
  <si>
    <t>B09GFN8WZL</t>
  </si>
  <si>
    <t>B095X38CJS</t>
  </si>
  <si>
    <t>B07ZKD8T1Q</t>
  </si>
  <si>
    <t>B07G3YNLJB</t>
  </si>
  <si>
    <t>B00P93X2H6</t>
  </si>
  <si>
    <t>B0798PJPCL</t>
  </si>
  <si>
    <t>B09GFWJDY1</t>
  </si>
  <si>
    <t>B09MZ6WZ6V</t>
  </si>
  <si>
    <t>B094QZLJQ6</t>
  </si>
  <si>
    <t>B07L3NDN24</t>
  </si>
  <si>
    <t>B08WD18LJZ</t>
  </si>
  <si>
    <t>B06XDKWLJH</t>
  </si>
  <si>
    <t>B01J1CFO5I</t>
  </si>
  <si>
    <t>B07J2NGB69</t>
  </si>
  <si>
    <t>B00MUTWLW4</t>
  </si>
  <si>
    <t>B017NC2IPM</t>
  </si>
  <si>
    <t>B00N1U7JXM</t>
  </si>
  <si>
    <t>B08HQL67D6</t>
  </si>
  <si>
    <t>B09RKFBCV7</t>
  </si>
  <si>
    <t>B08KHM9VBJ</t>
  </si>
  <si>
    <t>B01IOZUHRS</t>
  </si>
  <si>
    <t>B00CEQEGPI</t>
  </si>
  <si>
    <t>B08B6XWQ1C</t>
  </si>
  <si>
    <t>B01DGVKBC6</t>
  </si>
  <si>
    <t>B08JD36C6H</t>
  </si>
  <si>
    <t>B00E3DVQFS</t>
  </si>
  <si>
    <t>B00BN5SNF0</t>
  </si>
  <si>
    <t>B09SGGRKV8</t>
  </si>
  <si>
    <t>B084BR3QX8</t>
  </si>
  <si>
    <t>B09VC2D2WG</t>
  </si>
  <si>
    <t>B09163Q5CD</t>
  </si>
  <si>
    <t>B08K9PX15C</t>
  </si>
  <si>
    <t>B083RD1J99</t>
  </si>
  <si>
    <t>B09Z7YGV3R</t>
  </si>
  <si>
    <t>B00N3XLDW0</t>
  </si>
  <si>
    <t>B07Z53L5QL</t>
  </si>
  <si>
    <t>B00P93X0VO</t>
  </si>
  <si>
    <t>B07SBGFDX9</t>
  </si>
  <si>
    <t>B07X2L5Z8C</t>
  </si>
  <si>
    <t>B00VA7YYUO</t>
  </si>
  <si>
    <t>B07L9FW9GF</t>
  </si>
  <si>
    <t>B08D64C9FN</t>
  </si>
  <si>
    <t>B00LOD70SC</t>
  </si>
  <si>
    <t>B09X76VL5L</t>
  </si>
  <si>
    <t>B091JF2TFD</t>
  </si>
  <si>
    <t>B07S7DCJKS</t>
  </si>
  <si>
    <t>B09NC2TY11</t>
  </si>
  <si>
    <t>B0BDS8MY8J</t>
  </si>
  <si>
    <t>B09X7DY7Q4</t>
  </si>
  <si>
    <t>B09YV575RK</t>
  </si>
  <si>
    <t>B08LW31NQ6</t>
  </si>
  <si>
    <t>B09ND94ZRG</t>
  </si>
  <si>
    <t>B00P93X6EK</t>
  </si>
  <si>
    <t>B0994GP1CX</t>
  </si>
  <si>
    <t>B07H8W9PB6</t>
  </si>
  <si>
    <t>B09NNHFSSF</t>
  </si>
  <si>
    <t>B08D9NDZ1Y</t>
  </si>
  <si>
    <t>B0085IATT6</t>
  </si>
  <si>
    <t>B08WJ86PV2</t>
  </si>
  <si>
    <t>B078HRR1XV</t>
  </si>
  <si>
    <t>B09P22HXH6</t>
  </si>
  <si>
    <t>B00LM4X3XE</t>
  </si>
  <si>
    <t>B09YLFHFDW</t>
  </si>
  <si>
    <t>B07YWS9SP9</t>
  </si>
  <si>
    <t>B08WLY8V9S</t>
  </si>
  <si>
    <t>B0873L7J6X</t>
  </si>
  <si>
    <t>B07YNHCW6N</t>
  </si>
  <si>
    <t>B01MQ2A86A</t>
  </si>
  <si>
    <t>B00KIE28X0</t>
  </si>
  <si>
    <t>B0BHYJ8CVF</t>
  </si>
  <si>
    <t>B0BCVJ3PVP</t>
  </si>
  <si>
    <t>B0B2931FCV</t>
  </si>
  <si>
    <t>B09TMZ1MF8</t>
  </si>
  <si>
    <t>B07VV37FT4</t>
  </si>
  <si>
    <t>B07JB2Y4SR</t>
  </si>
  <si>
    <t>B08KRMK9LZ</t>
  </si>
  <si>
    <t>B08LT9BMPP</t>
  </si>
  <si>
    <t>B0814ZY6FP</t>
  </si>
  <si>
    <t>B09F3PDDRF</t>
  </si>
  <si>
    <t>B07X963JNS</t>
  </si>
  <si>
    <t>B09LD3116F</t>
  </si>
  <si>
    <t>B08Y5QJTVK</t>
  </si>
  <si>
    <t>B00LY1FN1K</t>
  </si>
  <si>
    <t>B07DJ5KYDZ</t>
  </si>
  <si>
    <t>B009LJ2BXA</t>
  </si>
  <si>
    <t>B09BVCVTBC</t>
  </si>
  <si>
    <t>B07SY4C3TD</t>
  </si>
  <si>
    <t>B094JB13XL</t>
  </si>
  <si>
    <t>B08CRRQK6Z</t>
  </si>
  <si>
    <t>B08MTLLSL8</t>
  </si>
  <si>
    <t>B08Y57TPDM</t>
  </si>
  <si>
    <t>B09CYTJV3N</t>
  </si>
  <si>
    <t>B07GLNJC25</t>
  </si>
  <si>
    <t>B08FY4FG5X</t>
  </si>
  <si>
    <t>B07TMCXRFV</t>
  </si>
  <si>
    <t>B00LZPQVMK</t>
  </si>
  <si>
    <t>B08X77LM8C</t>
  </si>
  <si>
    <t>B01EJ5MM5M</t>
  </si>
  <si>
    <t>B08J82K4GX</t>
  </si>
  <si>
    <t>B07Z1Z77ZZ</t>
  </si>
  <si>
    <t>B00DJ5N9VK</t>
  </si>
  <si>
    <t>B08FGNPQ9X</t>
  </si>
  <si>
    <t>B07NTKGW45</t>
  </si>
  <si>
    <t>B08J4PL1Z3</t>
  </si>
  <si>
    <t>B07XJWTYM2</t>
  </si>
  <si>
    <t>B09939XJX8</t>
  </si>
  <si>
    <t>B09MDCZJXS</t>
  </si>
  <si>
    <t>B08CTQP51L</t>
  </si>
  <si>
    <t>B0BG62HMDJ</t>
  </si>
  <si>
    <t>B08GTYFC37</t>
  </si>
  <si>
    <t>B08SBH499M</t>
  </si>
  <si>
    <t>B08FYB5HHK</t>
  </si>
  <si>
    <t>B0B5GJRTHB</t>
  </si>
  <si>
    <t>B09GBBJV72</t>
  </si>
  <si>
    <t>B07P434WJY</t>
  </si>
  <si>
    <t>B07T9FV9YP</t>
  </si>
  <si>
    <t>B08WKFSN84</t>
  </si>
  <si>
    <t>B09TBCVJS3</t>
  </si>
  <si>
    <t>B08TR61BVK</t>
  </si>
  <si>
    <t>B0B2CPVXHX</t>
  </si>
  <si>
    <t>B08XNL93PL</t>
  </si>
  <si>
    <t>B088GXTJM3</t>
  </si>
  <si>
    <t>B099S26HWG</t>
  </si>
  <si>
    <t>B08461VC1Z</t>
  </si>
  <si>
    <t>B00K32PEW4</t>
  </si>
  <si>
    <t>B07LFWP97N</t>
  </si>
  <si>
    <t>B0746N6WML</t>
  </si>
  <si>
    <t>B07W9KYT62</t>
  </si>
  <si>
    <t>B08D9MNH4B</t>
  </si>
  <si>
    <t>B09MKG4ZCM</t>
  </si>
  <si>
    <t>B07RZZ1QSW</t>
  </si>
  <si>
    <t>B07222HQKP</t>
  </si>
  <si>
    <t>B00NFD0ETQ</t>
  </si>
  <si>
    <t>B075DB1F13</t>
  </si>
  <si>
    <t>B0148NPH9I</t>
  </si>
  <si>
    <t>B01JOFKL0A</t>
  </si>
  <si>
    <t>B079S811J3</t>
  </si>
  <si>
    <t>B0083T231O</t>
  </si>
  <si>
    <t>B086PXQ2R4</t>
  </si>
  <si>
    <t>B07L1N3TJX</t>
  </si>
  <si>
    <t>B07YFWVRCM</t>
  </si>
  <si>
    <t>B08TDJ5BVF</t>
  </si>
  <si>
    <t>B09XXZXQC1</t>
  </si>
  <si>
    <t>B083T5G5PM</t>
  </si>
  <si>
    <t>B0BHVPTM2C</t>
  </si>
  <si>
    <t>B01NBX5RSB</t>
  </si>
  <si>
    <t>B08MWJTST6</t>
  </si>
  <si>
    <t>B07R99NBVB</t>
  </si>
  <si>
    <t>B00LY12TH6</t>
  </si>
  <si>
    <t>B08497Z1MQ</t>
  </si>
  <si>
    <t>B07KNM95JK</t>
  </si>
  <si>
    <t>B09Q3M3WLJ</t>
  </si>
  <si>
    <t>B09B9SPC7F</t>
  </si>
  <si>
    <t>B099SD8PRP</t>
  </si>
  <si>
    <t>B00S2SEV7K</t>
  </si>
  <si>
    <t>B08WKCTFF3</t>
  </si>
  <si>
    <t>B08498D67S</t>
  </si>
  <si>
    <t>B00C3GBCIS</t>
  </si>
  <si>
    <t>B00URH5E34</t>
  </si>
  <si>
    <t>B00EYW1U68</t>
  </si>
  <si>
    <t>B08SMJT55F</t>
  </si>
  <si>
    <t>B08Y7MXFMK</t>
  </si>
  <si>
    <t>B086Q3QMFS</t>
  </si>
  <si>
    <t>B08498H13H</t>
  </si>
  <si>
    <t>B07LFQLKFZ</t>
  </si>
  <si>
    <t>B00LY17RHI</t>
  </si>
  <si>
    <t>B07W14CHV8</t>
  </si>
  <si>
    <t>B09F5Z694W</t>
  </si>
  <si>
    <t>B0B25LQQPC</t>
  </si>
  <si>
    <t>B01LYLJ99X</t>
  </si>
  <si>
    <t>B014SZPBM4</t>
  </si>
  <si>
    <t>B08CZHGHKH</t>
  </si>
  <si>
    <t>B0B2RBP83P</t>
  </si>
  <si>
    <t>B078W65FJ7</t>
  </si>
  <si>
    <t>B08S74GTBT</t>
  </si>
  <si>
    <t>B07QMRHWJD</t>
  </si>
  <si>
    <t>B07W7Z6DVL</t>
  </si>
  <si>
    <t>B07WMS7TWB</t>
  </si>
  <si>
    <t>B00H47GVGY</t>
  </si>
  <si>
    <t>B07VX71FZP</t>
  </si>
  <si>
    <t>B07NCKMXVZ</t>
  </si>
  <si>
    <t>B0B61DSF17</t>
  </si>
  <si>
    <t>B07VQGVL68</t>
  </si>
  <si>
    <t>B01LWYDEQ7</t>
  </si>
  <si>
    <t>B07VNFP3C2</t>
  </si>
  <si>
    <t>B00LUGTJGO</t>
  </si>
  <si>
    <t>B01MQZ7J8K</t>
  </si>
  <si>
    <t>B01GFTEV5Y</t>
  </si>
  <si>
    <t>B00NW4UWN6</t>
  </si>
  <si>
    <t>B01NCVJMKX</t>
  </si>
  <si>
    <t>B00O24PUO6</t>
  </si>
  <si>
    <t>B07GXPDLYQ</t>
  </si>
  <si>
    <t>B01C8P29N0</t>
  </si>
  <si>
    <t>B08KDBLMQP</t>
  </si>
  <si>
    <t>B078JDNZJ8</t>
  </si>
  <si>
    <t>B01M5F614J</t>
  </si>
  <si>
    <t>B083GKDRKR</t>
  </si>
  <si>
    <t>B097R2V1W8</t>
  </si>
  <si>
    <t>B07YR26BJ3</t>
  </si>
  <si>
    <t>B097R45BH8</t>
  </si>
  <si>
    <t>B09X5C9VLK</t>
  </si>
  <si>
    <t>B01C8P29T4</t>
  </si>
  <si>
    <t>B00HVXS7WC</t>
  </si>
  <si>
    <t>B096YCN3SD</t>
  </si>
  <si>
    <t>B09LQH3SD9</t>
  </si>
  <si>
    <t>B09KNMLH4Y</t>
  </si>
  <si>
    <t>B00ABMASXG</t>
  </si>
  <si>
    <t>B07QDSN9V6</t>
  </si>
  <si>
    <t>B00YMJ0OI8</t>
  </si>
  <si>
    <t>B0B8XNPQPN</t>
  </si>
  <si>
    <t>B0814P4L98</t>
  </si>
  <si>
    <t>B008QTK47Q</t>
  </si>
  <si>
    <t>B088ZTJT2R</t>
  </si>
  <si>
    <t>B0BK1K598K</t>
  </si>
  <si>
    <t>B09Y5FZK9N</t>
  </si>
  <si>
    <t>B09J2SCVQT</t>
  </si>
  <si>
    <t>B00TDD0YM4</t>
  </si>
  <si>
    <t>B078KRFWQB</t>
  </si>
  <si>
    <t>B07SRM58TP</t>
  </si>
  <si>
    <t>B00EDJJ7FS</t>
  </si>
  <si>
    <t>B0832W3B7Q</t>
  </si>
  <si>
    <t>B07WNK1FFN</t>
  </si>
  <si>
    <t>B009P2LK08</t>
  </si>
  <si>
    <t>B07DGD4Z4C</t>
  </si>
  <si>
    <t>B07GMFY9QM</t>
  </si>
  <si>
    <t>B0BGPN4GGH</t>
  </si>
  <si>
    <t>B0B2DZ5S6R</t>
  </si>
  <si>
    <t>B07S851WX5</t>
  </si>
  <si>
    <t>B01MY839VW</t>
  </si>
  <si>
    <t>B09LV1CMGH</t>
  </si>
  <si>
    <t>B01EY310UM</t>
  </si>
  <si>
    <t>B09NL7LBWT</t>
  </si>
  <si>
    <t>B008YW8M0G</t>
  </si>
  <si>
    <t>B097R3XH9R</t>
  </si>
  <si>
    <t>B08TM71L54</t>
  </si>
  <si>
    <t>B0BPBXNQQT</t>
  </si>
  <si>
    <t>B00W56GLOQ</t>
  </si>
  <si>
    <t>B0883KDSXC</t>
  </si>
  <si>
    <t>B078V8R9BS</t>
  </si>
  <si>
    <t>B08GSQXLJ2</t>
  </si>
  <si>
    <t>B01M5B0TPW</t>
  </si>
  <si>
    <t>B082KVTRW8</t>
  </si>
  <si>
    <t>B08CFJBZRK</t>
  </si>
  <si>
    <t>B07H3WDC4X</t>
  </si>
  <si>
    <t>B09ZTZ9N3Q</t>
  </si>
  <si>
    <t>B083P71WKK</t>
  </si>
  <si>
    <t>B097R4D42G</t>
  </si>
  <si>
    <t>B07MKMFKPG</t>
  </si>
  <si>
    <t>B0949FPSFY</t>
  </si>
  <si>
    <t>B08F47T4X5</t>
  </si>
  <si>
    <t>B01M0505SJ</t>
  </si>
  <si>
    <t>B08D6RCM3Q</t>
  </si>
  <si>
    <t>B009P2LITG</t>
  </si>
  <si>
    <t>B00V9NHDI4</t>
  </si>
  <si>
    <t>B07WGPBXY9</t>
  </si>
  <si>
    <t>B00KRCBA6E</t>
  </si>
  <si>
    <t>B0B3X2BY3M</t>
  </si>
  <si>
    <t>B00F159RIK</t>
  </si>
  <si>
    <t>B08MV82R99</t>
  </si>
  <si>
    <t>B09VKWGZD7</t>
  </si>
  <si>
    <t>B009P2LK80</t>
  </si>
  <si>
    <t>B00A7PLVU6</t>
  </si>
  <si>
    <t>B0B25DJ352</t>
  </si>
  <si>
    <t>B013B2WGT6</t>
  </si>
  <si>
    <t>B097RJ867P</t>
  </si>
  <si>
    <t>B091V8HK8Z</t>
  </si>
  <si>
    <t>B071VNHMX2</t>
  </si>
  <si>
    <t>B08MVSGXMY</t>
  </si>
  <si>
    <t>B00H0B29DI</t>
  </si>
  <si>
    <t>B01GZSQJPA</t>
  </si>
  <si>
    <t>B08VGFX2B6</t>
  </si>
  <si>
    <t>B09GYBZPHF</t>
  </si>
  <si>
    <t>B0B4KPCBSH</t>
  </si>
  <si>
    <t>B09CGLY5CX</t>
  </si>
  <si>
    <t>B09JN37WBX</t>
  </si>
  <si>
    <t>B01I1LDZGA</t>
  </si>
  <si>
    <t>B0BN2576GQ</t>
  </si>
  <si>
    <t>B06XPYRWV5</t>
  </si>
  <si>
    <t>B01N1XVVLC</t>
  </si>
  <si>
    <t>B00O2R38C4</t>
  </si>
  <si>
    <t>B0B2CZTCL2</t>
  </si>
  <si>
    <t>B00PVT30YI</t>
  </si>
  <si>
    <t>B00SH18114</t>
  </si>
  <si>
    <t>B00E9G8KOY</t>
  </si>
  <si>
    <t>B00H3H03Q4</t>
  </si>
  <si>
    <t>B0756K5DYZ</t>
  </si>
  <si>
    <t>B0188KPKB2</t>
  </si>
  <si>
    <t>B091KNVNS9</t>
  </si>
  <si>
    <t>B075JJ5NQC</t>
  </si>
  <si>
    <t>B0B5KZ3C53</t>
  </si>
  <si>
    <t>B09NTHQRW3</t>
  </si>
  <si>
    <t>B008YW3CYM</t>
  </si>
  <si>
    <t>B07QHHCB27</t>
  </si>
  <si>
    <t>B0BMFD94VD</t>
  </si>
  <si>
    <t>B00HZIOGXW</t>
  </si>
  <si>
    <t>B09CKSYBLR</t>
  </si>
  <si>
    <t>B072J83V9W</t>
  </si>
  <si>
    <t>B09MTLG4TP</t>
  </si>
  <si>
    <t>B097XJQZ8H</t>
  </si>
  <si>
    <t>B00935MD1C</t>
  </si>
  <si>
    <t>B0BR4F878Q</t>
  </si>
  <si>
    <t>B0B3G5XZN5</t>
  </si>
  <si>
    <t>B07WKB69RS</t>
  </si>
  <si>
    <t>B09DL9978Y</t>
  </si>
  <si>
    <t>B06XMZV7RH</t>
  </si>
  <si>
    <t>B09WMTJPG7</t>
  </si>
  <si>
    <t>B09ZK6THRR</t>
  </si>
  <si>
    <t>B07MP21WJD</t>
  </si>
  <si>
    <t>B09XB1R2F3</t>
  </si>
  <si>
    <t>B08Y5QJXSR</t>
  </si>
  <si>
    <t>B07WJXCTG9</t>
  </si>
  <si>
    <t>B09NBZ36F7</t>
  </si>
  <si>
    <t>B0912WJ87V</t>
  </si>
  <si>
    <t>B0BMTZ4T1D</t>
  </si>
  <si>
    <t>B07Z51CGGH</t>
  </si>
  <si>
    <t>B0BDG6QDYD</t>
  </si>
  <si>
    <t>B00YQLG7GK</t>
  </si>
  <si>
    <t>B00SMJPA9C</t>
  </si>
  <si>
    <t>B0B9RN5X8B</t>
  </si>
  <si>
    <t>B08QW937WV</t>
  </si>
  <si>
    <t>B0B4PPD89B</t>
  </si>
  <si>
    <t>B08GM5S4CQ</t>
  </si>
  <si>
    <t>B00NM6MO26</t>
  </si>
  <si>
    <t>B083M7WPZD</t>
  </si>
  <si>
    <t>B07GLSKXS1</t>
  </si>
  <si>
    <t>B09F6KL23R</t>
  </si>
  <si>
    <t>B094G9L9LT</t>
  </si>
  <si>
    <t>B09FZ89DK6</t>
  </si>
  <si>
    <t>B0811VCGL5</t>
  </si>
  <si>
    <t>B07FXLC2G2</t>
  </si>
  <si>
    <t>B01LYU3BZF</t>
  </si>
  <si>
    <t>B083RC4WFJ</t>
  </si>
  <si>
    <t>B09SFRNKSR</t>
  </si>
  <si>
    <t>B07NRTCDS5</t>
  </si>
  <si>
    <t>B07SPVMSC6</t>
  </si>
  <si>
    <t>B09H3BXWTK</t>
  </si>
  <si>
    <t>B0073QGKAS</t>
  </si>
  <si>
    <t>B08GJ57MKL</t>
  </si>
  <si>
    <t>B009DA69W6</t>
  </si>
  <si>
    <t>B099PR2GQJ</t>
  </si>
  <si>
    <t>B08G8H8DPL</t>
  </si>
  <si>
    <t>B08VGM3YMF</t>
  </si>
  <si>
    <t>B08TTRVWKY</t>
  </si>
  <si>
    <t>B07T4D9FNY</t>
  </si>
  <si>
    <t>B07RX42D3D</t>
  </si>
  <si>
    <t>B08WRKSF9D</t>
  </si>
  <si>
    <t>B09R83SFYV</t>
  </si>
  <si>
    <t>B07989VV5K</t>
  </si>
  <si>
    <t>B07FL3WRX5</t>
  </si>
  <si>
    <t>B0BPCJM7TB</t>
  </si>
  <si>
    <t>B08H673XKN</t>
  </si>
  <si>
    <t>B07DXRGWDJ</t>
  </si>
  <si>
    <t>B08243SKCK</t>
  </si>
  <si>
    <t>B09SPTNG58</t>
  </si>
  <si>
    <t>B083J64CBB</t>
  </si>
  <si>
    <t>B08JV91JTK</t>
  </si>
  <si>
    <t>B0BQ3K23Y1</t>
  </si>
  <si>
    <t>B09MT94QLL</t>
  </si>
  <si>
    <t>B07NKNBTT3</t>
  </si>
  <si>
    <t>B09KPXTZXN</t>
  </si>
  <si>
    <t>B078HG2ZPS</t>
  </si>
  <si>
    <t>B07N2MGB3G</t>
  </si>
  <si>
    <t>B008LN8KDM</t>
  </si>
  <si>
    <t>B08MZNT7GP</t>
  </si>
  <si>
    <t>B009P2L7CO</t>
  </si>
  <si>
    <t>B07YC8JHMB</t>
  </si>
  <si>
    <t>B0BNQMF152</t>
  </si>
  <si>
    <t>B08J7VCT12</t>
  </si>
  <si>
    <t>B0989W6J2F</t>
  </si>
  <si>
    <t>B0B84KSH3X</t>
  </si>
  <si>
    <t>B08HLC7Z3G</t>
  </si>
  <si>
    <t>B0BN6M3TCM</t>
  </si>
  <si>
    <t>B01L6MT7E0</t>
  </si>
  <si>
    <t>B0B9F9PT8R</t>
  </si>
  <si>
    <t>B0883LQJ6B</t>
  </si>
  <si>
    <t>B099Z83VRC</t>
  </si>
  <si>
    <t>B00S9BSJC8</t>
  </si>
  <si>
    <t>B0B4SJKRDF</t>
  </si>
  <si>
    <t>B0BM4KTNL1</t>
  </si>
  <si>
    <t>B08S6RKT4L</t>
  </si>
  <si>
    <t>B09SZ5TWHW</t>
  </si>
  <si>
    <t>B0BLC2BYPX</t>
  </si>
  <si>
    <t>B00P0R95EA</t>
  </si>
  <si>
    <t>B07W4HTS8Q</t>
  </si>
  <si>
    <t>B078JBK4GX</t>
  </si>
  <si>
    <t>B08S7V8YTN</t>
  </si>
  <si>
    <t>B07H5PBN54</t>
  </si>
  <si>
    <t>B07YCBSCYB</t>
  </si>
  <si>
    <t>B098T9CJVQ</t>
  </si>
  <si>
    <t>B01KCSGBU2</t>
  </si>
  <si>
    <t>B095XCRDQW</t>
  </si>
  <si>
    <t>B09CTWFV5W</t>
  </si>
  <si>
    <t>B0B7NWGXS6</t>
  </si>
  <si>
    <t>B07DZ986Q2</t>
  </si>
  <si>
    <t>B07KKJPTWB</t>
  </si>
  <si>
    <t>B071R3LHFM</t>
  </si>
  <si>
    <t>B086X18Q71</t>
  </si>
  <si>
    <t>B07WVQG8WZ</t>
  </si>
  <si>
    <t>B0BFBNXS94</t>
  </si>
  <si>
    <t>B071113J7M</t>
  </si>
  <si>
    <t>B09YLWT89W</t>
  </si>
  <si>
    <t>B0814LP6S9</t>
  </si>
  <si>
    <t>B07BKSSDR2</t>
  </si>
  <si>
    <t>B09VGS66FV</t>
  </si>
  <si>
    <t>B07RCGTZ4M</t>
  </si>
  <si>
    <t>B0747VDH9L</t>
  </si>
  <si>
    <t>B08XLR6DSB</t>
  </si>
  <si>
    <t>B08H6CZSHT</t>
  </si>
  <si>
    <t>B07CVR2L5K</t>
  </si>
  <si>
    <t>B09J4YQYX3</t>
  </si>
  <si>
    <t>B0B2DD8BQ8</t>
  </si>
  <si>
    <t>B0123P3PWE</t>
  </si>
  <si>
    <t>B08HDCWDXD</t>
  </si>
  <si>
    <t>B0836JGZ74</t>
  </si>
  <si>
    <t>B0BCKJJN8R</t>
  </si>
  <si>
    <t>B008P7IF02</t>
  </si>
  <si>
    <t>B08CNLYKW5</t>
  </si>
  <si>
    <t>B08C7TYHPB</t>
  </si>
  <si>
    <t>B08VJFYH6N</t>
  </si>
  <si>
    <t>B08235JZFB</t>
  </si>
  <si>
    <t>B078XFKBZL</t>
  </si>
  <si>
    <t>B01M265AAK</t>
  </si>
  <si>
    <t>B0B694PXQJ</t>
  </si>
  <si>
    <t>B00B3VFJY2</t>
  </si>
  <si>
    <t>B08W9BK4MD</t>
  </si>
  <si>
    <t>B09X5HD5T1</t>
  </si>
  <si>
    <t>B08H6B3G96</t>
  </si>
  <si>
    <t>B09N3BFP4M</t>
  </si>
  <si>
    <t>B09DSQXCM8</t>
  </si>
  <si>
    <t>B01M69WCZ6</t>
  </si>
  <si>
    <t>B0BM9H2NY9</t>
  </si>
  <si>
    <t>B099FDW2ZF</t>
  </si>
  <si>
    <t>B0B935YNR7</t>
  </si>
  <si>
    <t>B07JGCGNDG</t>
  </si>
  <si>
    <t>B08L12N5H1</t>
  </si>
  <si>
    <t>B07GWTWFS2</t>
  </si>
  <si>
    <t>B09KRHXTLN</t>
  </si>
  <si>
    <t>B09H34V36W</t>
  </si>
  <si>
    <t>B09J2QCKKM</t>
  </si>
  <si>
    <t>B09XRBJ94N</t>
  </si>
  <si>
    <t>B07SLNG3LW</t>
  </si>
  <si>
    <t>B0BNDGL26T</t>
  </si>
  <si>
    <t>B095PWLLY6</t>
  </si>
  <si>
    <t>B07Y9PY6Y1</t>
  </si>
  <si>
    <t>B0BJ966M5K</t>
  </si>
  <si>
    <t>B086GVRP63</t>
  </si>
  <si>
    <t>B08MVXPTDG</t>
  </si>
  <si>
    <t>B0BMZ6SY89</t>
  </si>
  <si>
    <t>B09P1MFKG1</t>
  </si>
  <si>
    <t>B01LY9W8AF</t>
  </si>
  <si>
    <t>B07ZJND9B9</t>
  </si>
  <si>
    <t>B0B2CWRDB1</t>
  </si>
  <si>
    <t>B072NCN9M4</t>
  </si>
  <si>
    <t>B08SKZ2RMG</t>
  </si>
  <si>
    <t>B0B53DS4TF</t>
  </si>
  <si>
    <t>B08BJN4MP3</t>
  </si>
  <si>
    <t>B0BCYQY9X5</t>
  </si>
  <si>
    <t>B009UORDX4</t>
  </si>
  <si>
    <t>B08VGDBF3B</t>
  </si>
  <si>
    <t>B012ELCYUG</t>
  </si>
  <si>
    <t>B07S9M8YTY</t>
  </si>
  <si>
    <t>B0B19VJXQZ</t>
  </si>
  <si>
    <t>B00SMFPJG0</t>
  </si>
  <si>
    <t>B0BHYLCL19</t>
  </si>
  <si>
    <t>B0BPJBTB3F</t>
  </si>
  <si>
    <t>B08MXJYB2V</t>
  </si>
  <si>
    <t>B081B1JL35</t>
  </si>
  <si>
    <t>B09VL9KFDB</t>
  </si>
  <si>
    <t>B0B1MDZV9C</t>
  </si>
  <si>
    <t>B08TT63N58</t>
  </si>
  <si>
    <t>B08YK7BBD2</t>
  </si>
  <si>
    <t>B07YQ5SN4H</t>
  </si>
  <si>
    <t>B0B7FJNSZR</t>
  </si>
  <si>
    <t>B01N6IJG0F</t>
  </si>
  <si>
    <t>B0B84QN4CN</t>
  </si>
  <si>
    <t>B0B8ZM9RVV</t>
  </si>
  <si>
    <t>B01892MIPA</t>
  </si>
  <si>
    <t>B08ZHYNTM1</t>
  </si>
  <si>
    <t>B09SDDQQKP</t>
  </si>
  <si>
    <t>B0B5RP43VN</t>
  </si>
  <si>
    <t>B096NTB9XT</t>
  </si>
  <si>
    <t>B078JF6X9B</t>
  </si>
  <si>
    <t>B08CGW4GYR</t>
  </si>
  <si>
    <t>B00A328ENA</t>
  </si>
  <si>
    <t>B0763K5HLQ</t>
  </si>
  <si>
    <t>B09PDZNSBG</t>
  </si>
  <si>
    <t>B085LPT5F4</t>
  </si>
  <si>
    <t>B0B9RZ4G4W</t>
  </si>
  <si>
    <t>B0085W2MUQ</t>
  </si>
  <si>
    <t>B09474JWN6</t>
  </si>
  <si>
    <t>B09G2VTHQM</t>
  </si>
  <si>
    <t>B07R679HTT</t>
  </si>
  <si>
    <t>B00B7GKXMG</t>
  </si>
  <si>
    <t>B07H3N8RJH</t>
  </si>
  <si>
    <t>B07K2HVKLL</t>
  </si>
  <si>
    <t>B09MQ9PDHR</t>
  </si>
  <si>
    <t>B014HDJ7ZE</t>
  </si>
  <si>
    <t>B07D2NMTTV</t>
  </si>
  <si>
    <t>B075K76YW1</t>
  </si>
  <si>
    <t>B0BNLFQDG2</t>
  </si>
  <si>
    <t>B082ZQ4479</t>
  </si>
  <si>
    <t>B09Y358DZQ</t>
  </si>
  <si>
    <t>B09M3F4HGB</t>
  </si>
  <si>
    <t>B07VZH6ZBB</t>
  </si>
  <si>
    <t>B07F366Z51</t>
  </si>
  <si>
    <t>B077BTLQ67</t>
  </si>
  <si>
    <t>B07YSJ7FF1</t>
  </si>
  <si>
    <t>B07TXCY3YK</t>
  </si>
  <si>
    <t>B07TC9F7PN</t>
  </si>
  <si>
    <t>B09NS5TKPN</t>
  </si>
  <si>
    <t>B00LP9RFSU</t>
  </si>
  <si>
    <t>B0B7L86YCB</t>
  </si>
  <si>
    <t>B09VPH38JS</t>
  </si>
  <si>
    <t>B01MUAUOCX</t>
  </si>
  <si>
    <t>B09MB3DKG1</t>
  </si>
  <si>
    <t>B08QHLXWV3</t>
  </si>
  <si>
    <t>B07G147SZD</t>
  </si>
  <si>
    <t>B09LH32678</t>
  </si>
  <si>
    <t>B09R1YFL6S</t>
  </si>
  <si>
    <t>B07Q4NJQC5</t>
  </si>
  <si>
    <t>B097RN7BBK</t>
  </si>
  <si>
    <t>B097MKZHNV</t>
  </si>
  <si>
    <t>B07LG96SDB</t>
  </si>
  <si>
    <t>B08KS2KQTK</t>
  </si>
  <si>
    <t>B095K14P86</t>
  </si>
  <si>
    <t>B08K36NZSV</t>
  </si>
  <si>
    <t>B07LDPLSZC</t>
  </si>
  <si>
    <t>B07F1T31ZZ</t>
  </si>
  <si>
    <t>B0BNDRK886</t>
  </si>
  <si>
    <t>B09ZVJXN5L</t>
  </si>
  <si>
    <t>B08JKPVDKL</t>
  </si>
  <si>
    <t>B09JFR8H3Q</t>
  </si>
  <si>
    <t>B07LDN9Q2P</t>
  </si>
  <si>
    <t>B08T8KWNQ9</t>
  </si>
  <si>
    <t>B07Y1RCCW5</t>
  </si>
  <si>
    <t>B0762HXMTF</t>
  </si>
  <si>
    <t>B00K57MR22</t>
  </si>
  <si>
    <t>B07TTSS5MP</t>
  </si>
  <si>
    <t>B09ZDVL7L8</t>
  </si>
  <si>
    <t>B09XHXXCFH</t>
  </si>
  <si>
    <t>B0BL3R4RGS</t>
  </si>
  <si>
    <t>B07P1BR7L8</t>
  </si>
  <si>
    <t>B078WB1VWJ</t>
  </si>
  <si>
    <t>B0BP89YBC1</t>
  </si>
  <si>
    <t>B09W9V2PXG</t>
  </si>
  <si>
    <t>B09XTQFFCG</t>
  </si>
  <si>
    <t>B08LVVTGZK</t>
  </si>
  <si>
    <t>B07J2BQZD6</t>
  </si>
  <si>
    <t>B07HK53XM4</t>
  </si>
  <si>
    <t>B08RDWBYCQ</t>
  </si>
  <si>
    <t>B09FHHTL8L</t>
  </si>
  <si>
    <t>B0BHNHMR3H</t>
  </si>
  <si>
    <t>B07D8VBYB4</t>
  </si>
  <si>
    <t>B0B3TBY2YX</t>
  </si>
  <si>
    <t>B088WCFPQF</t>
  </si>
  <si>
    <t>B07JZSG42Y</t>
  </si>
  <si>
    <t>B08YRMBK9R</t>
  </si>
  <si>
    <t>B00935MGHS</t>
  </si>
  <si>
    <t>B07B5XJ572</t>
  </si>
  <si>
    <t>B086199CWG</t>
  </si>
  <si>
    <t>B0BBWJFK5C</t>
  </si>
  <si>
    <t>B07GLS2563</t>
  </si>
  <si>
    <t>B09P182Z2H</t>
  </si>
  <si>
    <t>B0B59K1C8F</t>
  </si>
  <si>
    <t>B06Y36JKC3</t>
  </si>
  <si>
    <t>B075S9FVRY</t>
  </si>
  <si>
    <t>B08SJVD8QD</t>
  </si>
  <si>
    <t>B07FJNNZCJ</t>
  </si>
  <si>
    <t>B09MFR93KS</t>
  </si>
  <si>
    <t>B07Y5FDPKV</t>
  </si>
  <si>
    <t>B0756KCV5K</t>
  </si>
  <si>
    <t>B0BJ6P3LSK</t>
  </si>
  <si>
    <t>B09HS1NDRQ</t>
  </si>
  <si>
    <t>B018SJJ0GE</t>
  </si>
  <si>
    <t>B09FPP3R1D</t>
  </si>
  <si>
    <t>B01F7B2JCI</t>
  </si>
  <si>
    <t>B09NNZ1GF7</t>
  </si>
  <si>
    <t>B01CS4A5V4</t>
  </si>
  <si>
    <t>B0BL11S5QK</t>
  </si>
  <si>
    <t>B09BL2KHQW</t>
  </si>
  <si>
    <t>B081RLM75M</t>
  </si>
  <si>
    <t>B07SYYVP69</t>
  </si>
  <si>
    <t>B0BDZWMGZ1</t>
  </si>
  <si>
    <t>B078JT7LTD</t>
  </si>
  <si>
    <t>B09WF4Q7B3</t>
  </si>
  <si>
    <t>B092R48XXB</t>
  </si>
  <si>
    <t>B00KIDSU8S</t>
  </si>
  <si>
    <t>B0977CGNJJ</t>
  </si>
  <si>
    <t>B08WWKM5HQ</t>
  </si>
  <si>
    <t>B015GX9Y0W</t>
  </si>
  <si>
    <t>B089BDBDGM</t>
  </si>
  <si>
    <t>B0BPBG712X</t>
  </si>
  <si>
    <t>B00JBNZPFM</t>
  </si>
  <si>
    <t>B08N6P8G5K</t>
  </si>
  <si>
    <t>B07NPBG1B4</t>
  </si>
  <si>
    <t>B01MRARGBW</t>
  </si>
  <si>
    <t>B07VZYMQNZ</t>
  </si>
  <si>
    <t>B01L7C4IU2</t>
  </si>
  <si>
    <t>B09H7JDJCW</t>
  </si>
  <si>
    <t>B07F6GXNPB</t>
  </si>
  <si>
    <t>B0B97D658R</t>
  </si>
  <si>
    <t>B09NFSHCWN</t>
  </si>
  <si>
    <t>B076VQS87V</t>
  </si>
  <si>
    <t>B09LMMFW3S</t>
  </si>
  <si>
    <t>B0BBLHTRM9</t>
  </si>
  <si>
    <t>B0BJYSCWFQ</t>
  </si>
  <si>
    <t>B0187F2IOK</t>
  </si>
  <si>
    <t>B0B8CB7MHW</t>
  </si>
  <si>
    <t>B07K19NYZ8</t>
  </si>
  <si>
    <t>B08ZXZ362Z</t>
  </si>
  <si>
    <t>B00GHL8VP2</t>
  </si>
  <si>
    <t>B0B9JZW1SQ</t>
  </si>
  <si>
    <t>B00TI8E7BI</t>
  </si>
  <si>
    <t>B07J9KXQCC</t>
  </si>
  <si>
    <t>B0B3JSWG81</t>
  </si>
  <si>
    <t>B08L7J3T31</t>
  </si>
  <si>
    <t>B01M6453MB</t>
  </si>
  <si>
    <t>B009P2LIL4</t>
  </si>
  <si>
    <t>B00J5DYCCA</t>
  </si>
  <si>
    <t>B01486F4G6</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</si>
</sst>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_);_(* \(#,##0.00\);_(* &quot;-&quot;??_);_(@_)"/>
    <numFmt numFmtId="164" formatCode="_(* #,##0_);_(* \(#,##0\);_(* &quot;-&quot;??_);_(@_)"/>
    <numFmt numFmtId="165" formatCode="_ [$₹-4009]\ * #,##0.00_ ;_ [$₹-4009]\ * \-#,##0.00_ ;_ [$₹-4009]\ * &quot;-&quot;??_ ;_ @_ "/>
    <numFmt numFmtId="166" formatCode="0.00&quot;bn&quot;"/>
    <numFmt numFmtId="167" formatCode="0.00,&quot;bn&quot;"/>
    <numFmt numFmtId="168" formatCode="0.00,"/>
  </numFmts>
  <fonts count="19">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5">
    <xf numFmtId="0" fontId="0" fillId="0" borderId="0" xfId="0"/>
    <xf numFmtId="9" fontId="0" fillId="0" borderId="0" xfId="0" applyNumberFormat="1"/>
    <xf numFmtId="164" fontId="0" fillId="0" borderId="0" xfId="42" applyNumberFormat="1" applyFont="1"/>
    <xf numFmtId="0" fontId="18" fillId="0" borderId="0" xfId="0" applyFont="1"/>
    <xf numFmtId="164" fontId="18" fillId="0" borderId="0" xfId="42" applyNumberFormat="1" applyFont="1"/>
    <xf numFmtId="164" fontId="0" fillId="0" borderId="0" xfId="0" applyNumberFormat="1"/>
    <xf numFmtId="165" fontId="18" fillId="0" borderId="0" xfId="0" applyNumberFormat="1"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0" fillId="0" borderId="0" xfId="0" applyAlignment="1">
      <alignment horizontal="center"/>
    </xf>
    <xf numFmtId="167" fontId="0" fillId="0" borderId="0" xfId="0" applyNumberFormat="1"/>
    <xf numFmtId="168"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0" formatCode="General"/>
    </dxf>
    <dxf>
      <numFmt numFmtId="164" formatCode="_(* #,##0_);_(* \(#,##0\);_(* &quot;-&quot;??_);_(@_)"/>
    </dxf>
    <dxf>
      <font>
        <b val="0"/>
        <i val="0"/>
        <strike val="0"/>
        <condense val="0"/>
        <extend val="0"/>
        <outline val="0"/>
        <shadow val="0"/>
        <u val="none"/>
        <vertAlign val="baseline"/>
        <sz val="12"/>
        <color theme="1"/>
        <name val="Aptos Narrow"/>
        <scheme val="minor"/>
      </font>
      <numFmt numFmtId="164" formatCode="_(* #,##0_);_(* \(#,##0\);_(* &quot;-&quot;??_);_(@_)"/>
    </dxf>
    <dxf>
      <numFmt numFmtId="13" formatCode="0%"/>
    </dxf>
    <dxf>
      <numFmt numFmtId="13" formatCode="0%"/>
    </dxf>
    <dxf>
      <numFmt numFmtId="165" formatCode="_ [$₹-4009]\ * #,##0.00_ ;_ [$₹-4009]\ * \-#,##0.00_ ;_ [$₹-4009]\ * &quot;-&quot;??_ ;_ @_ "/>
    </dxf>
    <dxf>
      <numFmt numFmtId="165" formatCode="_ [$₹-4009]\ * #,##0.00_ ;_ [$₹-4009]\ * \-#,##0.00_ ;_ [$₹-4009]\ * &quot;-&quot;??_ ;_ @_ "/>
    </dxf>
    <dxf>
      <numFmt numFmtId="165" formatCode="_ [$₹-4009]\ * #,##0.00_ ;_ [$₹-4009]\ * \-#,##0.00_ ;_ [$₹-4009]\ * &quot;-&quot;??_ ;_ @_ "/>
    </dxf>
    <dxf>
      <font>
        <b/>
        <i val="0"/>
        <strike val="0"/>
        <condense val="0"/>
        <extend val="0"/>
        <outline val="0"/>
        <shadow val="0"/>
        <u val="none"/>
        <vertAlign val="baseline"/>
        <sz val="12"/>
        <color theme="1"/>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 case study Project.xlsx]PIVOT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a:t>
            </a:r>
          </a:p>
          <a:p>
            <a:pPr>
              <a:defRPr/>
            </a:pPr>
            <a:r>
              <a:rPr lang="en-US" b="1"/>
              <a:t>DISCOUNT </a:t>
            </a:r>
          </a:p>
        </c:rich>
      </c:tx>
      <c:layout>
        <c:manualLayout>
          <c:xMode val="edge"/>
          <c:yMode val="edge"/>
          <c:x val="0.37888894922617433"/>
          <c:y val="1.72466903175564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2"/>
          </a:solidFill>
          <a:ln>
            <a:noFill/>
          </a:ln>
          <a:effectLst/>
        </c:spPr>
      </c:pivotFmt>
      <c:pivotFmt>
        <c:idx val="4"/>
        <c:spPr>
          <a:solidFill>
            <a:schemeClr val="accent2"/>
          </a:solidFill>
          <a:ln>
            <a:noFill/>
          </a:ln>
          <a:effectLst/>
        </c:spPr>
        <c:dLbl>
          <c:idx val="0"/>
          <c:layout>
            <c:manualLayout>
              <c:x val="-5.6193476007812378E-17"/>
              <c:y val="1.9536019536019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2"/>
          </a:solidFill>
          <a:ln>
            <a:noFill/>
          </a:ln>
          <a:effectLst/>
        </c:spPr>
      </c:pivotFmt>
    </c:pivotFmts>
    <c:plotArea>
      <c:layout/>
      <c:barChart>
        <c:barDir val="col"/>
        <c:grouping val="clustered"/>
        <c:varyColors val="0"/>
        <c:ser>
          <c:idx val="0"/>
          <c:order val="0"/>
          <c:tx>
            <c:strRef>
              <c:f>'PIVOT TABLE'!$B$3</c:f>
              <c:strCache>
                <c:ptCount val="1"/>
                <c:pt idx="0">
                  <c:v>Total</c:v>
                </c:pt>
              </c:strCache>
            </c:strRef>
          </c:tx>
          <c:spPr>
            <a:solidFill>
              <a:schemeClr val="accent2"/>
            </a:solidFill>
            <a:ln>
              <a:noFill/>
            </a:ln>
            <a:effectLst/>
          </c:spPr>
          <c:invertIfNegative val="0"/>
          <c:dPt>
            <c:idx val="1"/>
            <c:invertIfNegative val="0"/>
            <c:bubble3D val="0"/>
          </c:dPt>
          <c:dPt>
            <c:idx val="2"/>
            <c:invertIfNegative val="0"/>
            <c:bubble3D val="0"/>
            <c:spPr>
              <a:solidFill>
                <a:schemeClr val="accent2"/>
              </a:solidFill>
              <a:ln>
                <a:noFill/>
              </a:ln>
              <a:effectLst/>
            </c:spPr>
          </c:dPt>
          <c:dPt>
            <c:idx val="3"/>
            <c:invertIfNegative val="0"/>
            <c:bubble3D val="0"/>
          </c:dPt>
          <c:dLbls>
            <c:dLbl>
              <c:idx val="2"/>
              <c:layout>
                <c:manualLayout>
                  <c:x val="-5.6193476007812378E-17"/>
                  <c:y val="1.9536019536019536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TABLE'!$A$4:$A$13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TABLE'!$B$4:$B$13</c:f>
              <c:numCache>
                <c:formatCode>0.00"bn"</c:formatCode>
                <c:ptCount val="9"/>
                <c:pt idx="0">
                  <c:v>0.42</c:v>
                </c:pt>
                <c:pt idx="1">
                  <c:v>0.53755784061696665</c:v>
                </c:pt>
                <c:pt idx="2">
                  <c:v>0.50319999999999976</c:v>
                </c:pt>
                <c:pt idx="3">
                  <c:v>0.53</c:v>
                </c:pt>
                <c:pt idx="4">
                  <c:v>0.40120535714285727</c:v>
                </c:pt>
                <c:pt idx="5">
                  <c:v>0.57499999999999996</c:v>
                </c:pt>
                <c:pt idx="6">
                  <c:v>0.45999999999999996</c:v>
                </c:pt>
                <c:pt idx="7">
                  <c:v>0.12354838709677421</c:v>
                </c:pt>
                <c:pt idx="8">
                  <c:v>0</c:v>
                </c:pt>
              </c:numCache>
            </c:numRef>
          </c:val>
        </c:ser>
        <c:dLbls>
          <c:dLblPos val="outEnd"/>
          <c:showLegendKey val="0"/>
          <c:showVal val="1"/>
          <c:showCatName val="0"/>
          <c:showSerName val="0"/>
          <c:showPercent val="0"/>
          <c:showBubbleSize val="0"/>
        </c:dLbls>
        <c:gapWidth val="219"/>
        <c:overlap val="-27"/>
        <c:axId val="435773192"/>
        <c:axId val="435770056"/>
      </c:barChart>
      <c:catAx>
        <c:axId val="435773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770056"/>
        <c:crosses val="autoZero"/>
        <c:auto val="1"/>
        <c:lblAlgn val="ctr"/>
        <c:lblOffset val="100"/>
        <c:noMultiLvlLbl val="0"/>
      </c:catAx>
      <c:valAx>
        <c:axId val="435770056"/>
        <c:scaling>
          <c:orientation val="minMax"/>
        </c:scaling>
        <c:delete val="1"/>
        <c:axPos val="l"/>
        <c:numFmt formatCode="0.00&quot;bn&quot;" sourceLinked="1"/>
        <c:majorTickMark val="none"/>
        <c:minorTickMark val="none"/>
        <c:tickLblPos val="nextTo"/>
        <c:crossAx val="435773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 case study Project.xlsx]PIVOT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REVIEWS PER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dLbl>
          <c:idx val="0"/>
          <c:layout>
            <c:manualLayout>
              <c:x val="-1.206636386110722E-2"/>
              <c:y val="4.13436625211227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1.2066363861107309E-2"/>
              <c:y val="-7.579583902205949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1.206636386110722E-2"/>
              <c:y val="4.13436625211227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1.2066363861107309E-2"/>
              <c:y val="-7.579583902205949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2"/>
          </a:solidFill>
          <a:ln>
            <a:noFill/>
          </a:ln>
          <a:effectLst/>
        </c:spPr>
      </c:pivotFmt>
      <c:pivotFmt>
        <c:idx val="8"/>
        <c:spPr>
          <a:solidFill>
            <a:schemeClr val="accent2"/>
          </a:solidFill>
          <a:ln>
            <a:noFill/>
          </a:ln>
          <a:effectLst/>
        </c:spPr>
        <c:dLbl>
          <c:idx val="0"/>
          <c:layout>
            <c:manualLayout>
              <c:x val="0"/>
              <c:y val="-8.06794055201698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2"/>
          </a:solidFill>
          <a:ln>
            <a:noFill/>
          </a:ln>
          <a:effectLst/>
        </c:spPr>
        <c:dLbl>
          <c:idx val="0"/>
          <c:layout>
            <c:manualLayout>
              <c:x val="0"/>
              <c:y val="-9.34182590233546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2"/>
          </a:solidFill>
          <a:ln>
            <a:noFill/>
          </a:ln>
          <a:effectLst/>
        </c:spPr>
        <c:dLbl>
          <c:idx val="0"/>
          <c:layout>
            <c:manualLayout>
              <c:x val="-5.9790718361941468E-3"/>
              <c:y val="-0.1358811040339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2"/>
            </a:solidFill>
            <a:ln>
              <a:noFill/>
            </a:ln>
            <a:effectLst/>
          </c:spPr>
          <c:invertIfNegative val="0"/>
          <c:dPt>
            <c:idx val="5"/>
            <c:invertIfNegative val="0"/>
            <c:bubble3D val="0"/>
            <c:spPr>
              <a:solidFill>
                <a:schemeClr val="accent2"/>
              </a:solidFill>
              <a:ln>
                <a:noFill/>
              </a:ln>
              <a:effectLst/>
            </c:spPr>
          </c:dPt>
          <c:dPt>
            <c:idx val="6"/>
            <c:invertIfNegative val="0"/>
            <c:bubble3D val="0"/>
            <c:spPr>
              <a:solidFill>
                <a:schemeClr val="accent2"/>
              </a:solidFill>
              <a:ln>
                <a:noFill/>
              </a:ln>
              <a:effectLst/>
            </c:spPr>
          </c:dPt>
          <c:dPt>
            <c:idx val="7"/>
            <c:invertIfNegative val="0"/>
            <c:bubble3D val="0"/>
            <c:spPr>
              <a:solidFill>
                <a:schemeClr val="accent2"/>
              </a:solidFill>
              <a:ln>
                <a:noFill/>
              </a:ln>
              <a:effectLst/>
            </c:spPr>
          </c:dPt>
          <c:dPt>
            <c:idx val="8"/>
            <c:invertIfNegative val="0"/>
            <c:bubble3D val="0"/>
            <c:spPr>
              <a:solidFill>
                <a:schemeClr val="accent2"/>
              </a:solidFill>
              <a:ln>
                <a:noFill/>
              </a:ln>
              <a:effectLst/>
            </c:spPr>
          </c:dPt>
          <c:dLbls>
            <c:dLbl>
              <c:idx val="6"/>
              <c:layout>
                <c:manualLayout>
                  <c:x val="0"/>
                  <c:y val="-8.0679405520169847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5.9790718361941468E-3"/>
                  <c:y val="-0.13588110403397036"/>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
                  <c:y val="-9.3418259023354641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TABLE'!$D$4:$D$13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TABLE'!$E$4:$E$13</c:f>
              <c:numCache>
                <c:formatCode>0.00,"bn"</c:formatCode>
                <c:ptCount val="9"/>
                <c:pt idx="0">
                  <c:v>1118</c:v>
                </c:pt>
                <c:pt idx="1">
                  <c:v>6806911</c:v>
                </c:pt>
                <c:pt idx="2">
                  <c:v>15392395</c:v>
                </c:pt>
                <c:pt idx="3">
                  <c:v>3663</c:v>
                </c:pt>
                <c:pt idx="4">
                  <c:v>2991069</c:v>
                </c:pt>
                <c:pt idx="5">
                  <c:v>8566</c:v>
                </c:pt>
                <c:pt idx="6">
                  <c:v>88882</c:v>
                </c:pt>
                <c:pt idx="7">
                  <c:v>149675</c:v>
                </c:pt>
                <c:pt idx="8">
                  <c:v>15867</c:v>
                </c:pt>
              </c:numCache>
            </c:numRef>
          </c:val>
        </c:ser>
        <c:dLbls>
          <c:dLblPos val="outEnd"/>
          <c:showLegendKey val="0"/>
          <c:showVal val="1"/>
          <c:showCatName val="0"/>
          <c:showSerName val="0"/>
          <c:showPercent val="0"/>
          <c:showBubbleSize val="0"/>
        </c:dLbls>
        <c:gapWidth val="219"/>
        <c:overlap val="-27"/>
        <c:axId val="435772016"/>
        <c:axId val="435771232"/>
      </c:barChart>
      <c:catAx>
        <c:axId val="43577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771232"/>
        <c:crosses val="autoZero"/>
        <c:auto val="1"/>
        <c:lblAlgn val="ctr"/>
        <c:lblOffset val="100"/>
        <c:noMultiLvlLbl val="0"/>
      </c:catAx>
      <c:valAx>
        <c:axId val="435771232"/>
        <c:scaling>
          <c:orientation val="minMax"/>
        </c:scaling>
        <c:delete val="1"/>
        <c:axPos val="l"/>
        <c:numFmt formatCode="0.00,&quot;bn&quot;" sourceLinked="1"/>
        <c:majorTickMark val="none"/>
        <c:minorTickMark val="none"/>
        <c:tickLblPos val="nextTo"/>
        <c:crossAx val="435772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Project.xlsx]PIVOT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ACTUAL vs DISCOUNT PRICE</a:t>
            </a:r>
            <a:endParaRPr lang="en-US" b="1"/>
          </a:p>
        </c:rich>
      </c:tx>
      <c:layout>
        <c:manualLayout>
          <c:xMode val="edge"/>
          <c:yMode val="edge"/>
          <c:x val="0.1217453532594139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9.7281831187410586E-2"/>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9.1559370529327611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7.7253218884120178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8.2975679542203098E-2"/>
              <c:y val="-0.180555555555555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5.7224606580829757E-3"/>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987124463519313"/>
                  <c:h val="6.1111111111111109E-2"/>
                </c:manualLayout>
              </c15:layout>
            </c:ext>
          </c:extLst>
        </c:dLbl>
      </c:pivotFmt>
      <c:pivotFmt>
        <c:idx val="7"/>
        <c:spPr>
          <a:solidFill>
            <a:schemeClr val="accent2"/>
          </a:solidFill>
          <a:ln>
            <a:noFill/>
          </a:ln>
          <a:effectLst/>
        </c:spPr>
        <c:dLbl>
          <c:idx val="0"/>
          <c:layout>
            <c:manualLayout>
              <c:x val="6.5808297567954116E-2"/>
              <c:y val="-0.300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4.8640915593705293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2889842632331851E-2"/>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8.5836909871244635E-2"/>
              <c:y val="-0.14814814814814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0.17453505007153075"/>
              <c:y val="-0.2777777777777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7.7253218884120178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7453505007153075"/>
              <c:y val="-0.226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8.5836909871244895E-3"/>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2.8612303290415139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1144492131616594"/>
              <c:y val="-0.212962962962962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8.5836909871244635E-3"/>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1.0014306151645204E-2"/>
              <c:y val="-5.092592592592592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9842632331902719E-2"/>
                  <c:h val="5.185185185185185E-2"/>
                </c:manualLayout>
              </c15:layout>
            </c:ext>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9.1559370529327611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8.5836909871244895E-3"/>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8.5836909871244635E-3"/>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7.7253218884120178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2.2889842632331851E-2"/>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0.1144492131616594"/>
              <c:y val="-0.212962962962962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0.17453505007153075"/>
              <c:y val="-0.226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7.7253218884120178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dLbl>
          <c:idx val="0"/>
          <c:layout>
            <c:manualLayout>
              <c:x val="-9.7281831187410586E-2"/>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dLbl>
          <c:idx val="0"/>
          <c:layout>
            <c:manualLayout>
              <c:x val="-2.8612303290415139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dLbl>
          <c:idx val="0"/>
          <c:layout>
            <c:manualLayout>
              <c:x val="4.8640915593705293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dLbl>
          <c:idx val="0"/>
          <c:layout>
            <c:manualLayout>
              <c:x val="-1.0014306151645204E-2"/>
              <c:y val="-5.092592592592592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9842632331902719E-2"/>
                  <c:h val="5.185185185185185E-2"/>
                </c:manualLayout>
              </c15:layout>
            </c:ext>
          </c:extLst>
        </c:dLbl>
      </c:pivotFmt>
      <c:pivotFmt>
        <c:idx val="33"/>
        <c:spPr>
          <a:solidFill>
            <a:schemeClr val="accent2"/>
          </a:solidFill>
          <a:ln>
            <a:noFill/>
          </a:ln>
          <a:effectLst/>
        </c:spPr>
        <c:dLbl>
          <c:idx val="0"/>
          <c:layout>
            <c:manualLayout>
              <c:x val="8.2975679542203098E-2"/>
              <c:y val="-0.180555555555555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dLbl>
          <c:idx val="0"/>
          <c:layout>
            <c:manualLayout>
              <c:x val="5.7224606580829757E-3"/>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987124463519313"/>
                  <c:h val="6.1111111111111109E-2"/>
                </c:manualLayout>
              </c15:layout>
            </c:ext>
          </c:extLst>
        </c:dLbl>
      </c:pivotFmt>
      <c:pivotFmt>
        <c:idx val="35"/>
        <c:spPr>
          <a:solidFill>
            <a:schemeClr val="accent2"/>
          </a:solidFill>
          <a:ln>
            <a:noFill/>
          </a:ln>
          <a:effectLst/>
        </c:spPr>
        <c:dLbl>
          <c:idx val="0"/>
          <c:layout>
            <c:manualLayout>
              <c:x val="6.5808297567954116E-2"/>
              <c:y val="-0.300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dLbl>
          <c:idx val="0"/>
          <c:layout>
            <c:manualLayout>
              <c:x val="0.17453505007153075"/>
              <c:y val="-0.2777777777777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dLbl>
          <c:idx val="0"/>
          <c:layout>
            <c:manualLayout>
              <c:x val="8.5836909871244635E-2"/>
              <c:y val="-0.14814814814814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1"/>
          </a:solidFill>
          <a:ln>
            <a:noFill/>
          </a:ln>
          <a:effectLst/>
        </c:spPr>
        <c:dLbl>
          <c:idx val="0"/>
          <c:layout>
            <c:manualLayout>
              <c:x val="-9.1559370529327611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0"/>
        <c:spPr>
          <a:solidFill>
            <a:schemeClr val="accent1"/>
          </a:solidFill>
          <a:ln>
            <a:noFill/>
          </a:ln>
          <a:effectLst/>
        </c:spPr>
        <c:dLbl>
          <c:idx val="0"/>
          <c:layout>
            <c:manualLayout>
              <c:x val="-8.5836909871244895E-3"/>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1"/>
        <c:spPr>
          <a:solidFill>
            <a:schemeClr val="accent1"/>
          </a:solidFill>
          <a:ln>
            <a:noFill/>
          </a:ln>
          <a:effectLst/>
        </c:spPr>
        <c:dLbl>
          <c:idx val="0"/>
          <c:layout>
            <c:manualLayout>
              <c:x val="8.5836909871244635E-3"/>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2"/>
        <c:spPr>
          <a:solidFill>
            <a:schemeClr val="accent1"/>
          </a:solidFill>
          <a:ln>
            <a:noFill/>
          </a:ln>
          <a:effectLst/>
        </c:spPr>
        <c:dLbl>
          <c:idx val="0"/>
          <c:layout>
            <c:manualLayout>
              <c:x val="7.7253218884120178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solidFill>
            <a:schemeClr val="accent1"/>
          </a:solidFill>
          <a:ln>
            <a:noFill/>
          </a:ln>
          <a:effectLst/>
        </c:spPr>
        <c:dLbl>
          <c:idx val="0"/>
          <c:layout>
            <c:manualLayout>
              <c:x val="2.2889842632331851E-2"/>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accent1"/>
          </a:solidFill>
          <a:ln>
            <a:noFill/>
          </a:ln>
          <a:effectLst/>
        </c:spPr>
        <c:dLbl>
          <c:idx val="0"/>
          <c:layout>
            <c:manualLayout>
              <c:x val="0.1144492131616594"/>
              <c:y val="-0.212962962962962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chemeClr val="accent1"/>
          </a:solidFill>
          <a:ln>
            <a:noFill/>
          </a:ln>
          <a:effectLst/>
        </c:spPr>
        <c:dLbl>
          <c:idx val="0"/>
          <c:layout>
            <c:manualLayout>
              <c:x val="0.17453505007153075"/>
              <c:y val="-0.226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6"/>
        <c:spPr>
          <a:solidFill>
            <a:schemeClr val="accent1"/>
          </a:solidFill>
          <a:ln>
            <a:noFill/>
          </a:ln>
          <a:effectLst/>
        </c:spPr>
        <c:dLbl>
          <c:idx val="0"/>
          <c:layout>
            <c:manualLayout>
              <c:x val="7.7253218884120178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c:spPr>
        <c:dLbl>
          <c:idx val="0"/>
          <c:layout>
            <c:manualLayout>
              <c:x val="-9.7281831187410586E-2"/>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9"/>
        <c:spPr>
          <a:solidFill>
            <a:schemeClr val="accent2"/>
          </a:solidFill>
          <a:ln>
            <a:noFill/>
          </a:ln>
          <a:effectLst/>
        </c:spPr>
        <c:dLbl>
          <c:idx val="0"/>
          <c:layout>
            <c:manualLayout>
              <c:x val="-2.8612303290415139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2"/>
          </a:solidFill>
          <a:ln>
            <a:noFill/>
          </a:ln>
          <a:effectLst/>
        </c:spPr>
        <c:dLbl>
          <c:idx val="0"/>
          <c:layout>
            <c:manualLayout>
              <c:x val="4.8640915593705293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1"/>
        <c:spPr>
          <a:solidFill>
            <a:schemeClr val="accent2"/>
          </a:solidFill>
          <a:ln>
            <a:noFill/>
          </a:ln>
          <a:effectLst/>
        </c:spPr>
        <c:dLbl>
          <c:idx val="0"/>
          <c:layout>
            <c:manualLayout>
              <c:x val="-1.0014306151645204E-2"/>
              <c:y val="-5.092592592592592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9842632331902719E-2"/>
                  <c:h val="5.185185185185185E-2"/>
                </c:manualLayout>
              </c15:layout>
            </c:ext>
          </c:extLst>
        </c:dLbl>
      </c:pivotFmt>
      <c:pivotFmt>
        <c:idx val="52"/>
        <c:spPr>
          <a:solidFill>
            <a:schemeClr val="accent2"/>
          </a:solidFill>
          <a:ln>
            <a:noFill/>
          </a:ln>
          <a:effectLst/>
        </c:spPr>
        <c:dLbl>
          <c:idx val="0"/>
          <c:layout>
            <c:manualLayout>
              <c:x val="8.2975679542203098E-2"/>
              <c:y val="-0.180555555555555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3"/>
        <c:spPr>
          <a:solidFill>
            <a:schemeClr val="accent2"/>
          </a:solidFill>
          <a:ln>
            <a:noFill/>
          </a:ln>
          <a:effectLst/>
        </c:spPr>
        <c:dLbl>
          <c:idx val="0"/>
          <c:layout>
            <c:manualLayout>
              <c:x val="5.7224606580829757E-3"/>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987124463519313"/>
                  <c:h val="6.1111111111111109E-2"/>
                </c:manualLayout>
              </c15:layout>
            </c:ext>
          </c:extLst>
        </c:dLbl>
      </c:pivotFmt>
      <c:pivotFmt>
        <c:idx val="54"/>
        <c:spPr>
          <a:solidFill>
            <a:schemeClr val="accent2"/>
          </a:solidFill>
          <a:ln>
            <a:noFill/>
          </a:ln>
          <a:effectLst/>
        </c:spPr>
        <c:dLbl>
          <c:idx val="0"/>
          <c:layout>
            <c:manualLayout>
              <c:x val="6.5808297567954116E-2"/>
              <c:y val="-0.300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5"/>
        <c:spPr>
          <a:solidFill>
            <a:schemeClr val="accent2"/>
          </a:solidFill>
          <a:ln>
            <a:noFill/>
          </a:ln>
          <a:effectLst/>
        </c:spPr>
        <c:dLbl>
          <c:idx val="0"/>
          <c:layout>
            <c:manualLayout>
              <c:x val="0.17453505007153075"/>
              <c:y val="-0.2777777777777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2"/>
          </a:solidFill>
          <a:ln>
            <a:noFill/>
          </a:ln>
          <a:effectLst/>
        </c:spPr>
        <c:dLbl>
          <c:idx val="0"/>
          <c:layout>
            <c:manualLayout>
              <c:x val="8.5836909871244635E-2"/>
              <c:y val="-0.14814814814814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TABLE'!$B$16</c:f>
              <c:strCache>
                <c:ptCount val="1"/>
                <c:pt idx="0">
                  <c:v>Average of ACTUAL PRICE</c:v>
                </c:pt>
              </c:strCache>
            </c:strRef>
          </c:tx>
          <c:spPr>
            <a:solidFill>
              <a:schemeClr val="accent1"/>
            </a:solidFill>
            <a:ln>
              <a:noFill/>
            </a:ln>
            <a:effectLst/>
          </c:spPr>
          <c:invertIfNegative val="0"/>
          <c:dPt>
            <c:idx val="0"/>
            <c:invertIfNegative val="0"/>
            <c:bubble3D val="0"/>
            <c:spPr>
              <a:solidFill>
                <a:schemeClr val="accent1"/>
              </a:solidFill>
              <a:ln>
                <a:noFill/>
              </a:ln>
              <a:effectLst/>
            </c:spPr>
          </c:dPt>
          <c:dPt>
            <c:idx val="1"/>
            <c:invertIfNegative val="0"/>
            <c:bubble3D val="0"/>
            <c:spPr>
              <a:solidFill>
                <a:schemeClr val="accent1"/>
              </a:solidFill>
              <a:ln>
                <a:noFill/>
              </a:ln>
              <a:effectLst/>
            </c:spPr>
          </c:dPt>
          <c:dPt>
            <c:idx val="3"/>
            <c:invertIfNegative val="0"/>
            <c:bubble3D val="0"/>
            <c:spPr>
              <a:solidFill>
                <a:schemeClr val="accent1"/>
              </a:solidFill>
              <a:ln>
                <a:noFill/>
              </a:ln>
              <a:effectLst/>
            </c:spPr>
          </c:dPt>
          <c:dPt>
            <c:idx val="4"/>
            <c:invertIfNegative val="0"/>
            <c:bubble3D val="0"/>
            <c:spPr>
              <a:solidFill>
                <a:schemeClr val="accent1"/>
              </a:solidFill>
              <a:ln>
                <a:noFill/>
              </a:ln>
              <a:effectLst/>
            </c:spPr>
          </c:dPt>
          <c:dPt>
            <c:idx val="5"/>
            <c:invertIfNegative val="0"/>
            <c:bubble3D val="0"/>
            <c:spPr>
              <a:solidFill>
                <a:schemeClr val="accent1"/>
              </a:solidFill>
              <a:ln>
                <a:noFill/>
              </a:ln>
              <a:effectLst/>
            </c:spPr>
          </c:dPt>
          <c:dPt>
            <c:idx val="6"/>
            <c:invertIfNegative val="0"/>
            <c:bubble3D val="0"/>
            <c:spPr>
              <a:solidFill>
                <a:schemeClr val="accent1"/>
              </a:solidFill>
              <a:ln>
                <a:noFill/>
              </a:ln>
              <a:effectLst/>
            </c:spPr>
          </c:dPt>
          <c:dPt>
            <c:idx val="7"/>
            <c:invertIfNegative val="0"/>
            <c:bubble3D val="0"/>
            <c:spPr>
              <a:solidFill>
                <a:schemeClr val="accent1"/>
              </a:solidFill>
              <a:ln>
                <a:noFill/>
              </a:ln>
              <a:effectLst/>
            </c:spPr>
          </c:dPt>
          <c:dPt>
            <c:idx val="8"/>
            <c:invertIfNegative val="0"/>
            <c:bubble3D val="0"/>
            <c:spPr>
              <a:solidFill>
                <a:schemeClr val="accent1"/>
              </a:solidFill>
              <a:ln>
                <a:noFill/>
              </a:ln>
              <a:effectLst/>
            </c:spPr>
          </c:dPt>
          <c:dLbls>
            <c:dLbl>
              <c:idx val="0"/>
              <c:layout>
                <c:manualLayout>
                  <c:x val="-9.1559370529327611E-2"/>
                  <c:y val="-0.11111111111111116"/>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8.5836909871244895E-3"/>
                  <c:y val="-8.7962962962962965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8.5836909871244635E-3"/>
                  <c:y val="-7.4074074074074112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7.7253218884120178E-2"/>
                  <c:y val="-6.4814814814814853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2.2889842632331851E-2"/>
                  <c:y val="-4.6296296296296384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1144492131616594"/>
                  <c:y val="-0.21296296296296299"/>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17453505007153075"/>
                  <c:y val="-0.22685185185185186"/>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7.7253218884120178E-2"/>
                  <c:y val="-7.870370370370379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TABLE'!$A$17:$A$26</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TABLE'!$B$17:$B$26</c:f>
              <c:numCache>
                <c:formatCode>0.00,</c:formatCode>
                <c:ptCount val="9"/>
                <c:pt idx="0">
                  <c:v>4000</c:v>
                </c:pt>
                <c:pt idx="1">
                  <c:v>1816.8541902313625</c:v>
                </c:pt>
                <c:pt idx="2">
                  <c:v>9889.194388777556</c:v>
                </c:pt>
                <c:pt idx="3">
                  <c:v>1900</c:v>
                </c:pt>
                <c:pt idx="4">
                  <c:v>4162.0736607142853</c:v>
                </c:pt>
                <c:pt idx="5">
                  <c:v>799</c:v>
                </c:pt>
                <c:pt idx="6">
                  <c:v>1347</c:v>
                </c:pt>
                <c:pt idx="7">
                  <c:v>397.19354838709677</c:v>
                </c:pt>
                <c:pt idx="8">
                  <c:v>150</c:v>
                </c:pt>
              </c:numCache>
            </c:numRef>
          </c:val>
        </c:ser>
        <c:ser>
          <c:idx val="1"/>
          <c:order val="1"/>
          <c:tx>
            <c:strRef>
              <c:f>'PIVOT TABLE'!$C$16</c:f>
              <c:strCache>
                <c:ptCount val="1"/>
                <c:pt idx="0">
                  <c:v>Average of DISCOUNTED-PRICE</c:v>
                </c:pt>
              </c:strCache>
            </c:strRef>
          </c:tx>
          <c:spPr>
            <a:solidFill>
              <a:schemeClr val="accent2"/>
            </a:solidFill>
            <a:ln>
              <a:noFill/>
            </a:ln>
            <a:effectLst/>
          </c:spPr>
          <c:invertIfNegative val="0"/>
          <c:dPt>
            <c:idx val="0"/>
            <c:invertIfNegative val="0"/>
            <c:bubble3D val="0"/>
            <c:spPr>
              <a:solidFill>
                <a:schemeClr val="accent2"/>
              </a:solidFill>
              <a:ln>
                <a:noFill/>
              </a:ln>
              <a:effectLst/>
            </c:spPr>
          </c:dPt>
          <c:dPt>
            <c:idx val="1"/>
            <c:invertIfNegative val="0"/>
            <c:bubble3D val="0"/>
            <c:spPr>
              <a:solidFill>
                <a:schemeClr val="accent2"/>
              </a:solidFill>
              <a:ln>
                <a:noFill/>
              </a:ln>
              <a:effectLst/>
            </c:spPr>
          </c:dPt>
          <c:dPt>
            <c:idx val="2"/>
            <c:invertIfNegative val="0"/>
            <c:bubble3D val="0"/>
            <c:spPr>
              <a:solidFill>
                <a:schemeClr val="accent2"/>
              </a:solidFill>
              <a:ln>
                <a:noFill/>
              </a:ln>
              <a:effectLst/>
            </c:spPr>
          </c:dPt>
          <c:dPt>
            <c:idx val="3"/>
            <c:invertIfNegative val="0"/>
            <c:bubble3D val="0"/>
            <c:spPr>
              <a:solidFill>
                <a:schemeClr val="accent2"/>
              </a:solidFill>
              <a:ln>
                <a:noFill/>
              </a:ln>
              <a:effectLst/>
            </c:spPr>
          </c:dPt>
          <c:dPt>
            <c:idx val="4"/>
            <c:invertIfNegative val="0"/>
            <c:bubble3D val="0"/>
            <c:spPr>
              <a:solidFill>
                <a:schemeClr val="accent2"/>
              </a:solidFill>
              <a:ln>
                <a:noFill/>
              </a:ln>
              <a:effectLst/>
            </c:spPr>
          </c:dPt>
          <c:dPt>
            <c:idx val="5"/>
            <c:invertIfNegative val="0"/>
            <c:bubble3D val="0"/>
            <c:spPr>
              <a:solidFill>
                <a:schemeClr val="accent2"/>
              </a:solidFill>
              <a:ln>
                <a:noFill/>
              </a:ln>
              <a:effectLst/>
            </c:spPr>
          </c:dPt>
          <c:dPt>
            <c:idx val="6"/>
            <c:invertIfNegative val="0"/>
            <c:bubble3D val="0"/>
            <c:spPr>
              <a:solidFill>
                <a:schemeClr val="accent2"/>
              </a:solidFill>
              <a:ln>
                <a:noFill/>
              </a:ln>
              <a:effectLst/>
            </c:spPr>
          </c:dPt>
          <c:dPt>
            <c:idx val="7"/>
            <c:invertIfNegative val="0"/>
            <c:bubble3D val="0"/>
            <c:spPr>
              <a:solidFill>
                <a:schemeClr val="accent2"/>
              </a:solidFill>
              <a:ln>
                <a:noFill/>
              </a:ln>
              <a:effectLst/>
            </c:spPr>
          </c:dPt>
          <c:dPt>
            <c:idx val="8"/>
            <c:invertIfNegative val="0"/>
            <c:bubble3D val="0"/>
            <c:spPr>
              <a:solidFill>
                <a:schemeClr val="accent2"/>
              </a:solidFill>
              <a:ln>
                <a:noFill/>
              </a:ln>
              <a:effectLst/>
            </c:spPr>
          </c:dPt>
          <c:dLbls>
            <c:dLbl>
              <c:idx val="0"/>
              <c:layout>
                <c:manualLayout>
                  <c:x val="-9.7281831187410586E-2"/>
                  <c:y val="-9.2592592592592629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2.8612303290415139E-3"/>
                  <c:y val="-4.1666666666666664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4.8640915593705293E-2"/>
                  <c:y val="-7.8703703703703748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1.0014306151645204E-2"/>
                  <c:y val="-5.092592592592592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9842632331902719E-2"/>
                      <c:h val="5.185185185185185E-2"/>
                    </c:manualLayout>
                  </c15:layout>
                </c:ext>
              </c:extLst>
            </c:dLbl>
            <c:dLbl>
              <c:idx val="4"/>
              <c:layout>
                <c:manualLayout>
                  <c:x val="8.2975679542203098E-2"/>
                  <c:y val="-0.18055555555555555"/>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5.7224606580829757E-3"/>
                  <c:y val="-0.12037037037037046"/>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0987124463519313"/>
                      <c:h val="6.1111111111111109E-2"/>
                    </c:manualLayout>
                  </c15:layout>
                </c:ext>
              </c:extLst>
            </c:dLbl>
            <c:dLbl>
              <c:idx val="6"/>
              <c:layout>
                <c:manualLayout>
                  <c:x val="6.5808297567954116E-2"/>
                  <c:y val="-0.30092592592592593"/>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17453505007153075"/>
                  <c:y val="-0.27777777777777785"/>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8.5836909871244635E-2"/>
                  <c:y val="-0.148148148148148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TABLE'!$A$17:$A$26</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TABLE'!$C$17:$C$26</c:f>
              <c:numCache>
                <c:formatCode>0.00,"bn"</c:formatCode>
                <c:ptCount val="9"/>
                <c:pt idx="0">
                  <c:v>2339</c:v>
                </c:pt>
                <c:pt idx="1">
                  <c:v>921.26732647814913</c:v>
                </c:pt>
                <c:pt idx="2">
                  <c:v>6058.13</c:v>
                </c:pt>
                <c:pt idx="3">
                  <c:v>899</c:v>
                </c:pt>
                <c:pt idx="4">
                  <c:v>2330.6156473214287</c:v>
                </c:pt>
                <c:pt idx="5">
                  <c:v>337</c:v>
                </c:pt>
                <c:pt idx="6">
                  <c:v>638</c:v>
                </c:pt>
                <c:pt idx="7">
                  <c:v>301.58064516129031</c:v>
                </c:pt>
                <c:pt idx="8">
                  <c:v>150</c:v>
                </c:pt>
              </c:numCache>
            </c:numRef>
          </c:val>
        </c:ser>
        <c:dLbls>
          <c:dLblPos val="outEnd"/>
          <c:showLegendKey val="0"/>
          <c:showVal val="1"/>
          <c:showCatName val="0"/>
          <c:showSerName val="0"/>
          <c:showPercent val="0"/>
          <c:showBubbleSize val="0"/>
        </c:dLbls>
        <c:gapWidth val="219"/>
        <c:overlap val="-27"/>
        <c:axId val="435773976"/>
        <c:axId val="435774368"/>
      </c:barChart>
      <c:catAx>
        <c:axId val="435773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774368"/>
        <c:crosses val="autoZero"/>
        <c:auto val="1"/>
        <c:lblAlgn val="ctr"/>
        <c:lblOffset val="100"/>
        <c:noMultiLvlLbl val="0"/>
      </c:catAx>
      <c:valAx>
        <c:axId val="435774368"/>
        <c:scaling>
          <c:orientation val="minMax"/>
        </c:scaling>
        <c:delete val="1"/>
        <c:axPos val="l"/>
        <c:numFmt formatCode="0.00," sourceLinked="1"/>
        <c:majorTickMark val="none"/>
        <c:minorTickMark val="none"/>
        <c:tickLblPos val="nextTo"/>
        <c:crossAx val="435773976"/>
        <c:crosses val="autoZero"/>
        <c:crossBetween val="between"/>
      </c:valAx>
      <c:spPr>
        <a:noFill/>
        <a:ln>
          <a:noFill/>
        </a:ln>
        <a:effectLst/>
      </c:spPr>
    </c:plotArea>
    <c:legend>
      <c:legendPos val="r"/>
      <c:layout>
        <c:manualLayout>
          <c:xMode val="edge"/>
          <c:yMode val="edge"/>
          <c:x val="0.71679542203147362"/>
          <c:y val="0.43626895596383786"/>
          <c:w val="0.26603719599427755"/>
          <c:h val="0.316628754738990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 case study Project.xlsx]PIVOT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POTENTIAL REVENUE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s>
    <c:plotArea>
      <c:layout/>
      <c:barChart>
        <c:barDir val="col"/>
        <c:grouping val="clustered"/>
        <c:varyColors val="0"/>
        <c:ser>
          <c:idx val="0"/>
          <c:order val="0"/>
          <c:tx>
            <c:strRef>
              <c:f>'PIVOT TABLE'!$F$16</c:f>
              <c:strCache>
                <c:ptCount val="1"/>
                <c:pt idx="0">
                  <c:v>Total</c:v>
                </c:pt>
              </c:strCache>
            </c:strRef>
          </c:tx>
          <c:spPr>
            <a:solidFill>
              <a:schemeClr val="accent2"/>
            </a:solidFill>
            <a:ln>
              <a:noFill/>
            </a:ln>
            <a:effectLst/>
          </c:spPr>
          <c:invertIfNegative val="0"/>
          <c:cat>
            <c:strRef>
              <c:f>'PIVOT TABLE'!$E$17:$E$26</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TABLE'!$F$17:$F$26</c:f>
              <c:numCache>
                <c:formatCode>General</c:formatCode>
                <c:ptCount val="9"/>
                <c:pt idx="0">
                  <c:v>1</c:v>
                </c:pt>
                <c:pt idx="1">
                  <c:v>389</c:v>
                </c:pt>
                <c:pt idx="2">
                  <c:v>500</c:v>
                </c:pt>
                <c:pt idx="3">
                  <c:v>1</c:v>
                </c:pt>
                <c:pt idx="4">
                  <c:v>448</c:v>
                </c:pt>
                <c:pt idx="5">
                  <c:v>2</c:v>
                </c:pt>
                <c:pt idx="6">
                  <c:v>2</c:v>
                </c:pt>
                <c:pt idx="7">
                  <c:v>31</c:v>
                </c:pt>
                <c:pt idx="8">
                  <c:v>1</c:v>
                </c:pt>
              </c:numCache>
            </c:numRef>
          </c:val>
        </c:ser>
        <c:dLbls>
          <c:showLegendKey val="0"/>
          <c:showVal val="0"/>
          <c:showCatName val="0"/>
          <c:showSerName val="0"/>
          <c:showPercent val="0"/>
          <c:showBubbleSize val="0"/>
        </c:dLbls>
        <c:gapWidth val="219"/>
        <c:overlap val="-27"/>
        <c:axId val="435776720"/>
        <c:axId val="435770840"/>
      </c:barChart>
      <c:catAx>
        <c:axId val="43577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770840"/>
        <c:crosses val="autoZero"/>
        <c:auto val="1"/>
        <c:lblAlgn val="ctr"/>
        <c:lblOffset val="100"/>
        <c:noMultiLvlLbl val="0"/>
      </c:catAx>
      <c:valAx>
        <c:axId val="435770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776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 case study Project.xlsx]PIVOT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HIGHEST DISCOUNT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
              <c:y val="-9.7222222222222224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7777777777777779E-3"/>
              <c:y val="-5.5555555555555552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4.6296296296296308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5462668816039986E-17"/>
              <c:y val="-0.12037037037037036"/>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5.0925337632079971E-17"/>
              <c:y val="-3.2407407407407426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0.1435185185185185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5.0925337632079971E-17"/>
              <c:y val="-7.8703703703703706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
              <c:y val="-9.7222222222222224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
              <c:y val="-6.4814814814814839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
              <c:y val="-3.2407407407407447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
              <c:y val="-9.2592592592592629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
              <c:y val="-5.5555555555555601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2.7777777777777779E-3"/>
              <c:y val="-0.20833333333333337"/>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1.0185067526415994E-16"/>
              <c:y val="-0.11574074074074078"/>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TABLE'!$I$16</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TABLE'!$H$17:$H$26</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TABLE'!$I$17:$I$26</c:f>
              <c:numCache>
                <c:formatCode>General</c:formatCode>
                <c:ptCount val="9"/>
                <c:pt idx="0">
                  <c:v>0.42</c:v>
                </c:pt>
                <c:pt idx="1">
                  <c:v>0.94</c:v>
                </c:pt>
                <c:pt idx="2">
                  <c:v>0.91</c:v>
                </c:pt>
                <c:pt idx="3">
                  <c:v>0.53</c:v>
                </c:pt>
                <c:pt idx="4">
                  <c:v>0.9</c:v>
                </c:pt>
                <c:pt idx="5">
                  <c:v>0.57999999999999996</c:v>
                </c:pt>
                <c:pt idx="6">
                  <c:v>0.6</c:v>
                </c:pt>
                <c:pt idx="7">
                  <c:v>0.75</c:v>
                </c:pt>
                <c:pt idx="8">
                  <c:v>0</c:v>
                </c:pt>
              </c:numCache>
            </c:numRef>
          </c:val>
        </c:ser>
        <c:dLbls>
          <c:dLblPos val="outEnd"/>
          <c:showLegendKey val="0"/>
          <c:showVal val="1"/>
          <c:showCatName val="0"/>
          <c:showSerName val="0"/>
          <c:showPercent val="0"/>
          <c:showBubbleSize val="0"/>
        </c:dLbls>
        <c:gapWidth val="219"/>
        <c:overlap val="-27"/>
        <c:axId val="435774760"/>
        <c:axId val="435775152"/>
      </c:barChart>
      <c:catAx>
        <c:axId val="435774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775152"/>
        <c:crosses val="autoZero"/>
        <c:auto val="1"/>
        <c:lblAlgn val="ctr"/>
        <c:lblOffset val="100"/>
        <c:noMultiLvlLbl val="0"/>
      </c:catAx>
      <c:valAx>
        <c:axId val="435775152"/>
        <c:scaling>
          <c:orientation val="minMax"/>
        </c:scaling>
        <c:delete val="1"/>
        <c:axPos val="l"/>
        <c:numFmt formatCode="General" sourceLinked="1"/>
        <c:majorTickMark val="out"/>
        <c:minorTickMark val="none"/>
        <c:tickLblPos val="nextTo"/>
        <c:crossAx val="435774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57150</xdr:colOff>
      <xdr:row>1</xdr:row>
      <xdr:rowOff>19051</xdr:rowOff>
    </xdr:from>
    <xdr:to>
      <xdr:col>11</xdr:col>
      <xdr:colOff>228600</xdr:colOff>
      <xdr:row>2</xdr:row>
      <xdr:rowOff>152401</xdr:rowOff>
    </xdr:to>
    <xdr:sp macro="" textlink="">
      <xdr:nvSpPr>
        <xdr:cNvPr id="7" name="Rounded Rectangle 6"/>
        <xdr:cNvSpPr/>
      </xdr:nvSpPr>
      <xdr:spPr>
        <a:xfrm>
          <a:off x="3105150" y="209551"/>
          <a:ext cx="5505450" cy="323850"/>
        </a:xfrm>
        <a:prstGeom prst="round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AMAZON</a:t>
          </a:r>
          <a:r>
            <a:rPr lang="en-US" sz="1600" b="1" baseline="0">
              <a:solidFill>
                <a:schemeClr val="tx1"/>
              </a:solidFill>
            </a:rPr>
            <a:t> PRODUCT REVIEW ANALYSIS DASHBOARD</a:t>
          </a:r>
          <a:endParaRPr lang="en-US" sz="1600" b="1">
            <a:solidFill>
              <a:schemeClr val="tx1"/>
            </a:solidFill>
          </a:endParaRPr>
        </a:p>
      </xdr:txBody>
    </xdr:sp>
    <xdr:clientData/>
  </xdr:twoCellAnchor>
  <xdr:twoCellAnchor>
    <xdr:from>
      <xdr:col>3</xdr:col>
      <xdr:colOff>390525</xdr:colOff>
      <xdr:row>4</xdr:row>
      <xdr:rowOff>19050</xdr:rowOff>
    </xdr:from>
    <xdr:to>
      <xdr:col>8</xdr:col>
      <xdr:colOff>723900</xdr:colOff>
      <xdr:row>17</xdr:row>
      <xdr:rowOff>142875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342899</xdr:colOff>
      <xdr:row>18</xdr:row>
      <xdr:rowOff>95251</xdr:rowOff>
    </xdr:from>
    <xdr:to>
      <xdr:col>9</xdr:col>
      <xdr:colOff>19050</xdr:colOff>
      <xdr:row>34</xdr:row>
      <xdr:rowOff>38101</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742950</xdr:colOff>
      <xdr:row>4</xdr:row>
      <xdr:rowOff>19050</xdr:rowOff>
    </xdr:from>
    <xdr:to>
      <xdr:col>15</xdr:col>
      <xdr:colOff>104775</xdr:colOff>
      <xdr:row>17</xdr:row>
      <xdr:rowOff>133350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66675</xdr:colOff>
      <xdr:row>18</xdr:row>
      <xdr:rowOff>95249</xdr:rowOff>
    </xdr:from>
    <xdr:to>
      <xdr:col>15</xdr:col>
      <xdr:colOff>66675</xdr:colOff>
      <xdr:row>33</xdr:row>
      <xdr:rowOff>180975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171450</xdr:colOff>
      <xdr:row>4</xdr:row>
      <xdr:rowOff>19050</xdr:rowOff>
    </xdr:from>
    <xdr:to>
      <xdr:col>19</xdr:col>
      <xdr:colOff>628650</xdr:colOff>
      <xdr:row>17</xdr:row>
      <xdr:rowOff>114300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133351</xdr:colOff>
      <xdr:row>19</xdr:row>
      <xdr:rowOff>161926</xdr:rowOff>
    </xdr:from>
    <xdr:to>
      <xdr:col>2</xdr:col>
      <xdr:colOff>514351</xdr:colOff>
      <xdr:row>23</xdr:row>
      <xdr:rowOff>161926</xdr:rowOff>
    </xdr:to>
    <xdr:sp macro="" textlink="">
      <xdr:nvSpPr>
        <xdr:cNvPr id="2" name="TextBox 1"/>
        <xdr:cNvSpPr txBox="1"/>
      </xdr:nvSpPr>
      <xdr:spPr>
        <a:xfrm>
          <a:off x="133351" y="3781426"/>
          <a:ext cx="1905000" cy="762000"/>
        </a:xfrm>
        <a:prstGeom prst="rect">
          <a:avLst/>
        </a:prstGeom>
        <a:solidFill>
          <a:schemeClr val="accent2"/>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AVERAGE RATING</a:t>
          </a:r>
        </a:p>
        <a:p>
          <a:endParaRPr lang="en-US" sz="1100">
            <a:solidFill>
              <a:schemeClr val="tx1"/>
            </a:solidFill>
          </a:endParaRPr>
        </a:p>
        <a:p>
          <a:r>
            <a:rPr lang="en-US" sz="1400" b="1">
              <a:solidFill>
                <a:schemeClr val="tx1"/>
              </a:solidFill>
            </a:rPr>
            <a:t>4.09</a:t>
          </a:r>
          <a:r>
            <a:rPr lang="en-US" sz="1100" b="1">
              <a:solidFill>
                <a:schemeClr val="tx1"/>
              </a:solidFill>
            </a:rPr>
            <a:t> </a:t>
          </a:r>
        </a:p>
      </xdr:txBody>
    </xdr:sp>
    <xdr:clientData/>
  </xdr:twoCellAnchor>
  <xdr:twoCellAnchor>
    <xdr:from>
      <xdr:col>0</xdr:col>
      <xdr:colOff>161925</xdr:colOff>
      <xdr:row>24</xdr:row>
      <xdr:rowOff>171450</xdr:rowOff>
    </xdr:from>
    <xdr:to>
      <xdr:col>2</xdr:col>
      <xdr:colOff>495300</xdr:colOff>
      <xdr:row>29</xdr:row>
      <xdr:rowOff>85725</xdr:rowOff>
    </xdr:to>
    <xdr:sp macro="" textlink="">
      <xdr:nvSpPr>
        <xdr:cNvPr id="3" name="TextBox 2"/>
        <xdr:cNvSpPr txBox="1"/>
      </xdr:nvSpPr>
      <xdr:spPr>
        <a:xfrm>
          <a:off x="161925" y="4743450"/>
          <a:ext cx="1857375" cy="866775"/>
        </a:xfrm>
        <a:prstGeom prst="rect">
          <a:avLst/>
        </a:prstGeom>
        <a:solidFill>
          <a:schemeClr val="accent2"/>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rPr>
            <a:t>TOTAL PRODUCT</a:t>
          </a:r>
        </a:p>
        <a:p>
          <a:endParaRPr lang="en-US" sz="1400" b="1">
            <a:solidFill>
              <a:schemeClr val="tx1"/>
            </a:solidFill>
          </a:endParaRPr>
        </a:p>
        <a:p>
          <a:r>
            <a:rPr lang="en-US" sz="1400" b="1">
              <a:solidFill>
                <a:schemeClr val="tx1"/>
              </a:solidFill>
              <a:latin typeface="+mn-lt"/>
            </a:rPr>
            <a:t>1,348</a:t>
          </a:r>
        </a:p>
      </xdr:txBody>
    </xdr:sp>
    <xdr:clientData/>
  </xdr:twoCellAnchor>
  <xdr:twoCellAnchor>
    <xdr:from>
      <xdr:col>1</xdr:col>
      <xdr:colOff>142875</xdr:colOff>
      <xdr:row>22</xdr:row>
      <xdr:rowOff>28575</xdr:rowOff>
    </xdr:from>
    <xdr:to>
      <xdr:col>1</xdr:col>
      <xdr:colOff>304800</xdr:colOff>
      <xdr:row>23</xdr:row>
      <xdr:rowOff>0</xdr:rowOff>
    </xdr:to>
    <xdr:sp macro="" textlink="">
      <xdr:nvSpPr>
        <xdr:cNvPr id="4" name="5-Point Star 3"/>
        <xdr:cNvSpPr/>
      </xdr:nvSpPr>
      <xdr:spPr>
        <a:xfrm>
          <a:off x="904875" y="4219575"/>
          <a:ext cx="161925" cy="161925"/>
        </a:xfrm>
        <a:prstGeom prst="star5">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180976</xdr:colOff>
      <xdr:row>30</xdr:row>
      <xdr:rowOff>76199</xdr:rowOff>
    </xdr:from>
    <xdr:to>
      <xdr:col>2</xdr:col>
      <xdr:colOff>485776</xdr:colOff>
      <xdr:row>35</xdr:row>
      <xdr:rowOff>76200</xdr:rowOff>
    </xdr:to>
    <xdr:sp macro="" textlink="">
      <xdr:nvSpPr>
        <xdr:cNvPr id="6" name="TextBox 5"/>
        <xdr:cNvSpPr txBox="1"/>
      </xdr:nvSpPr>
      <xdr:spPr>
        <a:xfrm>
          <a:off x="180976" y="5791199"/>
          <a:ext cx="1828800" cy="952501"/>
        </a:xfrm>
        <a:prstGeom prst="rect">
          <a:avLst/>
        </a:prstGeom>
        <a:solidFill>
          <a:schemeClr val="accent2"/>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HIGHEST DISCOUNT PERCENTAGE</a:t>
          </a:r>
        </a:p>
        <a:p>
          <a:endParaRPr lang="en-US" sz="1200" b="1">
            <a:solidFill>
              <a:schemeClr val="accent5">
                <a:lumMod val="20000"/>
                <a:lumOff val="80000"/>
              </a:schemeClr>
            </a:solidFill>
          </a:endParaRPr>
        </a:p>
        <a:p>
          <a:r>
            <a:rPr lang="en-US" sz="1600" b="1"/>
            <a:t>0.94</a:t>
          </a:r>
        </a:p>
      </xdr:txBody>
    </xdr:sp>
    <xdr:clientData/>
  </xdr:twoCellAnchor>
  <xdr:oneCellAnchor>
    <xdr:from>
      <xdr:col>3</xdr:col>
      <xdr:colOff>161925</xdr:colOff>
      <xdr:row>35</xdr:row>
      <xdr:rowOff>85724</xdr:rowOff>
    </xdr:from>
    <xdr:ext cx="9096375" cy="1201769"/>
    <xdr:sp macro="" textlink="">
      <xdr:nvSpPr>
        <xdr:cNvPr id="19" name="TextBox 18"/>
        <xdr:cNvSpPr txBox="1"/>
      </xdr:nvSpPr>
      <xdr:spPr>
        <a:xfrm flipH="1">
          <a:off x="2447925" y="6753224"/>
          <a:ext cx="9096375" cy="1201769"/>
        </a:xfrm>
        <a:prstGeom prst="rect">
          <a:avLst/>
        </a:prstGeom>
        <a:solidFill>
          <a:schemeClr val="accent2"/>
        </a:solidFill>
        <a:ln>
          <a:solidFill>
            <a:schemeClr val="accent5">
              <a:lumMod val="40000"/>
              <a:lumOff val="6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This</a:t>
          </a:r>
          <a:r>
            <a:rPr lang="en-US" sz="1100" baseline="0"/>
            <a:t> Dashboard shows the potential revenue of over a trillion which indicates that even with discount added,the availability of products is immense. </a:t>
          </a:r>
          <a:r>
            <a:rPr lang="en-US" sz="1100" b="1" baseline="0"/>
            <a:t>Especially in the category Electronics which contributes heavily to this figure.</a:t>
          </a:r>
        </a:p>
        <a:p>
          <a:endParaRPr lang="en-US" sz="1100" baseline="0"/>
        </a:p>
        <a:p>
          <a:r>
            <a:rPr lang="en-US" sz="1100" b="1" cap="none" spc="0" baseline="0">
              <a:ln w="0"/>
              <a:solidFill>
                <a:schemeClr val="tx1"/>
              </a:solidFill>
              <a:effectLst>
                <a:outerShdw blurRad="38100" dist="19050" dir="2700000" algn="tl" rotWithShape="0">
                  <a:schemeClr val="dk1">
                    <a:alpha val="40000"/>
                  </a:schemeClr>
                </a:outerShdw>
              </a:effectLst>
            </a:rPr>
            <a:t>The Category Electronics had high number of reviews and its avaerage rating is 4.08. </a:t>
          </a:r>
          <a:r>
            <a:rPr lang="en-US" sz="1100" b="0" cap="none" spc="0" baseline="0">
              <a:ln w="0"/>
              <a:solidFill>
                <a:schemeClr val="tx1"/>
              </a:solidFill>
              <a:effectLst>
                <a:outerShdw blurRad="38100" dist="19050" dir="2700000" algn="tl" rotWithShape="0">
                  <a:schemeClr val="dk1">
                    <a:alpha val="40000"/>
                  </a:schemeClr>
                </a:outerShdw>
              </a:effectLst>
            </a:rPr>
            <a:t>This indicates that the product category (electronics) has high engagement but has moderate satisfaction, therefore product team would need to investigate on the reason why it has moderate satisfaction.</a:t>
          </a:r>
          <a:endParaRPr lang="en-US" sz="1100"/>
        </a:p>
      </xdr:txBody>
    </xdr:sp>
    <xdr:clientData/>
  </xdr:oneCellAnchor>
  <xdr:twoCellAnchor editAs="oneCell">
    <xdr:from>
      <xdr:col>0</xdr:col>
      <xdr:colOff>133351</xdr:colOff>
      <xdr:row>10</xdr:row>
      <xdr:rowOff>0</xdr:rowOff>
    </xdr:from>
    <xdr:to>
      <xdr:col>3</xdr:col>
      <xdr:colOff>47625</xdr:colOff>
      <xdr:row>19</xdr:row>
      <xdr:rowOff>66675</xdr:rowOff>
    </xdr:to>
    <mc:AlternateContent xmlns:mc="http://schemas.openxmlformats.org/markup-compatibility/2006" xmlns:a14="http://schemas.microsoft.com/office/drawing/2010/main">
      <mc:Choice Requires="a14">
        <xdr:graphicFrame macro="">
          <xdr:nvGraphicFramePr>
            <xdr:cNvPr id="20" name="MAIN CATEGORY"/>
            <xdr:cNvGraphicFramePr/>
          </xdr:nvGraphicFramePr>
          <xdr:xfrm>
            <a:off x="0" y="0"/>
            <a:ext cx="0" cy="0"/>
          </xdr:xfrm>
          <a:graphic>
            <a:graphicData uri="http://schemas.microsoft.com/office/drawing/2010/slicer">
              <sle:slicer xmlns:sle="http://schemas.microsoft.com/office/drawing/2010/slicer" name="MAIN CATEGORY"/>
            </a:graphicData>
          </a:graphic>
        </xdr:graphicFrame>
      </mc:Choice>
      <mc:Fallback xmlns="">
        <xdr:sp macro="" textlink="">
          <xdr:nvSpPr>
            <xdr:cNvPr id="0" name=""/>
            <xdr:cNvSpPr>
              <a:spLocks noTextEdit="1"/>
            </xdr:cNvSpPr>
          </xdr:nvSpPr>
          <xdr:spPr>
            <a:xfrm>
              <a:off x="133351" y="1905000"/>
              <a:ext cx="2200274" cy="1781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4</xdr:row>
      <xdr:rowOff>114300</xdr:rowOff>
    </xdr:from>
    <xdr:to>
      <xdr:col>2</xdr:col>
      <xdr:colOff>533400</xdr:colOff>
      <xdr:row>9</xdr:row>
      <xdr:rowOff>171450</xdr:rowOff>
    </xdr:to>
    <mc:AlternateContent xmlns:mc="http://schemas.openxmlformats.org/markup-compatibility/2006" xmlns:a14="http://schemas.microsoft.com/office/drawing/2010/main">
      <mc:Choice Requires="a14">
        <xdr:graphicFrame macro="">
          <xdr:nvGraphicFramePr>
            <xdr:cNvPr id="25" name="DISCOUNT RANGE BUCKET"/>
            <xdr:cNvGraphicFramePr/>
          </xdr:nvGraphicFramePr>
          <xdr:xfrm>
            <a:off x="0" y="0"/>
            <a:ext cx="0" cy="0"/>
          </xdr:xfrm>
          <a:graphic>
            <a:graphicData uri="http://schemas.microsoft.com/office/drawing/2010/slicer">
              <sle:slicer xmlns:sle="http://schemas.microsoft.com/office/drawing/2010/slicer" name="DISCOUNT RANGE BUCKET"/>
            </a:graphicData>
          </a:graphic>
        </xdr:graphicFrame>
      </mc:Choice>
      <mc:Fallback xmlns="">
        <xdr:sp macro="" textlink="">
          <xdr:nvSpPr>
            <xdr:cNvPr id="0" name=""/>
            <xdr:cNvSpPr>
              <a:spLocks noTextEdit="1"/>
            </xdr:cNvSpPr>
          </xdr:nvSpPr>
          <xdr:spPr>
            <a:xfrm>
              <a:off x="228600" y="876300"/>
              <a:ext cx="1828800"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19</xdr:row>
      <xdr:rowOff>104775</xdr:rowOff>
    </xdr:from>
    <xdr:to>
      <xdr:col>17</xdr:col>
      <xdr:colOff>571500</xdr:colOff>
      <xdr:row>33</xdr:row>
      <xdr:rowOff>104775</xdr:rowOff>
    </xdr:to>
    <mc:AlternateContent xmlns:mc="http://schemas.openxmlformats.org/markup-compatibility/2006" xmlns:a14="http://schemas.microsoft.com/office/drawing/2010/main">
      <mc:Choice Requires="a14">
        <xdr:graphicFrame macro="">
          <xdr:nvGraphicFramePr>
            <xdr:cNvPr id="26" name="By Ratings"/>
            <xdr:cNvGraphicFramePr/>
          </xdr:nvGraphicFramePr>
          <xdr:xfrm>
            <a:off x="0" y="0"/>
            <a:ext cx="0" cy="0"/>
          </xdr:xfrm>
          <a:graphic>
            <a:graphicData uri="http://schemas.microsoft.com/office/drawing/2010/slicer">
              <sle:slicer xmlns:sle="http://schemas.microsoft.com/office/drawing/2010/slicer" name="By Ratings"/>
            </a:graphicData>
          </a:graphic>
        </xdr:graphicFrame>
      </mc:Choice>
      <mc:Fallback xmlns="">
        <xdr:sp macro="" textlink="">
          <xdr:nvSpPr>
            <xdr:cNvPr id="0" name=""/>
            <xdr:cNvSpPr>
              <a:spLocks noTextEdit="1"/>
            </xdr:cNvSpPr>
          </xdr:nvSpPr>
          <xdr:spPr>
            <a:xfrm>
              <a:off x="11696700" y="37242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504826</xdr:colOff>
      <xdr:row>31</xdr:row>
      <xdr:rowOff>104775</xdr:rowOff>
    </xdr:from>
    <xdr:to>
      <xdr:col>2</xdr:col>
      <xdr:colOff>95250</xdr:colOff>
      <xdr:row>32</xdr:row>
      <xdr:rowOff>185602</xdr:rowOff>
    </xdr:to>
    <xdr:pic>
      <xdr:nvPicPr>
        <xdr:cNvPr id="27" name="Picture 26"/>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66826" y="6010275"/>
          <a:ext cx="352424" cy="271327"/>
        </a:xfrm>
        <a:prstGeom prst="rect">
          <a:avLst/>
        </a:prstGeom>
      </xdr:spPr>
    </xdr:pic>
    <xdr:clientData/>
  </xdr:twoCellAnchor>
  <xdr:twoCellAnchor editAs="oneCell">
    <xdr:from>
      <xdr:col>2</xdr:col>
      <xdr:colOff>647700</xdr:colOff>
      <xdr:row>0</xdr:row>
      <xdr:rowOff>76200</xdr:rowOff>
    </xdr:from>
    <xdr:to>
      <xdr:col>4</xdr:col>
      <xdr:colOff>19050</xdr:colOff>
      <xdr:row>3</xdr:row>
      <xdr:rowOff>142875</xdr:rowOff>
    </xdr:to>
    <xdr:pic>
      <xdr:nvPicPr>
        <xdr:cNvPr id="28" name="Picture 27"/>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171700" y="76200"/>
          <a:ext cx="895350" cy="638175"/>
        </a:xfrm>
        <a:prstGeom prst="rect">
          <a:avLst/>
        </a:prstGeom>
      </xdr:spPr>
    </xdr:pic>
    <xdr:clientData/>
  </xdr:twoCellAnchor>
  <xdr:twoCellAnchor>
    <xdr:from>
      <xdr:col>1</xdr:col>
      <xdr:colOff>428625</xdr:colOff>
      <xdr:row>22</xdr:row>
      <xdr:rowOff>28575</xdr:rowOff>
    </xdr:from>
    <xdr:to>
      <xdr:col>1</xdr:col>
      <xdr:colOff>590550</xdr:colOff>
      <xdr:row>23</xdr:row>
      <xdr:rowOff>0</xdr:rowOff>
    </xdr:to>
    <xdr:sp macro="" textlink="">
      <xdr:nvSpPr>
        <xdr:cNvPr id="29" name="5-Point Star 28"/>
        <xdr:cNvSpPr/>
      </xdr:nvSpPr>
      <xdr:spPr>
        <a:xfrm>
          <a:off x="1190625" y="4219575"/>
          <a:ext cx="161925" cy="161925"/>
        </a:xfrm>
        <a:prstGeom prst="star5">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685800</xdr:colOff>
      <xdr:row>22</xdr:row>
      <xdr:rowOff>38100</xdr:rowOff>
    </xdr:from>
    <xdr:to>
      <xdr:col>2</xdr:col>
      <xdr:colOff>85725</xdr:colOff>
      <xdr:row>23</xdr:row>
      <xdr:rowOff>9525</xdr:rowOff>
    </xdr:to>
    <xdr:sp macro="" textlink="">
      <xdr:nvSpPr>
        <xdr:cNvPr id="30" name="5-Point Star 29"/>
        <xdr:cNvSpPr/>
      </xdr:nvSpPr>
      <xdr:spPr>
        <a:xfrm>
          <a:off x="1447800" y="4229100"/>
          <a:ext cx="161925" cy="161925"/>
        </a:xfrm>
        <a:prstGeom prst="star5">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200025</xdr:colOff>
      <xdr:row>22</xdr:row>
      <xdr:rowOff>47625</xdr:rowOff>
    </xdr:from>
    <xdr:to>
      <xdr:col>2</xdr:col>
      <xdr:colOff>361950</xdr:colOff>
      <xdr:row>23</xdr:row>
      <xdr:rowOff>19050</xdr:rowOff>
    </xdr:to>
    <xdr:sp macro="" textlink="">
      <xdr:nvSpPr>
        <xdr:cNvPr id="31" name="5-Point Star 30"/>
        <xdr:cNvSpPr/>
      </xdr:nvSpPr>
      <xdr:spPr>
        <a:xfrm>
          <a:off x="1724025" y="4238625"/>
          <a:ext cx="161925" cy="161925"/>
        </a:xfrm>
        <a:prstGeom prst="star5">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HP" refreshedDate="45835.492406597223" backgroundQuery="1" createdVersion="5" refreshedVersion="5" minRefreshableVersion="3" recordCount="0" supportSubquery="1" supportAdvancedDrill="1">
  <cacheSource type="external" connectionId="1"/>
  <cacheFields count="2">
    <cacheField name="[Measures].[Max of DISCOUNT PERCENTAGE]" caption="Max of DISCOUNT PERCENTAGE" numFmtId="0" hierarchy="13" level="32767"/>
    <cacheField name="[Table1].[MAIN CATEGORY].[MAIN CATEGORY]" caption="MAIN CATEGORY" numFmtId="0" level="1">
      <sharedItems count="9">
        <s v="Car&amp;Motorbike"/>
        <s v="Computers&amp;Accessories"/>
        <s v="Electronics"/>
        <s v="Health&amp;PersonalCare"/>
        <s v="Home&amp;Kitchen"/>
        <s v="HomeImprovement"/>
        <s v="MusicalInstruments"/>
        <s v="OfficeProducts"/>
        <s v="Toys&amp;Games"/>
      </sharedItems>
    </cacheField>
  </cacheFields>
  <cacheHierarchies count="16">
    <cacheHierarchy uniqueName="[Table1].[MAIN CATEGORY]" caption="MAIN CATEGORY" attribute="1" defaultMemberUniqueName="[Table1].[MAIN CATEGORY].[All]" allUniqueName="[Table1].[MAIN CATEGORY].[All]" dimensionUniqueName="[Table1]" displayFolder="" count="2" memberValueDatatype="130" unbalanced="0">
      <fieldsUsage count="2">
        <fieldUsage x="-1"/>
        <fieldUsage x="1"/>
      </fieldsUsage>
    </cacheHierarchy>
    <cacheHierarchy uniqueName="[Table1].[SECOND CATEGORY]" caption="SECOND CATEGORY" attribute="1" defaultMemberUniqueName="[Table1].[SECOND CATEGORY].[All]" allUniqueName="[Table1].[SECOND CATEGORY].[All]" dimensionUniqueName="[Table1]" displayFolder="" count="0" memberValueDatatype="130" unbalanced="0"/>
    <cacheHierarchy uniqueName="[Table1].[THIRD CATEGORY]" caption="THIRD CATEGORY" attribute="1" defaultMemberUniqueName="[Table1].[THIRD CATEGORY].[All]" allUniqueName="[Table1].[THIRD CATEGORY].[All]" dimensionUniqueName="[Table1]" displayFolder="" count="0" memberValueDatatype="130" unbalanced="0"/>
    <cacheHierarchy uniqueName="[Table1].[FOURTH CATEGORY]" caption="FOURTH CATEGORY" attribute="1" defaultMemberUniqueName="[Table1].[FOURTH CATEGORY].[All]" allUniqueName="[Table1].[FOURTH CATEGORY].[All]" dimensionUniqueName="[Table1]" displayFolder="" count="0" memberValueDatatype="130" unbalanced="0"/>
    <cacheHierarchy uniqueName="[Table1].[DISCOUNTED-PRICE]" caption="DISCOUNTED-PRICE" attribute="1" defaultMemberUniqueName="[Table1].[DISCOUNTED-PRICE].[All]" allUniqueName="[Table1].[DISCOUNTED-PRICE].[All]" dimensionUniqueName="[Table1]" displayFolder="" count="0" memberValueDatatype="5" unbalanced="0"/>
    <cacheHierarchy uniqueName="[Table1].[ACTUAL PRICE]" caption="ACTUAL PRICE" attribute="1" defaultMemberUniqueName="[Table1].[ACTUAL PRICE].[All]" allUniqueName="[Table1].[ACTUAL PRICE].[All]" dimensionUniqueName="[Table1]" displayFolder="" count="0" memberValueDatatype="130" unbalanced="0"/>
    <cacheHierarchy uniqueName="[Table1].[PRICE RANGE BUCKET]" caption="PRICE RANGE BUCKET" attribute="1" defaultMemberUniqueName="[Table1].[PRICE RANGE BUCKET].[All]" allUniqueName="[Table1].[PRICE RANGE BUCKET].[All]" dimensionUniqueName="[Table1]" displayFolder="" count="0" memberValueDatatype="130" unbalanced="0"/>
    <cacheHierarchy uniqueName="[Table1].[DISCOUNT PERCENTAGE]" caption="DISCOUNT PERCENTAGE" attribute="1" defaultMemberUniqueName="[Table1].[DISCOUNT PERCENTAGE].[All]" allUniqueName="[Table1].[DISCOUNT PERCENTAGE].[All]" dimensionUniqueName="[Table1]" displayFolder="" count="0" memberValueDatatype="5" unbalanced="0"/>
    <cacheHierarchy uniqueName="[Table1].[DISCOUNT RANGE BUCKET]" caption="DISCOUNT RANGE BUCKET" attribute="1" defaultMemberUniqueName="[Table1].[DISCOUNT RANGE BUCKET].[All]" allUniqueName="[Table1].[DISCOUNT RANGE BUCKET].[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130" unbalanced="0"/>
    <cacheHierarchy uniqueName="[Table1].[RATING COUNT]" caption="RATING COUNT" attribute="1" defaultMemberUniqueName="[Table1].[RATING COUNT].[All]" allUniqueName="[Table1].[RATING COUNT].[All]" dimensionUniqueName="[Table1]" displayFolder="" count="0" memberValueDatatype="20" unbalanced="0"/>
    <cacheHierarchy uniqueName="[Table1].[POTENTIAL REVENUE]" caption="POTENTIAL REVENUE" attribute="1" defaultMemberUniqueName="[Table1].[POTENTIAL REVENUE].[All]" allUniqueName="[Table1].[POTENTIAL REVENUE].[All]" dimensionUniqueName="[Table1]" displayFolder="" count="0" memberValueDatatype="130" unbalanced="0"/>
    <cacheHierarchy uniqueName="[Table1].[DISCOUNT 50%]" caption="DISCOUNT 50%" attribute="1" defaultMemberUniqueName="[Table1].[DISCOUNT 50%].[All]" allUniqueName="[Table1].[DISCOUNT 50%].[All]" dimensionUniqueName="[Table1]" displayFolder="" count="0" memberValueDatatype="20" unbalanced="0"/>
    <cacheHierarchy uniqueName="[Measures].[Max of DISCOUNT PERCENTAGE]" caption="Max of DISCOUNT PERCENTAGE" measure="1" displayFolder="" measureGroup="Table1" count="0" oneField="1">
      <fieldsUsage count="1">
        <fieldUsage x="0"/>
      </fieldsUsage>
      <extLst>
        <ext xmlns:x15="http://schemas.microsoft.com/office/spreadsheetml/2010/11/main" uri="{B97F6D7D-B522-45F9-BDA1-12C45D357490}">
          <x15:cacheHierarchy aggregatedColumn="7"/>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5835.492407060185" createdVersion="5" refreshedVersion="5" minRefreshableVersion="3" recordCount="1375">
  <cacheSource type="worksheet">
    <worksheetSource name="Table1"/>
  </cacheSource>
  <cacheFields count="13">
    <cacheField name="MAIN CATEGORY" numFmtId="0">
      <sharedItems count="9">
        <s v="Computers&amp;Accessories"/>
        <s v="Electronics"/>
        <s v="MusicalInstruments"/>
        <s v="OfficeProducts"/>
        <s v="Home&amp;Kitchen"/>
        <s v="HomeImprovement"/>
        <s v="Toys&amp;Games"/>
        <s v="Car&amp;Motorbike"/>
        <s v="Health&amp;PersonalCare"/>
      </sharedItems>
    </cacheField>
    <cacheField name="SECOND CATEGORY" numFmtId="0">
      <sharedItems count="29">
        <s v="Accessories&amp;Peripherals"/>
        <s v="NetworkingDevices"/>
        <s v="HomeTheater,TV&amp;Video"/>
        <s v="HomeAudio"/>
        <s v="WearableTechnology"/>
        <s v="Mobiles&amp;Accessories"/>
        <s v="Accessories"/>
        <s v="Headphones,Earbuds&amp;Accessories"/>
        <s v="ExternalDevices&amp;DataStorage"/>
        <s v="Microphones"/>
        <s v="GeneralPurposeBatteries&amp;BatteryChargers"/>
        <s v="OfficePaperProducts"/>
        <s v="CraftMaterials"/>
        <s v="Cameras&amp;Photography"/>
        <s v="OfficeElectronics"/>
        <s v="Printers,Inks&amp;Accessories"/>
        <s v="Monitors"/>
        <s v="Components"/>
        <s v="Electrical"/>
        <s v="Arts&amp;Crafts"/>
        <s v="PowerAccessories"/>
        <s v="Tablets"/>
        <s v="Laptops"/>
        <s v="Kitchen&amp;HomeAppliances"/>
        <s v="Heating,Cooling&amp;AirQuality"/>
        <s v="Kitchen&amp;Dining"/>
        <s v="HomeStorage&amp;Organization"/>
        <s v="CarAccessories"/>
        <s v="HomeMedicalSupplies&amp;Equipment"/>
      </sharedItems>
    </cacheField>
    <cacheField name="THIRD CATEGORY" numFmtId="0">
      <sharedItems containsBlank="1"/>
    </cacheField>
    <cacheField name="FOURTH CATEGORY" numFmtId="0">
      <sharedItems containsBlank="1"/>
    </cacheField>
    <cacheField name="DISCOUNTED-PRICE" numFmtId="165">
      <sharedItems containsSemiMixedTypes="0" containsString="0" containsNumber="1" minValue="39" maxValue="77990" count="550">
        <n v="399"/>
        <n v="199"/>
        <n v="329"/>
        <n v="154"/>
        <n v="149"/>
        <n v="176.63"/>
        <n v="229"/>
        <n v="499"/>
        <n v="299"/>
        <n v="219"/>
        <n v="350"/>
        <n v="159"/>
        <n v="349"/>
        <n v="13999"/>
        <n v="249"/>
        <n v="13490"/>
        <n v="970"/>
        <n v="279"/>
        <n v="59"/>
        <n v="11499"/>
        <n v="14999"/>
        <n v="179"/>
        <n v="389"/>
        <n v="599"/>
        <n v="99"/>
        <n v="899"/>
        <n v="32999"/>
        <n v="209"/>
        <n v="19999"/>
        <n v="999"/>
        <n v="333"/>
        <n v="507"/>
        <n v="309"/>
        <n v="1199"/>
        <n v="799"/>
        <n v="6999"/>
        <n v="230"/>
        <n v="649"/>
        <n v="15999"/>
        <n v="348"/>
        <n v="32990"/>
        <n v="139"/>
        <n v="263"/>
        <n v="7999"/>
        <n v="1599"/>
        <n v="26999"/>
        <n v="115"/>
        <n v="10901"/>
        <n v="1434"/>
        <n v="7299"/>
        <n v="325"/>
        <n v="29999"/>
        <n v="27999"/>
        <n v="30990"/>
        <n v="269"/>
        <n v="24999"/>
        <n v="18990"/>
        <n v="290"/>
        <n v="345"/>
        <n v="1099"/>
        <n v="719"/>
        <n v="849"/>
        <n v="21999"/>
        <n v="449"/>
        <n v="37999"/>
        <n v="7390"/>
        <n v="273.10000000000002"/>
        <n v="15990"/>
        <n v="210"/>
        <n v="1299"/>
        <n v="347"/>
        <n v="228"/>
        <n v="1499"/>
        <n v="8499"/>
        <n v="20990"/>
        <n v="9999"/>
        <n v="489"/>
        <n v="23999"/>
        <n v="689"/>
        <n v="1699"/>
        <n v="655"/>
        <n v="749"/>
        <n v="195"/>
        <n v="416"/>
        <n v="368"/>
        <n v="29990"/>
        <n v="339"/>
        <n v="15490"/>
        <n v="9490"/>
        <n v="637"/>
        <n v="1089"/>
        <n v="12499"/>
        <n v="1399"/>
        <n v="88"/>
        <n v="57.89"/>
        <n v="205"/>
        <n v="949"/>
        <n v="379"/>
        <n v="8990"/>
        <n v="486"/>
        <n v="5699"/>
        <n v="709"/>
        <n v="47990"/>
        <n v="320"/>
        <n v="129"/>
        <n v="225"/>
        <n v="547"/>
        <n v="259"/>
        <n v="239"/>
        <n v="467"/>
        <n v="11990"/>
        <n v="252"/>
        <n v="204"/>
        <n v="6490"/>
        <n v="235"/>
        <n v="42999"/>
        <n v="173"/>
        <n v="848.99"/>
        <n v="1249"/>
        <n v="213"/>
        <n v="598"/>
        <n v="31999"/>
        <n v="128.31"/>
        <n v="254"/>
        <n v="89"/>
        <n v="549"/>
        <n v="77990"/>
        <n v="182"/>
        <n v="96"/>
        <n v="54990"/>
        <n v="439"/>
        <n v="789"/>
        <n v="790"/>
        <n v="4699"/>
        <n v="18999"/>
        <n v="1990"/>
        <n v="2299"/>
        <n v="35999"/>
        <n v="8999"/>
        <n v="917"/>
        <n v="45999"/>
        <n v="119"/>
        <n v="21990"/>
        <n v="417.44"/>
        <n v="215"/>
        <n v="1289"/>
        <n v="609"/>
        <n v="1850"/>
        <n v="13990"/>
        <n v="185"/>
        <n v="218"/>
        <n v="893"/>
        <n v="10990"/>
        <n v="16999"/>
        <n v="699"/>
        <n v="2699"/>
        <n v="246"/>
        <n v="247"/>
        <n v="1369"/>
        <n v="24990"/>
        <n v="61999"/>
        <n v="24499"/>
        <n v="10499"/>
        <n v="197"/>
        <n v="1519"/>
        <n v="46999"/>
        <n v="1799"/>
        <n v="1998"/>
        <n v="1999"/>
        <n v="2049"/>
        <n v="6499"/>
        <n v="28999"/>
        <n v="569"/>
        <n v="1898"/>
        <n v="9499"/>
        <n v="959"/>
        <n v="1149"/>
        <n v="1219"/>
        <n v="18499"/>
        <n v="369"/>
        <n v="12999"/>
        <n v="2199"/>
        <n v="16499"/>
        <n v="3999"/>
        <n v="2998"/>
        <n v="15499"/>
        <n v="873"/>
        <n v="539"/>
        <n v="1075"/>
        <n v="529"/>
        <n v="4790"/>
        <n v="33999"/>
        <n v="10999"/>
        <n v="34999"/>
        <n v="2999"/>
        <n v="20999"/>
        <n v="22999"/>
        <n v="134"/>
        <n v="7499"/>
        <n v="1324"/>
        <n v="12490"/>
        <n v="17999"/>
        <n v="2099"/>
        <n v="337"/>
        <n v="251"/>
        <n v="95"/>
        <n v="4499"/>
        <n v="1989"/>
        <n v="4999"/>
        <n v="2499"/>
        <n v="79"/>
        <n v="2179"/>
        <n v="44999"/>
        <n v="2599"/>
        <n v="2799"/>
        <n v="3799"/>
        <n v="281"/>
        <n v="7998"/>
        <n v="120"/>
        <n v="7915"/>
        <n v="1055"/>
        <n v="150"/>
        <n v="474"/>
        <n v="265"/>
        <n v="37990"/>
        <n v="314"/>
        <n v="365"/>
        <n v="289"/>
        <n v="217"/>
        <n v="1220"/>
        <n v="475"/>
        <n v="798"/>
        <n v="266"/>
        <n v="50"/>
        <n v="130"/>
        <n v="4098"/>
        <n v="519"/>
        <n v="1295"/>
        <n v="1889"/>
        <n v="455"/>
        <n v="1059"/>
        <n v="717"/>
        <n v="39"/>
        <n v="889"/>
        <n v="191"/>
        <n v="522"/>
        <n v="681"/>
        <n v="429"/>
        <n v="100"/>
        <n v="1049"/>
        <n v="656"/>
        <n v="1109"/>
        <n v="169"/>
        <n v="157"/>
        <n v="479"/>
        <n v="1598"/>
        <n v="294"/>
        <n v="828"/>
        <n v="745"/>
        <n v="1549"/>
        <n v="1469"/>
        <n v="198"/>
        <n v="12000"/>
        <n v="6299"/>
        <n v="571"/>
        <n v="448"/>
        <n v="579"/>
        <n v="137"/>
        <n v="1495"/>
        <n v="440"/>
        <n v="1329"/>
        <n v="570"/>
        <n v="1529"/>
        <n v="190"/>
        <n v="729"/>
        <n v="480"/>
        <n v="238"/>
        <n v="1349"/>
        <n v="1792"/>
        <n v="3299"/>
        <n v="125"/>
        <n v="561"/>
        <n v="5599"/>
        <n v="69"/>
        <n v="478"/>
        <n v="425"/>
        <n v="378"/>
        <n v="1815"/>
        <n v="67"/>
        <n v="5799"/>
        <n v="4449"/>
        <n v="629"/>
        <n v="2595"/>
        <n v="90"/>
        <n v="1345"/>
        <n v="287"/>
        <n v="879"/>
        <n v="250"/>
        <n v="469"/>
        <n v="1187"/>
        <n v="328"/>
        <n v="114"/>
        <n v="1490"/>
        <n v="575"/>
        <n v="178"/>
        <n v="939"/>
        <n v="1439"/>
        <n v="175"/>
        <n v="3303"/>
        <n v="1890"/>
        <n v="310"/>
        <n v="1709"/>
        <n v="2025"/>
        <n v="900"/>
        <n v="2490"/>
        <n v="116"/>
        <n v="200"/>
        <n v="2649"/>
        <n v="596"/>
        <n v="330"/>
        <n v="1234"/>
        <n v="272"/>
        <n v="3498"/>
        <n v="10099"/>
        <n v="397"/>
        <n v="1679"/>
        <n v="354"/>
        <n v="10389"/>
        <n v="1409"/>
        <n v="5998"/>
        <n v="300"/>
        <n v="535"/>
        <n v="341"/>
        <n v="5899"/>
        <n v="1565"/>
        <n v="326"/>
        <n v="657"/>
        <n v="1995"/>
        <n v="1500"/>
        <n v="2640"/>
        <n v="5299"/>
        <n v="165"/>
        <n v="398"/>
        <n v="770"/>
        <n v="420"/>
        <n v="8349"/>
        <n v="3307"/>
        <n v="380"/>
        <n v="37247"/>
        <n v="298"/>
        <n v="293"/>
        <n v="1043"/>
        <n v="1464"/>
        <n v="625"/>
        <n v="1290"/>
        <n v="3600"/>
        <n v="6549"/>
        <n v="1625"/>
        <n v="5499"/>
        <n v="2148"/>
        <n v="3599"/>
        <n v="351"/>
        <n v="1614"/>
        <n v="678"/>
        <n v="809"/>
        <n v="1969"/>
        <n v="1665"/>
        <n v="3229"/>
        <n v="1260"/>
        <n v="3499"/>
        <n v="1321"/>
        <n v="775"/>
        <n v="3190"/>
        <n v="6199"/>
        <n v="1819"/>
        <n v="3249"/>
        <n v="1400"/>
        <n v="355"/>
        <n v="2169"/>
        <n v="653"/>
        <n v="4789"/>
        <n v="753"/>
        <n v="353"/>
        <n v="8799"/>
        <n v="2095"/>
        <n v="1498"/>
        <n v="3699"/>
        <n v="177"/>
        <n v="244"/>
        <n v="1959"/>
        <n v="319"/>
        <n v="9590"/>
        <n v="292"/>
        <n v="160"/>
        <n v="600"/>
        <n v="1130"/>
        <n v="3199"/>
        <n v="616"/>
        <n v="610"/>
        <n v="453"/>
        <n v="2464"/>
        <n v="2719"/>
        <n v="2088"/>
        <n v="2399"/>
        <n v="308"/>
        <n v="245"/>
        <n v="3569"/>
        <n v="2089"/>
        <n v="2339"/>
        <n v="784"/>
        <n v="1695"/>
        <n v="1448"/>
        <n v="6990"/>
        <n v="2698"/>
        <n v="1414"/>
        <n v="5999"/>
        <n v="9970"/>
        <n v="698"/>
        <n v="14400"/>
        <n v="664"/>
        <n v="260"/>
        <n v="1484"/>
        <n v="4280"/>
        <n v="189"/>
        <n v="1449"/>
        <n v="3657.66"/>
        <n v="1849"/>
        <n v="8199"/>
        <n v="1595"/>
        <n v="1182"/>
        <n v="1052"/>
        <n v="1547"/>
        <n v="510"/>
        <n v="1899"/>
        <n v="14499"/>
        <n v="950"/>
        <n v="7199"/>
        <n v="2439"/>
        <n v="7799"/>
        <n v="2899"/>
        <n v="9799"/>
        <n v="669"/>
        <n v="5890"/>
        <n v="9199"/>
        <n v="6236"/>
        <n v="2742"/>
        <n v="721"/>
        <n v="2903"/>
        <n v="1656"/>
        <n v="2079"/>
        <n v="3179"/>
        <n v="4799"/>
        <n v="948"/>
        <n v="850"/>
        <n v="3711"/>
        <n v="980"/>
        <n v="3349"/>
        <n v="2249"/>
        <n v="1235"/>
        <n v="6800"/>
        <n v="1069"/>
        <n v="2092"/>
        <n v="3859"/>
        <n v="1804"/>
        <n v="6525"/>
        <n v="1189"/>
        <n v="2590"/>
        <n v="998"/>
        <n v="998.06"/>
        <n v="8886"/>
        <n v="4995"/>
        <n v="395"/>
        <n v="635"/>
        <n v="27900"/>
        <n v="193"/>
        <n v="2449"/>
        <n v="2286"/>
        <n v="5395"/>
        <n v="559"/>
        <n v="660"/>
        <n v="419"/>
        <n v="7349"/>
        <n v="1474"/>
        <n v="3645"/>
        <n v="375"/>
        <n v="2976"/>
        <n v="2575"/>
        <n v="1649"/>
        <n v="765"/>
        <n v="587"/>
        <n v="12609"/>
        <n v="640"/>
        <n v="979"/>
        <n v="5365"/>
        <n v="929"/>
        <n v="3710"/>
        <n v="2033"/>
        <n v="9495"/>
        <n v="2790"/>
        <n v="645"/>
        <n v="2237.81"/>
        <n v="8699"/>
        <n v="42990"/>
        <n v="825"/>
        <n v="161"/>
        <n v="697"/>
        <n v="688"/>
        <n v="6850"/>
        <n v="1090"/>
        <n v="295"/>
        <n v="2949"/>
        <n v="335"/>
        <n v="778"/>
        <n v="1190"/>
        <n v="6120"/>
        <n v="3685"/>
        <n v="8599"/>
        <n v="1110"/>
        <n v="759"/>
        <n v="2669"/>
        <n v="85"/>
        <n v="5865"/>
        <n v="1928"/>
        <n v="1456"/>
        <n v="4899"/>
        <n v="3290"/>
        <n v="5490"/>
        <n v="3041.67"/>
        <n v="1745"/>
        <n v="3180"/>
        <n v="390"/>
        <n v="1624"/>
        <n v="184"/>
        <n v="445"/>
        <n v="1601"/>
        <n v="231"/>
        <n v="6790"/>
        <n v="1982.84"/>
        <n v="1180"/>
        <n v="253"/>
        <n v="457"/>
        <n v="426"/>
        <n v="2320"/>
        <n v="1563"/>
        <n v="3487.77"/>
        <n v="498"/>
        <n v="2695"/>
        <n v="2280"/>
        <n v="2219"/>
        <n v="2863"/>
      </sharedItems>
    </cacheField>
    <cacheField name="ACTUAL PRICE" numFmtId="165">
      <sharedItems containsMixedTypes="1" containsNumber="1" minValue="39" maxValue="85000"/>
    </cacheField>
    <cacheField name="PRICE RANGE BUCKET " numFmtId="165">
      <sharedItems/>
    </cacheField>
    <cacheField name="DISCOUNT PERCENTAGE" numFmtId="9">
      <sharedItems containsSemiMixedTypes="0" containsString="0" containsNumber="1" minValue="0" maxValue="0.94"/>
    </cacheField>
    <cacheField name="DISCOUNT RANGE BUCKET" numFmtId="9">
      <sharedItems count="2">
        <s v="50% or More"/>
        <s v="&lt;50%"/>
      </sharedItems>
    </cacheField>
    <cacheField name="RATING" numFmtId="0">
      <sharedItems containsMixedTypes="1" containsNumber="1" minValue="2" maxValue="5" count="26">
        <n v="4.2"/>
        <n v="4"/>
        <n v="3.9"/>
        <n v="4.0999999999999996"/>
        <n v="4.3"/>
        <n v="4.4000000000000004"/>
        <n v="4.5"/>
        <n v="3.7"/>
        <n v="3.3"/>
        <n v="3.6"/>
        <n v="3.4"/>
        <n v="3.8"/>
        <n v="3.5"/>
        <n v="4.5999999999999996"/>
        <n v="3.2"/>
        <n v="5"/>
        <n v="4.7"/>
        <n v="3"/>
        <n v="2.8"/>
        <n v="3.1"/>
        <n v="4.8"/>
        <n v="2.2999999999999998"/>
        <s v="|"/>
        <n v="2"/>
        <n v="2.6"/>
        <n v="2.9"/>
      </sharedItems>
    </cacheField>
    <cacheField name="RATING COUNT" numFmtId="164">
      <sharedItems containsString="0" containsBlank="1" containsNumber="1" containsInteger="1" minValue="2" maxValue="426973" count="1144">
        <n v="24269"/>
        <n v="43994"/>
        <n v="7928"/>
        <n v="94363"/>
        <n v="16905"/>
        <n v="24871"/>
        <n v="15188"/>
        <n v="30411"/>
        <n v="179691"/>
        <n v="13391"/>
        <n v="426973"/>
        <n v="2262"/>
        <n v="4768"/>
        <n v="18757"/>
        <n v="32840"/>
        <n v="13045"/>
        <n v="11976"/>
        <n v="815"/>
        <n v="10962"/>
        <n v="16299"/>
        <n v="9378"/>
        <n v="4703"/>
        <n v="12153"/>
        <n v="34899"/>
        <n v="2766"/>
        <n v="184"/>
        <n v="20850"/>
        <n v="74976"/>
        <n v="1934"/>
        <n v="974"/>
        <n v="355"/>
        <n v="1075"/>
        <n v="13552"/>
        <n v="576"/>
        <n v="7298"/>
        <n v="462"/>
        <n v="107687"/>
        <n v="27151"/>
        <n v="12093"/>
        <n v="9792"/>
        <n v="8131"/>
        <n v="493"/>
        <n v="92595"/>
        <n v="24780"/>
        <n v="8188"/>
        <n v="4003"/>
        <n v="314"/>
        <n v="2960"/>
        <n v="656"/>
        <n v="7064"/>
        <n v="2201"/>
        <n v="7109"/>
        <n v="1313"/>
        <n v="29746"/>
        <n v="45238"/>
        <n v="450"/>
        <n v="457"/>
        <n v="2727"/>
        <n v="20053"/>
        <n v="149"/>
        <n v="210"/>
        <n v="7732"/>
        <n v="1780"/>
        <n v="602"/>
        <n v="1423"/>
        <n v="398"/>
        <n v="536"/>
        <n v="32"/>
        <n v="902"/>
        <n v="28791"/>
        <n v="10576"/>
        <n v="127"/>
        <n v="10134"/>
        <n v="425"/>
        <n v="6659"/>
        <n v="1977"/>
        <n v="1079"/>
        <n v="1097"/>
        <n v="22420"/>
        <n v="1045"/>
        <n v="4145"/>
        <n v="6547"/>
        <n v="1588"/>
        <n v="13120"/>
        <n v="2806"/>
        <n v="766"/>
        <n v="3587"/>
        <n v="2581"/>
        <n v="1035"/>
        <n v="505"/>
        <n v="1717"/>
        <n v="590"/>
        <n v="1121"/>
        <n v="132"/>
        <n v="1951"/>
        <n v="37"/>
        <n v="592"/>
        <n v="1259"/>
        <n v="28638"/>
        <n v="12835"/>
        <n v="1269"/>
        <n v="284"/>
        <n v="69538"/>
        <n v="3295"/>
        <n v="81"/>
        <n v="42301"/>
        <n v="1376"/>
        <n v="3664"/>
        <n v="2685"/>
        <n v="285"/>
        <n v="179692"/>
        <n v="6088"/>
        <n v="1383"/>
        <n v="5492"/>
        <n v="919"/>
        <n v="30023"/>
        <n v="387"/>
        <n v="211"/>
        <n v="4642"/>
        <n v="12"/>
        <n v="10480"/>
        <n v="24"/>
        <n v="254"/>
        <n v="3565"/>
        <n v="6255"/>
        <n v="57"/>
        <n v="577"/>
        <n v="1193"/>
        <n v="343"/>
        <n v="1611"/>
        <n v="6558"/>
        <n v="23169"/>
        <n v="2651"/>
        <n v="5"/>
        <n v="612"/>
        <n v="313"/>
        <n v="2957"/>
        <n v="6736"/>
        <n v="5451"/>
        <n v="10911"/>
        <n v="350"/>
        <n v="178817"/>
        <n v="490"/>
        <n v="491"/>
        <n v="61"/>
        <n v="7318"/>
        <n v="789"/>
        <n v="407"/>
        <n v="2399"/>
        <n v="2640"/>
        <n v="839"/>
        <n v="44054"/>
        <n v="3231"/>
        <n v="64"/>
        <n v="8314"/>
        <n v="2249"/>
        <n v="339"/>
        <n v="27"/>
        <n v="197"/>
        <n v="74977"/>
        <n v="8583"/>
        <n v="928"/>
        <n v="110"/>
        <n v="6753"/>
        <n v="1237"/>
        <n v="18872"/>
        <n v="356"/>
        <n v="1161"/>
        <n v="1508"/>
        <n v="7636"/>
        <n v="246"/>
        <n v="479"/>
        <n v="910"/>
        <n v="5626"/>
        <n v="14184"/>
        <n v="25177"/>
        <n v="21252"/>
        <n v="567"/>
        <n v="466"/>
        <n v="474"/>
        <n v="431"/>
        <n v="242"/>
        <n v="2905"/>
        <n v="12091"/>
        <n v="1236"/>
        <n v="1335"/>
        <n v="295"/>
        <n v="5935"/>
        <n v="323"/>
        <n v="185"/>
        <n v="2117"/>
        <n v="1796"/>
        <n v="4296"/>
        <n v="34540"/>
        <n v="8714"/>
        <n v="103"/>
        <n v="224"/>
        <n v="4702"/>
        <n v="85"/>
        <n v="35877"/>
        <n v="897"/>
        <n v="282"/>
        <n v="513"/>
        <n v="6347"/>
        <n v="3300"/>
        <n v="23"/>
        <n v="51"/>
        <n v="708"/>
        <n v="1657"/>
        <n v="523"/>
        <m/>
        <n v="121"/>
        <n v="1001"/>
        <n v="112"/>
        <n v="3022"/>
        <n v="73"/>
        <n v="1029"/>
        <n v="1555"/>
        <n v="47"/>
        <n v="14896"/>
        <n v="1712"/>
        <n v="214"/>
        <n v="7"/>
        <n v="41"/>
        <n v="25"/>
        <n v="163"/>
        <n v="87"/>
        <n v="2165"/>
        <n v="1510"/>
        <n v="106"/>
        <n v="129"/>
        <n v="3049"/>
        <n v="390"/>
        <n v="621"/>
        <n v="265"/>
        <n v="838"/>
        <n v="143"/>
        <n v="151"/>
        <n v="200"/>
        <n v="227"/>
        <n v="538"/>
        <n v="171"/>
        <n v="27508"/>
        <n v="1454"/>
        <n v="2951"/>
        <n v="3518"/>
        <n v="136"/>
        <n v="301"/>
        <n v="19763"/>
        <n v="1902"/>
        <n v="13937"/>
        <n v="27696"/>
        <n v="17831"/>
        <n v="178912"/>
        <n v="7807"/>
        <n v="17415"/>
        <n v="67259"/>
        <n v="10689"/>
        <n v="128311"/>
        <n v="21796"/>
        <n v="192590"/>
        <n v="58162"/>
        <n v="12796"/>
        <n v="14282"/>
        <n v="363713"/>
        <n v="15970"/>
        <n v="46399"/>
        <n v="8891"/>
        <n v="30254"/>
        <n v="22636"/>
        <n v="22318"/>
        <n v="18998"/>
        <n v="29471"/>
        <n v="21350"/>
        <n v="24270"/>
        <n v="313836"/>
        <n v="14185"/>
        <n v="17159"/>
        <n v="5179"/>
        <n v="43993"/>
        <n v="19252"/>
        <n v="1680"/>
        <n v="13246"/>
        <n v="14648"/>
        <n v="32916"/>
        <n v="25824"/>
        <n v="7462"/>
        <n v="37817"/>
        <n v="94364"/>
        <n v="20311"/>
        <n v="69622"/>
        <n v="3382"/>
        <n v="140036"/>
        <n v="8599"/>
        <n v="24870"/>
        <n v="42641"/>
        <n v="4390"/>
        <n v="1396"/>
        <n v="18202"/>
        <n v="11029"/>
        <n v="1786"/>
        <n v="7222"/>
        <n v="83996"/>
        <n v="18678"/>
        <n v="15189"/>
        <n v="48449"/>
        <n v="1315"/>
        <n v="5999"/>
        <n v="50772"/>
        <n v="14404"/>
        <n v="11339"/>
        <n v="3626"/>
        <n v="32625"/>
        <n v="161679"/>
        <n v="16685"/>
        <n v="30907"/>
        <n v="26603"/>
        <n v="67950"/>
        <n v="9499"/>
        <n v="1777"/>
        <n v="58506"/>
        <n v="2263"/>
        <n v="17833"/>
        <n v="7779"/>
        <n v="17129"/>
        <n v="4969"/>
        <n v="154"/>
        <n v="4415"/>
        <n v="31539"/>
        <n v="6129"/>
        <n v="3234"/>
        <n v="313832"/>
        <n v="20879"/>
        <n v="2646"/>
        <n v="28978"/>
        <n v="3145"/>
        <n v="9377"/>
        <n v="192589"/>
        <n v="16557"/>
        <n v="21916"/>
        <n v="29472"/>
        <n v="1949"/>
        <n v="2351"/>
        <n v="19253"/>
        <n v="2180"/>
        <n v="7571"/>
        <n v="18654"/>
        <n v="3197"/>
        <n v="26880"/>
        <n v="56098"/>
        <n v="31822"/>
        <n v="7148"/>
        <n v="3492"/>
        <n v="67260"/>
        <n v="27704"/>
        <n v="92588"/>
        <n v="240"/>
        <n v="758"/>
        <n v="828"/>
        <n v="22638"/>
        <n v="2147"/>
        <n v="596"/>
        <n v="2451"/>
        <n v="1475"/>
        <n v="104"/>
        <n v="6662"/>
        <n v="8380"/>
        <n v="3075"/>
        <n v="14266"/>
        <n v="38879"/>
        <n v="97175"/>
        <n v="119"/>
        <n v="10833"/>
        <n v="1641"/>
        <n v="4740"/>
        <n v="8866"/>
        <n v="8399"/>
        <n v="125"/>
        <n v="38"/>
        <n v="4674"/>
        <n v="412"/>
        <n v="681"/>
        <n v="36384"/>
        <n v="6491"/>
        <n v="10229"/>
        <n v="1801"/>
        <n v="305"/>
        <n v="2352"/>
        <n v="714"/>
        <n v="20052"/>
        <n v="465"/>
        <n v="27790"/>
        <n v="245"/>
        <n v="276"/>
        <n v="17161"/>
        <n v="14"/>
        <n v="14560"/>
        <n v="3156"/>
        <n v="9340"/>
        <n v="768"/>
        <n v="4971"/>
        <n v="1526"/>
        <n v="363711"/>
        <n v="136954"/>
        <n v="27709"/>
        <n v="253105"/>
        <n v="61314"/>
        <n v="7354"/>
        <n v="180998"/>
        <n v="690"/>
        <n v="67262"/>
        <n v="141841"/>
        <n v="24791"/>
        <n v="21764"/>
        <n v="192587"/>
        <n v="107151"/>
        <n v="21797"/>
        <n v="92995"/>
        <n v="8751"/>
        <n v="14283"/>
        <n v="64273"/>
        <n v="54315"/>
        <n v="1597"/>
        <n v="77027"/>
        <n v="28829"/>
        <n v="29478"/>
        <n v="33176"/>
        <n v="68664"/>
        <n v="28030"/>
        <n v="5792"/>
        <n v="14778"/>
        <n v="91770"/>
        <n v="17162"/>
        <n v="206"/>
        <n v="33717"/>
        <n v="50810"/>
        <n v="3369"/>
        <n v="11827"/>
        <n v="15295"/>
        <n v="27139"/>
        <n v="9504"/>
        <n v="30058"/>
        <n v="69619"/>
        <n v="109864"/>
        <n v="5760"/>
        <n v="49551"/>
        <n v="161677"/>
        <n v="21372"/>
        <n v="140035"/>
        <n v="7199"/>
        <n v="15233"/>
        <n v="55747"/>
        <n v="14961"/>
        <n v="9275"/>
        <n v="28324"/>
        <n v="644"/>
        <n v="18139"/>
        <n v="7203"/>
        <n v="13568"/>
        <n v="3390"/>
        <n v="103052"/>
        <n v="12179"/>
        <n v="12958"/>
        <n v="8258"/>
        <n v="11716"/>
        <n v="35024"/>
        <n v="55192"/>
        <n v="119466"/>
        <n v="9638"/>
        <n v="33735"/>
        <n v="3044"/>
        <n v="33584"/>
        <n v="1779"/>
        <n v="26556"/>
        <n v="25903"/>
        <n v="53464"/>
        <n v="48448"/>
        <n v="5176"/>
        <n v="8614"/>
        <n v="60026"/>
        <n v="3066"/>
        <n v="2102"/>
        <n v="34852"/>
        <n v="426972"/>
        <n v="8618"/>
        <n v="4018"/>
        <n v="11687"/>
        <n v="11015"/>
        <n v="95116"/>
        <n v="23022"/>
        <n v="67951"/>
        <n v="4426"/>
        <n v="4567"/>
        <n v="13797"/>
        <n v="15137"/>
        <n v="156638"/>
        <n v="9344"/>
        <n v="4875"/>
        <n v="20881"/>
        <n v="4744"/>
        <n v="12452"/>
        <n v="17810"/>
        <n v="53648"/>
        <n v="2014"/>
        <n v="5958"/>
        <n v="38221"/>
        <n v="64705"/>
        <n v="17348"/>
        <n v="87798"/>
        <n v="24432"/>
        <n v="189104"/>
        <n v="93112"/>
        <n v="47521"/>
        <n v="27201"/>
        <n v="31534"/>
        <n v="6537"/>
        <n v="21010"/>
        <n v="3517"/>
        <n v="63899"/>
        <n v="5730"/>
        <n v="25488"/>
        <n v="54405"/>
        <n v="122478"/>
        <n v="7241"/>
        <n v="20457"/>
        <n v="8610"/>
        <n v="1087"/>
        <n v="1540"/>
        <n v="401"/>
        <n v="9385"/>
        <n v="3454"/>
        <n v="15790"/>
        <n v="14969"/>
        <n v="42139"/>
        <n v="989"/>
        <n v="19624"/>
        <n v="3201"/>
        <n v="30469"/>
        <n v="9940"/>
        <n v="7758"/>
        <n v="68409"/>
        <n v="3095"/>
        <n v="903"/>
        <n v="25771"/>
        <n v="273189"/>
        <n v="3785"/>
        <n v="2866"/>
        <n v="27223"/>
        <n v="82356"/>
        <n v="5719"/>
        <n v="1690"/>
        <n v="8372"/>
        <n v="7113"/>
        <n v="2804"/>
        <n v="1986"/>
        <n v="26194"/>
        <n v="15783"/>
        <n v="8053"/>
        <n v="2809"/>
        <n v="25910"/>
        <n v="1173"/>
        <n v="6422"/>
        <n v="241"/>
        <n v="14629"/>
        <n v="1528"/>
        <n v="15032"/>
        <n v="69585"/>
        <n v="14371"/>
        <n v="3182"/>
        <n v="25886"/>
        <n v="4736"/>
        <n v="73005"/>
        <n v="20398"/>
        <n v="2125"/>
        <n v="11330"/>
        <n v="27441"/>
        <n v="255"/>
        <n v="23174"/>
        <n v="20218"/>
        <n v="11074"/>
        <n v="25607"/>
        <n v="41226"/>
        <n v="18331"/>
        <n v="388"/>
        <n v="8656"/>
        <n v="92925"/>
        <n v="17394"/>
        <n v="9169"/>
        <n v="1030"/>
        <n v="50273"/>
        <n v="6742"/>
        <n v="1208"/>
        <n v="1933"/>
        <n v="25006"/>
        <n v="33434"/>
        <n v="6301"/>
        <n v="22618"/>
        <n v="20342"/>
        <n v="7429"/>
        <n v="26423"/>
        <n v="31305"/>
        <n v="11213"/>
        <n v="10174"/>
        <n v="17413"/>
        <n v="6676"/>
        <n v="8076"/>
        <n v="18656"/>
        <n v="31599"/>
        <n v="13971"/>
        <n v="2492"/>
        <n v="575"/>
        <n v="2523"/>
        <n v="352"/>
        <n v="1662"/>
        <n v="7352"/>
        <n v="3441"/>
        <n v="93"/>
        <n v="40895"/>
        <n v="11006"/>
        <n v="8938"/>
        <n v="4308"/>
        <n v="107686"/>
        <n v="10652"/>
        <n v="5036"/>
        <n v="5057"/>
        <n v="8537"/>
        <n v="2450"/>
        <n v="676"/>
        <n v="9998"/>
        <n v="5852"/>
        <n v="362"/>
        <n v="205052"/>
        <n v="9090"/>
        <n v="4099"/>
        <n v="12966"/>
        <n v="4428"/>
        <n v="5692"/>
        <n v="21"/>
        <n v="1880"/>
        <n v="21762"/>
        <n v="22375"/>
        <n v="2453"/>
        <n v="13544"/>
        <n v="10976"/>
        <n v="3061"/>
        <n v="2272"/>
        <n v="7601"/>
        <n v="4219"/>
        <n v="42775"/>
        <n v="5556"/>
        <n v="12375"/>
        <n v="5882"/>
        <n v="10443"/>
        <n v="434"/>
        <n v="1913"/>
        <n v="3029"/>
        <n v="2628"/>
        <n v="10718"/>
        <n v="6233"/>
        <n v="10541"/>
        <n v="10751"/>
        <n v="817"/>
        <n v="3606"/>
        <n v="357"/>
        <n v="10170"/>
        <n v="4598"/>
        <n v="1271"/>
        <n v="3219"/>
        <n v="4541"/>
        <n v="76042"/>
        <n v="485"/>
        <n v="44696"/>
        <n v="8566"/>
        <n v="13049"/>
        <n v="16680"/>
        <n v="97174"/>
        <n v="3686"/>
        <n v="594"/>
        <n v="12185"/>
        <n v="2623"/>
        <n v="9701"/>
        <n v="15867"/>
        <n v="10725"/>
        <n v="3025"/>
        <n v="5736"/>
        <n v="72563"/>
        <n v="1026"/>
        <n v="2043"/>
        <n v="4149"/>
        <n v="74"/>
        <n v="41398"/>
        <n v="5195"/>
        <n v="2284"/>
        <n v="427"/>
        <n v="1367"/>
        <n v="13199"/>
        <n v="30355"/>
        <n v="2868"/>
        <n v="670"/>
        <n v="3530"/>
        <n v="6183"/>
        <n v="419"/>
        <n v="7317"/>
        <n v="45237"/>
        <n v="1092"/>
        <n v="2493"/>
        <n v="12679"/>
        <n v="4199"/>
        <n v="14403"/>
        <n v="11113"/>
        <n v="10773"/>
        <n v="13944"/>
        <n v="10760"/>
        <n v="25996"/>
        <n v="16146"/>
        <n v="8280"/>
        <n v="14237"/>
        <n v="20668"/>
        <n v="1674"/>
        <n v="7689"/>
        <n v="5554"/>
        <n v="3344"/>
        <n v="2886"/>
        <n v="98250"/>
        <n v="75"/>
        <n v="2585"/>
        <n v="5072"/>
        <n v="5985"/>
        <n v="9427"/>
        <n v="2301"/>
        <n v="2535"/>
        <n v="691"/>
        <n v="2740"/>
        <n v="3482"/>
        <n v="6199"/>
        <n v="1667"/>
        <n v="4723"/>
        <n v="22860"/>
        <n v="13572"/>
        <n v="16182"/>
        <n v="2908"/>
        <n v="2375"/>
        <n v="4951"/>
        <n v="408"/>
        <n v="1926"/>
        <n v="4798"/>
        <n v="7333"/>
        <n v="3652"/>
        <n v="2515"/>
        <n v="4959"/>
        <n v="2111"/>
        <n v="1462"/>
        <n v="91188"/>
        <n v="418"/>
        <n v="1552"/>
        <n v="25262"/>
        <n v="123365"/>
        <n v="13300"/>
        <n v="18543"/>
        <n v="3578"/>
        <n v="2031"/>
        <n v="44994"/>
        <n v="270563"/>
        <n v="31783"/>
        <n v="2602"/>
        <n v="63350"/>
        <n v="54032"/>
        <n v="15592"/>
        <n v="4859"/>
        <n v="14120"/>
        <n v="8427"/>
        <n v="23316"/>
        <n v="6530"/>
        <n v="11924"/>
        <n v="2961"/>
        <n v="23484"/>
        <n v="21783"/>
        <n v="14030"/>
        <n v="6398"/>
        <n v="44050"/>
        <n v="24247"/>
        <n v="41349"/>
        <n v="1074"/>
        <n v="1163"/>
        <n v="257"/>
        <n v="36017"/>
        <n v="8090"/>
        <n v="31388"/>
        <n v="5380"/>
        <n v="37974"/>
        <n v="17218"/>
        <n v="900"/>
        <n v="976"/>
        <n v="4927"/>
        <n v="3543"/>
        <n v="2732"/>
        <n v="14368"/>
        <n v="39724"/>
        <n v="9791"/>
        <n v="2891"/>
        <n v="2446"/>
        <n v="25340"/>
        <n v="3096"/>
        <n v="4"/>
        <n v="40106"/>
        <n v="13029"/>
        <n v="291"/>
        <n v="15453"/>
        <n v="604"/>
        <n v="46647"/>
        <n v="3233"/>
        <n v="1282"/>
        <n v="70"/>
        <n v="26164"/>
        <n v="16166"/>
        <n v="35693"/>
        <n v="14391"/>
        <n v="7946"/>
        <n v="1765"/>
        <n v="14062"/>
        <n v="15646"/>
        <n v="111"/>
        <n v="9695"/>
        <n v="1772"/>
        <n v="11499"/>
        <n v="2162"/>
        <n v="19621"/>
        <n v="19998"/>
        <n v="1051"/>
        <n v="1716"/>
        <n v="32931"/>
        <n v="17424"/>
        <n v="1889"/>
        <n v="10324"/>
        <n v="5355"/>
        <n v="3366"/>
        <n v="1017"/>
        <n v="787"/>
        <n v="18462"/>
        <n v="629"/>
        <n v="15276"/>
        <n v="2981"/>
        <n v="2466"/>
        <n v="7949"/>
        <n v="95"/>
        <n v="1558"/>
        <n v="26543"/>
        <n v="3688"/>
        <n v="4383"/>
        <n v="478"/>
        <n v="237"/>
        <n v="124"/>
        <n v="14667"/>
        <n v="6"/>
        <n v="4244"/>
        <n v="12999"/>
        <n v="311"/>
        <n v="4238"/>
        <n v="2781"/>
        <n v="10907"/>
        <n v="13250"/>
        <n v="43070"/>
        <n v="11828"/>
        <n v="1240"/>
        <n v="20869"/>
        <n v="441"/>
        <n v="1034"/>
        <n v="37126"/>
        <n v="6355"/>
        <n v="13165"/>
        <n v="1646"/>
        <n v="17994"/>
        <n v="610"/>
        <n v="13406"/>
        <n v="53803"/>
        <n v="546"/>
        <n v="5292"/>
        <n v="444"/>
        <n v="4584"/>
        <n v="14947"/>
        <n v="1559"/>
        <n v="1660"/>
        <n v="28629"/>
        <n v="8446"/>
        <n v="11199"/>
        <n v="1118"/>
        <n v="11"/>
        <n v="4353"/>
        <n v="14290"/>
        <n v="3036"/>
        <n v="1296"/>
        <n v="19"/>
        <n v="97"/>
        <n v="1771"/>
        <n v="15034"/>
        <n v="3242"/>
        <n v="2832"/>
        <n v="1498"/>
        <n v="1191"/>
        <n v="4049"/>
        <n v="3160"/>
        <n v="9650"/>
        <n v="3846"/>
        <n v="290"/>
        <n v="2206"/>
        <n v="9349"/>
        <n v="578"/>
        <n v="9331"/>
        <n v="3837"/>
        <n v="11456"/>
        <n v="49"/>
        <n v="4978"/>
        <n v="1996"/>
        <n v="1811"/>
        <n v="2198"/>
        <n v="13127"/>
        <n v="5865"/>
        <n v="1067"/>
        <n v="4881"/>
        <n v="11217"/>
        <n v="43"/>
        <n v="4664"/>
        <n v="2112"/>
        <n v="2737"/>
        <n v="9019"/>
        <n v="10234"/>
        <n v="550"/>
        <n v="28"/>
        <n v="1353"/>
        <n v="2138"/>
        <n v="1679"/>
        <n v="12837"/>
        <n v="8873"/>
        <n v="7681"/>
        <n v="322"/>
        <n v="9772"/>
        <n v="18497"/>
        <n v="53"/>
        <n v="1728"/>
        <n v="2877"/>
        <n v="250"/>
        <n v="5178"/>
        <n v="79"/>
        <n v="4157"/>
        <n v="29"/>
        <n v="4580"/>
        <n v="1404"/>
        <n v="2810"/>
        <n v="1729"/>
        <n v="2116"/>
        <n v="463"/>
        <n v="54"/>
        <n v="7229"/>
        <n v="3842"/>
        <n v="646"/>
        <n v="1802"/>
        <n v="252"/>
        <n v="780"/>
        <n v="2026"/>
        <n v="5911"/>
        <n v="1964"/>
        <n v="8958"/>
        <n v="13251"/>
        <n v="1393"/>
        <n v="13"/>
        <n v="16020"/>
        <n v="1470"/>
        <n v="3663"/>
        <n v="638"/>
        <n v="3552"/>
        <n v="11148"/>
        <n v="2449"/>
        <n v="2299"/>
        <n v="6027"/>
        <n v="461"/>
        <n v="743"/>
        <n v="328"/>
        <n v="942"/>
        <n v="3815"/>
        <n v="7988"/>
        <n v="925"/>
        <n v="4370"/>
        <n v="7619"/>
        <n v="2593"/>
        <n v="63"/>
        <n v="296"/>
        <n v="1954"/>
        <n v="959"/>
        <n v="1015"/>
        <n v="3973"/>
        <n v="2300"/>
        <n v="203"/>
        <n v="10308"/>
        <n v="992"/>
        <n v="4716"/>
        <n v="166"/>
        <n v="303"/>
        <n v="562"/>
        <n v="8095"/>
        <n v="109"/>
        <n v="15382"/>
        <n v="5137"/>
        <n v="618"/>
        <n v="15"/>
        <n v="9"/>
        <n v="7274"/>
        <n v="170"/>
        <n v="3065"/>
        <n v="1021"/>
        <n v="3964"/>
        <n v="8948"/>
        <n v="7223"/>
        <n v="330"/>
        <n v="4570"/>
        <n v="4867"/>
        <n v="5298"/>
        <n v="7786"/>
        <n v="2"/>
        <n v="5206"/>
        <n v="397"/>
        <n v="326"/>
        <n v="3527"/>
        <n v="617"/>
        <n v="535"/>
        <n v="17325"/>
        <n v="91"/>
        <n v="11957"/>
        <n v="7140"/>
        <n v="687"/>
        <n v="11206"/>
        <n v="561"/>
        <n v="1988"/>
        <n v="3740"/>
        <n v="4401"/>
        <n v="611"/>
        <n v="6055"/>
        <n v="386"/>
        <n v="557"/>
        <n v="2288"/>
        <n v="1106"/>
        <n v="11935"/>
        <n v="5059"/>
        <n v="157"/>
        <n v="3584"/>
        <n v="1899"/>
        <n v="15252"/>
        <n v="422"/>
        <n v="5160"/>
        <n v="2311"/>
        <n v="588"/>
        <n v="3271"/>
        <n v="11004"/>
        <n v="3195"/>
        <n v="3246"/>
        <n v="144"/>
        <n v="2280"/>
        <n v="340"/>
        <n v="727"/>
        <n v="832"/>
        <n v="1644"/>
        <n v="1066"/>
        <n v="7968"/>
        <n v="1456"/>
        <n v="1436"/>
        <n v="4184"/>
        <n v="693"/>
        <n v="1306"/>
        <n v="8"/>
        <n v="2326"/>
        <n v="1004"/>
        <n v="6400"/>
        <n v="1181"/>
        <n v="1888"/>
        <n v="6550"/>
        <n v="1846"/>
        <n v="1085"/>
        <n v="9734"/>
        <n v="4022"/>
        <n v="2591"/>
        <n v="532"/>
        <n v="260"/>
        <n v="1672"/>
        <n v="7945"/>
        <n v="212"/>
        <n v="65"/>
        <n v="55"/>
        <n v="1065"/>
        <n v="2377"/>
        <n v="2569"/>
        <n v="5967"/>
        <n v="1776"/>
        <n v="4200"/>
        <n v="297"/>
        <n v="3858"/>
        <n v="168"/>
        <n v="101"/>
        <n v="4074"/>
        <n v="1408"/>
        <n v="3739"/>
        <n v="5891"/>
        <n v="777"/>
        <n v="14160"/>
        <n v="6919"/>
        <n v="287"/>
        <n v="827"/>
        <n v="229"/>
        <n v="3524"/>
        <n v="156"/>
        <n v="82"/>
        <n v="710"/>
        <n v="133"/>
        <n v="2751"/>
        <n v="771"/>
        <n v="2536"/>
        <n v="7801"/>
        <n v="534"/>
        <n v="898"/>
        <n v="1202"/>
        <n v="1108"/>
        <n v="17"/>
        <n v="10429"/>
        <n v="3192"/>
        <n v="5873"/>
        <n v="1379"/>
        <n v="1527"/>
        <n v="2686"/>
        <n v="178"/>
        <n v="2664"/>
        <n v="1868"/>
        <n v="451"/>
        <n v="159"/>
        <n v="39"/>
        <n v="6531"/>
        <n v="222"/>
        <n v="195"/>
        <n v="2283"/>
        <n v="1127"/>
        <n v="113"/>
        <n v="2518"/>
        <n v="1090"/>
        <n v="4118"/>
        <n v="468"/>
        <n v="8031"/>
        <n v="6987"/>
      </sharedItems>
    </cacheField>
    <cacheField name="POTENTIAL REVENUE" numFmtId="164">
      <sharedItems containsMixedTypes="1" containsNumber="1" minValue="0" maxValue="3451882164"/>
    </cacheField>
    <cacheField name="DISCOUNT 50%" numFmtId="0">
      <sharedItems containsSemiMixedTypes="0" containsString="0" containsNumber="1" containsInteger="1" minValue="426973" maxValue="426973" count="1">
        <n v="426973"/>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375">
  <r>
    <x v="0"/>
    <x v="0"/>
    <s v="Cables&amp;Accessories"/>
    <s v="Cables"/>
    <x v="0"/>
    <n v="1099"/>
    <s v="&gt;₹500"/>
    <n v="0.64"/>
    <x v="0"/>
    <x v="0"/>
    <x v="0"/>
    <n v="26671631"/>
    <x v="0"/>
  </r>
  <r>
    <x v="0"/>
    <x v="0"/>
    <s v="Cables&amp;Accessories"/>
    <s v="Cables"/>
    <x v="1"/>
    <n v="349"/>
    <s v="₹200–₹500"/>
    <n v="0.43"/>
    <x v="1"/>
    <x v="1"/>
    <x v="1"/>
    <n v="15353906"/>
    <x v="0"/>
  </r>
  <r>
    <x v="0"/>
    <x v="0"/>
    <s v="Cables&amp;Accessories"/>
    <s v="Cables"/>
    <x v="1"/>
    <n v="1899"/>
    <s v="&gt;₹500"/>
    <n v="0.9"/>
    <x v="0"/>
    <x v="2"/>
    <x v="2"/>
    <n v="15055272"/>
    <x v="0"/>
  </r>
  <r>
    <x v="0"/>
    <x v="0"/>
    <s v="Cables&amp;Accessories"/>
    <s v="Cables"/>
    <x v="2"/>
    <n v="699"/>
    <s v="&gt;₹500"/>
    <n v="0.53"/>
    <x v="0"/>
    <x v="0"/>
    <x v="3"/>
    <n v="65959737"/>
    <x v="0"/>
  </r>
  <r>
    <x v="0"/>
    <x v="0"/>
    <s v="Cables&amp;Accessories"/>
    <s v="Cables"/>
    <x v="3"/>
    <n v="399"/>
    <s v="₹200–₹500"/>
    <n v="0.61"/>
    <x v="0"/>
    <x v="0"/>
    <x v="4"/>
    <n v="6745095"/>
    <x v="0"/>
  </r>
  <r>
    <x v="0"/>
    <x v="0"/>
    <s v="Cables&amp;Accessories"/>
    <s v="Cables"/>
    <x v="4"/>
    <n v="1000"/>
    <s v="&gt;₹500"/>
    <n v="0.85"/>
    <x v="0"/>
    <x v="2"/>
    <x v="5"/>
    <n v="24871000"/>
    <x v="0"/>
  </r>
  <r>
    <x v="0"/>
    <x v="0"/>
    <s v="Cables&amp;Accessories"/>
    <s v="Cables"/>
    <x v="5"/>
    <n v="499"/>
    <s v="₹200–₹500"/>
    <n v="0.65"/>
    <x v="0"/>
    <x v="3"/>
    <x v="6"/>
    <n v="7578812"/>
    <x v="0"/>
  </r>
  <r>
    <x v="0"/>
    <x v="0"/>
    <s v="Cables&amp;Accessories"/>
    <s v="Cables"/>
    <x v="6"/>
    <n v="299"/>
    <s v="₹200–₹500"/>
    <n v="0.23"/>
    <x v="1"/>
    <x v="4"/>
    <x v="7"/>
    <n v="9092889"/>
    <x v="0"/>
  </r>
  <r>
    <x v="0"/>
    <x v="1"/>
    <s v="NetworkAdapters"/>
    <s v="WirelessUSBAdapters"/>
    <x v="7"/>
    <n v="999"/>
    <s v="&gt;₹500"/>
    <n v="0.5"/>
    <x v="0"/>
    <x v="0"/>
    <x v="8"/>
    <n v="179511309"/>
    <x v="0"/>
  </r>
  <r>
    <x v="0"/>
    <x v="0"/>
    <s v="Cables&amp;Accessories"/>
    <s v="Cables"/>
    <x v="1"/>
    <n v="299"/>
    <s v="₹200–₹500"/>
    <n v="0.33"/>
    <x v="1"/>
    <x v="1"/>
    <x v="1"/>
    <n v="13154206"/>
    <x v="0"/>
  </r>
  <r>
    <x v="0"/>
    <x v="0"/>
    <s v="Cables&amp;Accessories"/>
    <s v="Cables"/>
    <x v="3"/>
    <n v="339"/>
    <s v="₹200–₹500"/>
    <n v="0.55000000000000004"/>
    <x v="0"/>
    <x v="4"/>
    <x v="9"/>
    <n v="4539549"/>
    <x v="0"/>
  </r>
  <r>
    <x v="0"/>
    <x v="0"/>
    <s v="Cables&amp;Accessories"/>
    <s v="Cables"/>
    <x v="8"/>
    <n v="799"/>
    <s v="&gt;₹500"/>
    <n v="0.63"/>
    <x v="0"/>
    <x v="0"/>
    <x v="3"/>
    <n v="75396037"/>
    <x v="0"/>
  </r>
  <r>
    <x v="1"/>
    <x v="2"/>
    <s v="Accessories"/>
    <s v="Cables"/>
    <x v="9"/>
    <n v="700"/>
    <s v="&gt;₹500"/>
    <n v="0.69"/>
    <x v="0"/>
    <x v="5"/>
    <x v="10"/>
    <n v="298881100"/>
    <x v="0"/>
  </r>
  <r>
    <x v="0"/>
    <x v="0"/>
    <s v="Cables&amp;Accessories"/>
    <s v="Cables"/>
    <x v="10"/>
    <n v="899"/>
    <s v="&gt;₹500"/>
    <n v="0.61"/>
    <x v="0"/>
    <x v="0"/>
    <x v="11"/>
    <n v="2033538"/>
    <x v="0"/>
  </r>
  <r>
    <x v="0"/>
    <x v="0"/>
    <s v="Cables&amp;Accessories"/>
    <s v="Cables"/>
    <x v="11"/>
    <n v="399"/>
    <s v="₹200–₹500"/>
    <n v="0.6"/>
    <x v="0"/>
    <x v="3"/>
    <x v="12"/>
    <n v="1902432"/>
    <x v="0"/>
  </r>
  <r>
    <x v="0"/>
    <x v="0"/>
    <s v="Cables&amp;Accessories"/>
    <s v="Cables"/>
    <x v="12"/>
    <n v="399"/>
    <s v="₹200–₹500"/>
    <n v="0.13"/>
    <x v="1"/>
    <x v="5"/>
    <x v="13"/>
    <n v="7484043"/>
    <x v="0"/>
  </r>
  <r>
    <x v="1"/>
    <x v="2"/>
    <s v="Televisions"/>
    <s v="SmartTelevisions"/>
    <x v="13"/>
    <n v="24999"/>
    <s v="&gt;₹500"/>
    <n v="0.44"/>
    <x v="1"/>
    <x v="0"/>
    <x v="14"/>
    <n v="820967160"/>
    <x v="0"/>
  </r>
  <r>
    <x v="0"/>
    <x v="0"/>
    <s v="Cables&amp;Accessories"/>
    <s v="Cables"/>
    <x v="14"/>
    <n v="399"/>
    <s v="₹200–₹500"/>
    <n v="0.38"/>
    <x v="1"/>
    <x v="1"/>
    <x v="1"/>
    <n v="17553606"/>
    <x v="0"/>
  </r>
  <r>
    <x v="0"/>
    <x v="0"/>
    <s v="Cables&amp;Accessories"/>
    <s v="Cables"/>
    <x v="1"/>
    <n v="499"/>
    <s v="₹200–₹500"/>
    <n v="0.6"/>
    <x v="0"/>
    <x v="3"/>
    <x v="15"/>
    <n v="6509455"/>
    <x v="0"/>
  </r>
  <r>
    <x v="1"/>
    <x v="2"/>
    <s v="Televisions"/>
    <s v="SmartTelevisions"/>
    <x v="15"/>
    <n v="21990"/>
    <s v="&gt;₹500"/>
    <n v="0.39"/>
    <x v="1"/>
    <x v="4"/>
    <x v="16"/>
    <n v="263352240"/>
    <x v="0"/>
  </r>
  <r>
    <x v="0"/>
    <x v="0"/>
    <s v="Cables&amp;Accessories"/>
    <s v="Cables"/>
    <x v="16"/>
    <n v="1799"/>
    <s v="&gt;₹500"/>
    <n v="0.46"/>
    <x v="1"/>
    <x v="6"/>
    <x v="17"/>
    <n v="1466185"/>
    <x v="0"/>
  </r>
  <r>
    <x v="1"/>
    <x v="2"/>
    <s v="Accessories"/>
    <s v="Cables"/>
    <x v="17"/>
    <n v="499"/>
    <s v="₹200–₹500"/>
    <n v="0.44"/>
    <x v="1"/>
    <x v="7"/>
    <x v="18"/>
    <n v="5470038"/>
    <x v="0"/>
  </r>
  <r>
    <x v="1"/>
    <x v="2"/>
    <s v="Televisions"/>
    <s v="SmartTelevisions"/>
    <x v="15"/>
    <n v="22900"/>
    <s v="&gt;₹500"/>
    <n v="0.41"/>
    <x v="1"/>
    <x v="4"/>
    <x v="19"/>
    <n v="373247100"/>
    <x v="0"/>
  </r>
  <r>
    <x v="0"/>
    <x v="0"/>
    <s v="Cables&amp;Accessories"/>
    <s v="Cables"/>
    <x v="18"/>
    <n v="199"/>
    <s v="&lt;₹200"/>
    <n v="0.7"/>
    <x v="0"/>
    <x v="1"/>
    <x v="20"/>
    <n v="1866222"/>
    <x v="0"/>
  </r>
  <r>
    <x v="1"/>
    <x v="2"/>
    <s v="Televisions"/>
    <s v="SmartTelevisions"/>
    <x v="19"/>
    <n v="19990"/>
    <s v="&gt;₹500"/>
    <n v="0.42"/>
    <x v="1"/>
    <x v="4"/>
    <x v="21"/>
    <n v="94012970"/>
    <x v="0"/>
  </r>
  <r>
    <x v="1"/>
    <x v="2"/>
    <s v="Accessories"/>
    <s v="Cables"/>
    <x v="1"/>
    <n v="699"/>
    <s v="&gt;₹500"/>
    <n v="0.72"/>
    <x v="0"/>
    <x v="0"/>
    <x v="22"/>
    <n v="8494947"/>
    <x v="0"/>
  </r>
  <r>
    <x v="1"/>
    <x v="2"/>
    <s v="Televisions"/>
    <s v="SmartTelevisions"/>
    <x v="20"/>
    <n v="19999"/>
    <s v="&gt;₹500"/>
    <n v="0.25"/>
    <x v="1"/>
    <x v="0"/>
    <x v="23"/>
    <n v="697945101"/>
    <x v="0"/>
  </r>
  <r>
    <x v="0"/>
    <x v="0"/>
    <s v="Cables&amp;Accessories"/>
    <s v="Cables"/>
    <x v="8"/>
    <n v="399"/>
    <s v="₹200–₹500"/>
    <n v="0.25"/>
    <x v="1"/>
    <x v="1"/>
    <x v="24"/>
    <n v="1103634"/>
    <x v="0"/>
  </r>
  <r>
    <x v="0"/>
    <x v="0"/>
    <s v="Cables&amp;Accessories"/>
    <s v="Cables"/>
    <x v="16"/>
    <n v="1999"/>
    <s v="&gt;₹500"/>
    <n v="0.51"/>
    <x v="0"/>
    <x v="5"/>
    <x v="25"/>
    <n v="367816"/>
    <x v="0"/>
  </r>
  <r>
    <x v="0"/>
    <x v="0"/>
    <s v="Cables&amp;Accessories"/>
    <s v="Cables"/>
    <x v="8"/>
    <n v="999"/>
    <s v="&gt;₹500"/>
    <n v="0.7"/>
    <x v="0"/>
    <x v="4"/>
    <x v="26"/>
    <n v="20829150"/>
    <x v="0"/>
  </r>
  <r>
    <x v="0"/>
    <x v="0"/>
    <s v="Cables&amp;Accessories"/>
    <s v="Cables"/>
    <x v="1"/>
    <n v="750"/>
    <s v="&gt;₹500"/>
    <n v="0.73"/>
    <x v="0"/>
    <x v="6"/>
    <x v="27"/>
    <n v="56232000"/>
    <x v="0"/>
  </r>
  <r>
    <x v="0"/>
    <x v="0"/>
    <s v="Cables&amp;Accessories"/>
    <s v="Cables"/>
    <x v="21"/>
    <n v="499"/>
    <s v="₹200–₹500"/>
    <n v="0.64"/>
    <x v="0"/>
    <x v="1"/>
    <x v="28"/>
    <n v="965066"/>
    <x v="0"/>
  </r>
  <r>
    <x v="0"/>
    <x v="0"/>
    <s v="Cables&amp;Accessories"/>
    <s v="Cables"/>
    <x v="22"/>
    <n v="1099"/>
    <s v="&gt;₹500"/>
    <n v="0.65"/>
    <x v="0"/>
    <x v="4"/>
    <x v="29"/>
    <n v="1070426"/>
    <x v="0"/>
  </r>
  <r>
    <x v="0"/>
    <x v="0"/>
    <s v="Cables&amp;Accessories"/>
    <s v="Cables"/>
    <x v="23"/>
    <n v="599"/>
    <s v="&gt;₹500"/>
    <n v="0"/>
    <x v="1"/>
    <x v="4"/>
    <x v="30"/>
    <n v="212645"/>
    <x v="0"/>
  </r>
  <r>
    <x v="0"/>
    <x v="0"/>
    <s v="Cables&amp;Accessories"/>
    <s v="Cables"/>
    <x v="1"/>
    <n v="999"/>
    <s v="&gt;₹500"/>
    <n v="0.8"/>
    <x v="0"/>
    <x v="2"/>
    <x v="31"/>
    <n v="1073925"/>
    <x v="0"/>
  </r>
  <r>
    <x v="0"/>
    <x v="0"/>
    <s v="Cables&amp;Accessories"/>
    <s v="Cables"/>
    <x v="24"/>
    <n v="666.66"/>
    <s v="&gt;₹500"/>
    <n v="0.85"/>
    <x v="0"/>
    <x v="2"/>
    <x v="5"/>
    <n v="16580500.859999999"/>
    <x v="0"/>
  </r>
  <r>
    <x v="0"/>
    <x v="0"/>
    <s v="Cables&amp;Accessories"/>
    <s v="Cables"/>
    <x v="25"/>
    <n v="1900"/>
    <s v="&gt;₹500"/>
    <n v="0.53"/>
    <x v="0"/>
    <x v="5"/>
    <x v="32"/>
    <n v="25748800"/>
    <x v="0"/>
  </r>
  <r>
    <x v="0"/>
    <x v="0"/>
    <s v="Cables&amp;Accessories"/>
    <s v="Cables"/>
    <x v="1"/>
    <n v="999"/>
    <s v="&gt;₹500"/>
    <n v="0.8"/>
    <x v="0"/>
    <x v="1"/>
    <x v="33"/>
    <n v="575424"/>
    <x v="0"/>
  </r>
  <r>
    <x v="1"/>
    <x v="2"/>
    <s v="Televisions"/>
    <s v="SmartTelevisions"/>
    <x v="26"/>
    <n v="45999"/>
    <s v="&gt;₹500"/>
    <n v="0.28000000000000003"/>
    <x v="1"/>
    <x v="0"/>
    <x v="34"/>
    <n v="335700702"/>
    <x v="0"/>
  </r>
  <r>
    <x v="0"/>
    <x v="0"/>
    <s v="Cables&amp;Accessories"/>
    <s v="Cables"/>
    <x v="16"/>
    <n v="1999"/>
    <s v="&gt;₹500"/>
    <n v="0.51"/>
    <x v="0"/>
    <x v="0"/>
    <x v="35"/>
    <n v="923538"/>
    <x v="0"/>
  </r>
  <r>
    <x v="0"/>
    <x v="0"/>
    <s v="Cables&amp;Accessories"/>
    <s v="Cables"/>
    <x v="27"/>
    <n v="695"/>
    <s v="&gt;₹500"/>
    <n v="0.7"/>
    <x v="0"/>
    <x v="6"/>
    <x v="36"/>
    <n v="74842465"/>
    <x v="0"/>
  </r>
  <r>
    <x v="1"/>
    <x v="2"/>
    <s v="Televisions"/>
    <s v="SmartTelevisions"/>
    <x v="28"/>
    <n v="34999"/>
    <s v="&gt;₹500"/>
    <n v="0.43"/>
    <x v="1"/>
    <x v="4"/>
    <x v="37"/>
    <n v="950257849"/>
    <x v="0"/>
  </r>
  <r>
    <x v="0"/>
    <x v="0"/>
    <s v="Cables&amp;Accessories"/>
    <s v="Cables"/>
    <x v="0"/>
    <n v="1099"/>
    <s v="&gt;₹500"/>
    <n v="0.64"/>
    <x v="0"/>
    <x v="0"/>
    <x v="0"/>
    <n v="26671631"/>
    <x v="0"/>
  </r>
  <r>
    <x v="0"/>
    <x v="1"/>
    <s v="NetworkAdapters"/>
    <s v="WirelessUSBAdapters"/>
    <x v="29"/>
    <n v="1599"/>
    <s v="&gt;₹500"/>
    <n v="0.38"/>
    <x v="1"/>
    <x v="4"/>
    <x v="38"/>
    <n v="19336707"/>
    <x v="0"/>
  </r>
  <r>
    <x v="0"/>
    <x v="0"/>
    <s v="Cables&amp;Accessories"/>
    <s v="Cables"/>
    <x v="18"/>
    <n v="199"/>
    <s v="&lt;₹200"/>
    <n v="0.7"/>
    <x v="0"/>
    <x v="1"/>
    <x v="20"/>
    <n v="1866222"/>
    <x v="0"/>
  </r>
  <r>
    <x v="0"/>
    <x v="0"/>
    <s v="Cables&amp;Accessories"/>
    <s v="Cables"/>
    <x v="30"/>
    <n v="999"/>
    <s v="&gt;₹500"/>
    <n v="0.67"/>
    <x v="0"/>
    <x v="8"/>
    <x v="39"/>
    <n v="9782208"/>
    <x v="0"/>
  </r>
  <r>
    <x v="0"/>
    <x v="1"/>
    <s v="NetworkAdapters"/>
    <s v="WirelessUSBAdapters"/>
    <x v="31"/>
    <n v="1208"/>
    <s v="&gt;₹500"/>
    <n v="0.57999999999999996"/>
    <x v="0"/>
    <x v="3"/>
    <x v="40"/>
    <n v="9822248"/>
    <x v="0"/>
  </r>
  <r>
    <x v="1"/>
    <x v="2"/>
    <s v="Accessories"/>
    <s v="Cables"/>
    <x v="32"/>
    <n v="475"/>
    <s v="₹200–₹500"/>
    <n v="0.35"/>
    <x v="1"/>
    <x v="5"/>
    <x v="10"/>
    <n v="202812175"/>
    <x v="0"/>
  </r>
  <r>
    <x v="1"/>
    <x v="2"/>
    <s v="Accessories"/>
    <s v="RemoteControls"/>
    <x v="0"/>
    <n v="999"/>
    <s v="&gt;₹500"/>
    <n v="0.6"/>
    <x v="0"/>
    <x v="9"/>
    <x v="41"/>
    <n v="492507"/>
    <x v="0"/>
  </r>
  <r>
    <x v="0"/>
    <x v="0"/>
    <s v="Cables&amp;Accessories"/>
    <s v="Cables"/>
    <x v="1"/>
    <n v="395"/>
    <s v="₹200–₹500"/>
    <n v="0.5"/>
    <x v="0"/>
    <x v="0"/>
    <x v="42"/>
    <n v="36575025"/>
    <x v="0"/>
  </r>
  <r>
    <x v="0"/>
    <x v="1"/>
    <s v="NetworkAdapters"/>
    <s v="WirelessUSBAdapters"/>
    <x v="33"/>
    <n v="2199"/>
    <s v="&gt;₹500"/>
    <n v="0.45"/>
    <x v="1"/>
    <x v="5"/>
    <x v="43"/>
    <n v="54491220"/>
    <x v="0"/>
  </r>
  <r>
    <x v="0"/>
    <x v="0"/>
    <s v="Cables&amp;Accessories"/>
    <s v="Cables"/>
    <x v="21"/>
    <n v="500"/>
    <s v="₹200–₹500"/>
    <n v="0.64"/>
    <x v="0"/>
    <x v="0"/>
    <x v="42"/>
    <n v="46297500"/>
    <x v="0"/>
  </r>
  <r>
    <x v="0"/>
    <x v="0"/>
    <s v="Cables&amp;Accessories"/>
    <s v="Cables"/>
    <x v="34"/>
    <n v="2100"/>
    <s v="&gt;₹500"/>
    <n v="0.62"/>
    <x v="0"/>
    <x v="4"/>
    <x v="44"/>
    <n v="17194800"/>
    <x v="0"/>
  </r>
  <r>
    <x v="1"/>
    <x v="2"/>
    <s v="Televisions"/>
    <s v="StandardTelevisions"/>
    <x v="35"/>
    <n v="12999"/>
    <s v="&gt;₹500"/>
    <n v="0.46"/>
    <x v="1"/>
    <x v="0"/>
    <x v="45"/>
    <n v="52034997"/>
    <x v="0"/>
  </r>
  <r>
    <x v="0"/>
    <x v="0"/>
    <s v="Cables&amp;Accessories"/>
    <s v="Cables"/>
    <x v="1"/>
    <n v="349"/>
    <s v="₹200–₹500"/>
    <n v="0.43"/>
    <x v="1"/>
    <x v="3"/>
    <x v="46"/>
    <n v="109586"/>
    <x v="0"/>
  </r>
  <r>
    <x v="1"/>
    <x v="2"/>
    <s v="Accessories"/>
    <s v="RemoteControls"/>
    <x v="36"/>
    <n v="499"/>
    <s v="₹200–₹500"/>
    <n v="0.54"/>
    <x v="0"/>
    <x v="7"/>
    <x v="47"/>
    <n v="1477040"/>
    <x v="0"/>
  </r>
  <r>
    <x v="0"/>
    <x v="1"/>
    <s v="NetworkAdapters"/>
    <s v="WirelessUSBAdapters"/>
    <x v="37"/>
    <n v="1399"/>
    <s v="&gt;₹500"/>
    <n v="0.54"/>
    <x v="0"/>
    <x v="0"/>
    <x v="8"/>
    <n v="251387709"/>
    <x v="0"/>
  </r>
  <r>
    <x v="1"/>
    <x v="2"/>
    <s v="Televisions"/>
    <s v="SmartTelevisions"/>
    <x v="38"/>
    <n v="21999"/>
    <s v="&gt;₹500"/>
    <n v="0.27"/>
    <x v="1"/>
    <x v="0"/>
    <x v="23"/>
    <n v="767743101"/>
    <x v="0"/>
  </r>
  <r>
    <x v="0"/>
    <x v="0"/>
    <s v="Cables&amp;Accessories"/>
    <s v="Cables"/>
    <x v="39"/>
    <n v="1499"/>
    <s v="&gt;₹500"/>
    <n v="0.77"/>
    <x v="0"/>
    <x v="0"/>
    <x v="48"/>
    <n v="983344"/>
    <x v="0"/>
  </r>
  <r>
    <x v="0"/>
    <x v="0"/>
    <s v="Cables&amp;Accessories"/>
    <s v="Cables"/>
    <x v="3"/>
    <n v="349"/>
    <s v="₹200–₹500"/>
    <n v="0.56000000000000005"/>
    <x v="0"/>
    <x v="4"/>
    <x v="49"/>
    <n v="2465336"/>
    <x v="0"/>
  </r>
  <r>
    <x v="1"/>
    <x v="2"/>
    <s v="Accessories"/>
    <s v="RemoteControls"/>
    <x v="21"/>
    <n v="799"/>
    <s v="&gt;₹500"/>
    <n v="0.78"/>
    <x v="0"/>
    <x v="7"/>
    <x v="50"/>
    <n v="1758599"/>
    <x v="0"/>
  </r>
  <r>
    <x v="1"/>
    <x v="2"/>
    <s v="Televisions"/>
    <s v="SmartTelevisions"/>
    <x v="40"/>
    <n v="47900"/>
    <s v="&gt;₹500"/>
    <n v="0.31"/>
    <x v="1"/>
    <x v="4"/>
    <x v="51"/>
    <n v="340521100"/>
    <x v="0"/>
  </r>
  <r>
    <x v="0"/>
    <x v="0"/>
    <s v="Cables&amp;Accessories"/>
    <s v="Cables"/>
    <x v="41"/>
    <n v="999"/>
    <s v="&gt;₹500"/>
    <n v="0.86"/>
    <x v="0"/>
    <x v="1"/>
    <x v="52"/>
    <n v="1311687"/>
    <x v="0"/>
  </r>
  <r>
    <x v="0"/>
    <x v="0"/>
    <s v="Cables&amp;Accessories"/>
    <s v="Cables"/>
    <x v="2"/>
    <n v="845"/>
    <s v="&gt;₹500"/>
    <n v="0.61"/>
    <x v="0"/>
    <x v="0"/>
    <x v="53"/>
    <n v="25135370"/>
    <x v="0"/>
  </r>
  <r>
    <x v="1"/>
    <x v="2"/>
    <s v="Televisions"/>
    <s v="SmartTelevisions"/>
    <x v="13"/>
    <n v="24999"/>
    <s v="&gt;₹500"/>
    <n v="0.44"/>
    <x v="1"/>
    <x v="0"/>
    <x v="54"/>
    <n v="1130904762"/>
    <x v="0"/>
  </r>
  <r>
    <x v="1"/>
    <x v="2"/>
    <s v="Accessories"/>
    <s v="Cables"/>
    <x v="32"/>
    <n v="1400"/>
    <s v="&gt;₹500"/>
    <n v="0.78"/>
    <x v="0"/>
    <x v="5"/>
    <x v="10"/>
    <n v="597762200"/>
    <x v="0"/>
  </r>
  <r>
    <x v="0"/>
    <x v="0"/>
    <s v="Cables&amp;Accessories"/>
    <s v="Cables"/>
    <x v="42"/>
    <n v="699"/>
    <s v="&gt;₹500"/>
    <n v="0.62"/>
    <x v="0"/>
    <x v="3"/>
    <x v="55"/>
    <n v="314550"/>
    <x v="0"/>
  </r>
  <r>
    <x v="1"/>
    <x v="2"/>
    <s v="Televisions"/>
    <s v="StandardTelevisions"/>
    <x v="43"/>
    <n v="14990"/>
    <s v="&gt;₹500"/>
    <n v="0.47"/>
    <x v="1"/>
    <x v="4"/>
    <x v="56"/>
    <n v="6850430"/>
    <x v="0"/>
  </r>
  <r>
    <x v="1"/>
    <x v="2"/>
    <s v="Accessories"/>
    <s v="TVMounts,Stands&amp;Turntables"/>
    <x v="44"/>
    <n v="2999"/>
    <s v="&gt;₹500"/>
    <n v="0.47"/>
    <x v="1"/>
    <x v="0"/>
    <x v="57"/>
    <n v="8178273"/>
    <x v="0"/>
  </r>
  <r>
    <x v="0"/>
    <x v="0"/>
    <s v="Cables&amp;Accessories"/>
    <s v="Cables"/>
    <x v="9"/>
    <n v="700"/>
    <s v="&gt;₹500"/>
    <n v="0.69"/>
    <x v="0"/>
    <x v="4"/>
    <x v="58"/>
    <n v="14037100"/>
    <x v="0"/>
  </r>
  <r>
    <x v="0"/>
    <x v="0"/>
    <s v="Cables&amp;Accessories"/>
    <s v="Cables"/>
    <x v="12"/>
    <n v="899"/>
    <s v="&gt;₹500"/>
    <n v="0.61"/>
    <x v="0"/>
    <x v="6"/>
    <x v="59"/>
    <n v="133951"/>
    <x v="0"/>
  </r>
  <r>
    <x v="0"/>
    <x v="0"/>
    <s v="Cables&amp;Accessories"/>
    <s v="Cables"/>
    <x v="12"/>
    <n v="599"/>
    <s v="&gt;₹500"/>
    <n v="0.42"/>
    <x v="1"/>
    <x v="3"/>
    <x v="60"/>
    <n v="125790"/>
    <x v="0"/>
  </r>
  <r>
    <x v="1"/>
    <x v="2"/>
    <s v="Televisions"/>
    <s v="SmartTelevisions"/>
    <x v="45"/>
    <n v="42999"/>
    <s v="&gt;₹500"/>
    <n v="0.37"/>
    <x v="1"/>
    <x v="0"/>
    <x v="54"/>
    <n v="1945188762"/>
    <x v="0"/>
  </r>
  <r>
    <x v="0"/>
    <x v="0"/>
    <s v="Cables&amp;Accessories"/>
    <s v="Cables"/>
    <x v="46"/>
    <n v="499"/>
    <s v="₹200–₹500"/>
    <n v="0.77"/>
    <x v="0"/>
    <x v="1"/>
    <x v="61"/>
    <n v="3858268"/>
    <x v="0"/>
  </r>
  <r>
    <x v="0"/>
    <x v="0"/>
    <s v="Cables&amp;Accessories"/>
    <s v="Cables"/>
    <x v="0"/>
    <n v="999"/>
    <s v="&gt;₹500"/>
    <n v="0.6"/>
    <x v="0"/>
    <x v="3"/>
    <x v="62"/>
    <n v="1778220"/>
    <x v="0"/>
  </r>
  <r>
    <x v="0"/>
    <x v="0"/>
    <s v="Cables&amp;Accessories"/>
    <s v="Cables"/>
    <x v="1"/>
    <n v="499"/>
    <s v="₹200–₹500"/>
    <n v="0.6"/>
    <x v="0"/>
    <x v="3"/>
    <x v="63"/>
    <n v="300398"/>
    <x v="0"/>
  </r>
  <r>
    <x v="0"/>
    <x v="0"/>
    <s v="Cables&amp;Accessories"/>
    <s v="Cables"/>
    <x v="21"/>
    <n v="399"/>
    <s v="₹200–₹500"/>
    <n v="0.55000000000000004"/>
    <x v="0"/>
    <x v="1"/>
    <x v="64"/>
    <n v="567777"/>
    <x v="0"/>
  </r>
  <r>
    <x v="1"/>
    <x v="2"/>
    <s v="Televisions"/>
    <s v="SmartTelevisions"/>
    <x v="47"/>
    <n v="30990"/>
    <s v="&gt;₹500"/>
    <n v="0.65"/>
    <x v="0"/>
    <x v="3"/>
    <x v="65"/>
    <n v="12334020"/>
    <x v="0"/>
  </r>
  <r>
    <x v="0"/>
    <x v="0"/>
    <s v="Cables&amp;Accessories"/>
    <s v="Cables"/>
    <x v="27"/>
    <n v="499"/>
    <s v="₹200–₹500"/>
    <n v="0.57999999999999996"/>
    <x v="0"/>
    <x v="2"/>
    <x v="66"/>
    <n v="267464"/>
    <x v="0"/>
  </r>
  <r>
    <x v="1"/>
    <x v="2"/>
    <s v="Accessories"/>
    <s v="RemoteControls"/>
    <x v="48"/>
    <n v="3999"/>
    <s v="&gt;₹500"/>
    <n v="0.64"/>
    <x v="0"/>
    <x v="1"/>
    <x v="67"/>
    <n v="127968"/>
    <x v="0"/>
  </r>
  <r>
    <x v="0"/>
    <x v="0"/>
    <s v="Cables&amp;Accessories"/>
    <s v="Cables"/>
    <x v="0"/>
    <n v="1099"/>
    <s v="&gt;₹500"/>
    <n v="0.64"/>
    <x v="0"/>
    <x v="0"/>
    <x v="0"/>
    <n v="26671631"/>
    <x v="0"/>
  </r>
  <r>
    <x v="0"/>
    <x v="0"/>
    <s v="Cables&amp;Accessories"/>
    <s v="Cables"/>
    <x v="41"/>
    <n v="249"/>
    <s v="₹200–₹500"/>
    <n v="0.44"/>
    <x v="1"/>
    <x v="1"/>
    <x v="20"/>
    <n v="2335122"/>
    <x v="0"/>
  </r>
  <r>
    <x v="1"/>
    <x v="2"/>
    <s v="Televisions"/>
    <s v="SmartTelevisions"/>
    <x v="49"/>
    <n v="19125"/>
    <s v="&gt;₹500"/>
    <n v="0.62"/>
    <x v="0"/>
    <x v="10"/>
    <x v="68"/>
    <n v="17250750"/>
    <x v="0"/>
  </r>
  <r>
    <x v="0"/>
    <x v="0"/>
    <s v="Cables&amp;Accessories"/>
    <s v="Cables"/>
    <x v="8"/>
    <n v="799"/>
    <s v="&gt;₹500"/>
    <n v="0.63"/>
    <x v="0"/>
    <x v="5"/>
    <x v="69"/>
    <n v="23004009"/>
    <x v="0"/>
  </r>
  <r>
    <x v="0"/>
    <x v="0"/>
    <s v="Cables&amp;Accessories"/>
    <s v="Cables"/>
    <x v="50"/>
    <n v="1299"/>
    <s v="&gt;₹500"/>
    <n v="0.75"/>
    <x v="0"/>
    <x v="0"/>
    <x v="70"/>
    <n v="13738224"/>
    <x v="0"/>
  </r>
  <r>
    <x v="1"/>
    <x v="2"/>
    <s v="Televisions"/>
    <s v="SmartTelevisions"/>
    <x v="51"/>
    <n v="39999"/>
    <s v="&gt;₹500"/>
    <n v="0.25"/>
    <x v="1"/>
    <x v="0"/>
    <x v="34"/>
    <n v="291912702"/>
    <x v="0"/>
  </r>
  <r>
    <x v="1"/>
    <x v="2"/>
    <s v="Televisions"/>
    <s v="SmartTelevisions"/>
    <x v="52"/>
    <n v="40990"/>
    <s v="&gt;₹500"/>
    <n v="0.32"/>
    <x v="1"/>
    <x v="4"/>
    <x v="21"/>
    <n v="192775970"/>
    <x v="0"/>
  </r>
  <r>
    <x v="1"/>
    <x v="2"/>
    <s v="Televisions"/>
    <s v="SmartTelevisions"/>
    <x v="53"/>
    <n v="52900"/>
    <s v="&gt;₹500"/>
    <n v="0.41"/>
    <x v="1"/>
    <x v="4"/>
    <x v="51"/>
    <n v="376066100"/>
    <x v="0"/>
  </r>
  <r>
    <x v="0"/>
    <x v="0"/>
    <s v="Cables&amp;Accessories"/>
    <s v="Cables"/>
    <x v="1"/>
    <n v="999"/>
    <s v="&gt;₹500"/>
    <n v="0.8"/>
    <x v="0"/>
    <x v="6"/>
    <x v="71"/>
    <n v="126873"/>
    <x v="0"/>
  </r>
  <r>
    <x v="0"/>
    <x v="0"/>
    <s v="Cables&amp;Accessories"/>
    <s v="Cables"/>
    <x v="37"/>
    <n v="1999"/>
    <s v="&gt;₹500"/>
    <n v="0.68"/>
    <x v="0"/>
    <x v="0"/>
    <x v="0"/>
    <n v="48513731"/>
    <x v="0"/>
  </r>
  <r>
    <x v="0"/>
    <x v="1"/>
    <s v="NetworkAdapters"/>
    <s v="WirelessUSBAdapters"/>
    <x v="54"/>
    <n v="800"/>
    <s v="&gt;₹500"/>
    <n v="0.66"/>
    <x v="0"/>
    <x v="9"/>
    <x v="72"/>
    <n v="8107200"/>
    <x v="0"/>
  </r>
  <r>
    <x v="1"/>
    <x v="2"/>
    <s v="Televisions"/>
    <s v="SmartTelevisions"/>
    <x v="55"/>
    <n v="31999"/>
    <s v="&gt;₹500"/>
    <n v="0.22"/>
    <x v="1"/>
    <x v="0"/>
    <x v="23"/>
    <n v="1116733101"/>
    <x v="0"/>
  </r>
  <r>
    <x v="0"/>
    <x v="0"/>
    <s v="Cables&amp;Accessories"/>
    <s v="Cables"/>
    <x v="8"/>
    <n v="699"/>
    <s v="&gt;₹500"/>
    <n v="0.56999999999999995"/>
    <x v="0"/>
    <x v="0"/>
    <x v="3"/>
    <n v="65959737"/>
    <x v="0"/>
  </r>
  <r>
    <x v="0"/>
    <x v="0"/>
    <s v="Cables&amp;Accessories"/>
    <s v="Cables"/>
    <x v="1"/>
    <n v="999"/>
    <s v="&gt;₹500"/>
    <n v="0.8"/>
    <x v="0"/>
    <x v="3"/>
    <x v="73"/>
    <n v="424575"/>
    <x v="0"/>
  </r>
  <r>
    <x v="1"/>
    <x v="2"/>
    <s v="Televisions"/>
    <s v="SmartTelevisions"/>
    <x v="56"/>
    <n v="40990"/>
    <s v="&gt;₹500"/>
    <n v="0.54"/>
    <x v="0"/>
    <x v="0"/>
    <x v="74"/>
    <n v="272952410"/>
    <x v="0"/>
  </r>
  <r>
    <x v="0"/>
    <x v="1"/>
    <s v="NetworkAdapters"/>
    <s v="WirelessUSBAdapters"/>
    <x v="57"/>
    <n v="349"/>
    <s v="₹200–₹500"/>
    <n v="0.17"/>
    <x v="1"/>
    <x v="7"/>
    <x v="75"/>
    <n v="689973"/>
    <x v="0"/>
  </r>
  <r>
    <x v="1"/>
    <x v="2"/>
    <s v="Accessories"/>
    <s v="RemoteControls"/>
    <x v="14"/>
    <n v="799"/>
    <s v="&gt;₹500"/>
    <n v="0.69"/>
    <x v="0"/>
    <x v="11"/>
    <x v="76"/>
    <n v="862121"/>
    <x v="0"/>
  </r>
  <r>
    <x v="0"/>
    <x v="0"/>
    <s v="Cables&amp;Accessories"/>
    <s v="Cables"/>
    <x v="58"/>
    <n v="999"/>
    <s v="&gt;₹500"/>
    <n v="0.65"/>
    <x v="0"/>
    <x v="7"/>
    <x v="77"/>
    <n v="1095903"/>
    <x v="0"/>
  </r>
  <r>
    <x v="0"/>
    <x v="1"/>
    <s v="NetworkAdapters"/>
    <s v="WirelessUSBAdapters"/>
    <x v="59"/>
    <n v="1899"/>
    <s v="&gt;₹500"/>
    <n v="0.42"/>
    <x v="1"/>
    <x v="6"/>
    <x v="78"/>
    <n v="42575580"/>
    <x v="0"/>
  </r>
  <r>
    <x v="0"/>
    <x v="0"/>
    <s v="Cables&amp;Accessories"/>
    <s v="Cables"/>
    <x v="60"/>
    <n v="1499"/>
    <s v="&gt;₹500"/>
    <n v="0.52"/>
    <x v="0"/>
    <x v="3"/>
    <x v="79"/>
    <n v="1566455"/>
    <x v="0"/>
  </r>
  <r>
    <x v="1"/>
    <x v="2"/>
    <s v="Accessories"/>
    <s v="RemoteControls"/>
    <x v="12"/>
    <n v="1499"/>
    <s v="&gt;₹500"/>
    <n v="0.77"/>
    <x v="0"/>
    <x v="4"/>
    <x v="80"/>
    <n v="6213355"/>
    <x v="0"/>
  </r>
  <r>
    <x v="0"/>
    <x v="0"/>
    <s v="Cables&amp;Accessories"/>
    <s v="Cables"/>
    <x v="61"/>
    <n v="1809"/>
    <s v="&gt;₹500"/>
    <n v="0.53"/>
    <x v="0"/>
    <x v="4"/>
    <x v="81"/>
    <n v="11843523"/>
    <x v="0"/>
  </r>
  <r>
    <x v="1"/>
    <x v="2"/>
    <s v="Accessories"/>
    <s v="RemoteControls"/>
    <x v="8"/>
    <n v="899"/>
    <s v="&gt;₹500"/>
    <n v="0.67"/>
    <x v="0"/>
    <x v="1"/>
    <x v="82"/>
    <n v="1427612"/>
    <x v="0"/>
  </r>
  <r>
    <x v="1"/>
    <x v="2"/>
    <s v="Televisions"/>
    <s v="SmartTelevisions"/>
    <x v="62"/>
    <n v="29999"/>
    <s v="&gt;₹500"/>
    <n v="0.27"/>
    <x v="1"/>
    <x v="0"/>
    <x v="14"/>
    <n v="985167160"/>
    <x v="0"/>
  </r>
  <r>
    <x v="0"/>
    <x v="0"/>
    <s v="Cables&amp;Accessories"/>
    <s v="Cables"/>
    <x v="12"/>
    <n v="999"/>
    <s v="&gt;₹500"/>
    <n v="0.65"/>
    <x v="0"/>
    <x v="0"/>
    <x v="83"/>
    <n v="13106880"/>
    <x v="0"/>
  </r>
  <r>
    <x v="0"/>
    <x v="0"/>
    <s v="Cables&amp;Accessories"/>
    <s v="Cables"/>
    <x v="0"/>
    <n v="999"/>
    <s v="&gt;₹500"/>
    <n v="0.6"/>
    <x v="0"/>
    <x v="4"/>
    <x v="84"/>
    <n v="2803194"/>
    <x v="0"/>
  </r>
  <r>
    <x v="0"/>
    <x v="0"/>
    <s v="Cables&amp;Accessories"/>
    <s v="Cables"/>
    <x v="63"/>
    <n v="1299"/>
    <s v="&gt;₹500"/>
    <n v="0.65"/>
    <x v="0"/>
    <x v="0"/>
    <x v="0"/>
    <n v="31525431"/>
    <x v="0"/>
  </r>
  <r>
    <x v="0"/>
    <x v="0"/>
    <s v="Cables&amp;Accessories"/>
    <s v="Cables"/>
    <x v="8"/>
    <n v="999"/>
    <s v="&gt;₹500"/>
    <n v="0.7"/>
    <x v="0"/>
    <x v="4"/>
    <x v="85"/>
    <n v="765234"/>
    <x v="0"/>
  </r>
  <r>
    <x v="1"/>
    <x v="2"/>
    <s v="Televisions"/>
    <s v="SmartTelevisions"/>
    <x v="64"/>
    <n v="65000"/>
    <s v="&gt;₹500"/>
    <n v="0.42"/>
    <x v="1"/>
    <x v="4"/>
    <x v="86"/>
    <n v="233155000"/>
    <x v="0"/>
  </r>
  <r>
    <x v="0"/>
    <x v="0"/>
    <s v="Cables&amp;Accessories"/>
    <s v="Cables"/>
    <x v="24"/>
    <n v="800"/>
    <s v="&gt;₹500"/>
    <n v="0.88"/>
    <x v="0"/>
    <x v="2"/>
    <x v="5"/>
    <n v="19896800"/>
    <x v="0"/>
  </r>
  <r>
    <x v="1"/>
    <x v="2"/>
    <s v="Televisions"/>
    <s v="StandardTelevisions"/>
    <x v="65"/>
    <n v="20000"/>
    <s v="&gt;₹500"/>
    <n v="0.63"/>
    <x v="0"/>
    <x v="3"/>
    <x v="87"/>
    <n v="51620000"/>
    <x v="0"/>
  </r>
  <r>
    <x v="0"/>
    <x v="0"/>
    <s v="Cables&amp;Accessories"/>
    <s v="Cables"/>
    <x v="66"/>
    <n v="999"/>
    <s v="&gt;₹500"/>
    <n v="0.73"/>
    <x v="0"/>
    <x v="4"/>
    <x v="26"/>
    <n v="20829150"/>
    <x v="0"/>
  </r>
  <r>
    <x v="1"/>
    <x v="2"/>
    <s v="Televisions"/>
    <s v="SmartTelevisions"/>
    <x v="67"/>
    <n v="23990"/>
    <s v="&gt;₹500"/>
    <n v="0.33"/>
    <x v="1"/>
    <x v="4"/>
    <x v="88"/>
    <n v="24829650"/>
    <x v="0"/>
  </r>
  <r>
    <x v="0"/>
    <x v="0"/>
    <s v="Cables&amp;Accessories"/>
    <s v="Cables"/>
    <x v="0"/>
    <n v="999"/>
    <s v="&gt;₹500"/>
    <n v="0.6"/>
    <x v="0"/>
    <x v="3"/>
    <x v="62"/>
    <n v="1778220"/>
    <x v="0"/>
  </r>
  <r>
    <x v="1"/>
    <x v="2"/>
    <s v="Accessories"/>
    <s v="RemoteControls"/>
    <x v="0"/>
    <n v="1999"/>
    <s v="&gt;₹500"/>
    <n v="0.8"/>
    <x v="0"/>
    <x v="6"/>
    <x v="89"/>
    <n v="1009495"/>
    <x v="0"/>
  </r>
  <r>
    <x v="0"/>
    <x v="0"/>
    <s v="Cables&amp;Accessories"/>
    <s v="Cables"/>
    <x v="68"/>
    <n v="399"/>
    <s v="₹200–₹500"/>
    <n v="0.47"/>
    <x v="1"/>
    <x v="3"/>
    <x v="90"/>
    <n v="685083"/>
    <x v="0"/>
  </r>
  <r>
    <x v="1"/>
    <x v="2"/>
    <s v="Accessories"/>
    <s v="RemoteControls"/>
    <x v="69"/>
    <n v="1999"/>
    <s v="&gt;₹500"/>
    <n v="0.35"/>
    <x v="1"/>
    <x v="9"/>
    <x v="91"/>
    <n v="1179410"/>
    <x v="0"/>
  </r>
  <r>
    <x v="0"/>
    <x v="0"/>
    <s v="Cables&amp;Accessories"/>
    <s v="Cables"/>
    <x v="70"/>
    <n v="999"/>
    <s v="&gt;₹500"/>
    <n v="0.65"/>
    <x v="0"/>
    <x v="12"/>
    <x v="92"/>
    <n v="1119879"/>
    <x v="0"/>
  </r>
  <r>
    <x v="0"/>
    <x v="0"/>
    <s v="Cables&amp;Accessories"/>
    <s v="Cables"/>
    <x v="4"/>
    <n v="999"/>
    <s v="&gt;₹500"/>
    <n v="0.85"/>
    <x v="0"/>
    <x v="1"/>
    <x v="52"/>
    <n v="1311687"/>
    <x v="0"/>
  </r>
  <r>
    <x v="0"/>
    <x v="0"/>
    <s v="Cables&amp;Accessories"/>
    <s v="Cables"/>
    <x v="71"/>
    <n v="899"/>
    <s v="&gt;₹500"/>
    <n v="0.75"/>
    <x v="0"/>
    <x v="11"/>
    <x v="93"/>
    <n v="118668"/>
    <x v="0"/>
  </r>
  <r>
    <x v="0"/>
    <x v="0"/>
    <s v="Cables&amp;Accessories"/>
    <s v="Cables"/>
    <x v="44"/>
    <n v="1999"/>
    <s v="&gt;₹500"/>
    <n v="0.2"/>
    <x v="1"/>
    <x v="5"/>
    <x v="94"/>
    <n v="3900049"/>
    <x v="0"/>
  </r>
  <r>
    <x v="1"/>
    <x v="2"/>
    <s v="Accessories"/>
    <s v="RemoteControls"/>
    <x v="72"/>
    <n v="3999"/>
    <s v="&gt;₹500"/>
    <n v="0.63"/>
    <x v="0"/>
    <x v="7"/>
    <x v="95"/>
    <n v="147963"/>
    <x v="0"/>
  </r>
  <r>
    <x v="1"/>
    <x v="2"/>
    <s v="Televisions"/>
    <s v="SmartTelevisions"/>
    <x v="73"/>
    <n v="15999"/>
    <s v="&gt;₹500"/>
    <n v="0.47"/>
    <x v="1"/>
    <x v="4"/>
    <x v="96"/>
    <n v="9471408"/>
    <x v="0"/>
  </r>
  <r>
    <x v="1"/>
    <x v="2"/>
    <s v="Televisions"/>
    <s v="SmartTelevisions"/>
    <x v="74"/>
    <n v="44990"/>
    <s v="&gt;₹500"/>
    <n v="0.53"/>
    <x v="0"/>
    <x v="3"/>
    <x v="97"/>
    <n v="56642410"/>
    <x v="0"/>
  </r>
  <r>
    <x v="1"/>
    <x v="2"/>
    <s v="Televisions"/>
    <s v="SmartTelevisions"/>
    <x v="26"/>
    <n v="44999"/>
    <s v="&gt;₹500"/>
    <n v="0.27"/>
    <x v="1"/>
    <x v="0"/>
    <x v="54"/>
    <n v="2035664762"/>
    <x v="0"/>
  </r>
  <r>
    <x v="1"/>
    <x v="2"/>
    <s v="Accessories"/>
    <s v="Cables"/>
    <x v="34"/>
    <n v="1700"/>
    <s v="&gt;₹500"/>
    <n v="0.53"/>
    <x v="0"/>
    <x v="3"/>
    <x v="98"/>
    <n v="48684600"/>
    <x v="0"/>
  </r>
  <r>
    <x v="1"/>
    <x v="2"/>
    <s v="Accessories"/>
    <s v="Cables"/>
    <x v="6"/>
    <n v="595"/>
    <s v="&gt;₹500"/>
    <n v="0.62"/>
    <x v="0"/>
    <x v="4"/>
    <x v="99"/>
    <n v="7636825"/>
    <x v="0"/>
  </r>
  <r>
    <x v="1"/>
    <x v="2"/>
    <s v="Televisions"/>
    <s v="SmartTelevisions"/>
    <x v="75"/>
    <n v="27990"/>
    <s v="&gt;₹500"/>
    <n v="0.64"/>
    <x v="0"/>
    <x v="0"/>
    <x v="100"/>
    <n v="35519310"/>
    <x v="0"/>
  </r>
  <r>
    <x v="1"/>
    <x v="2"/>
    <s v="Accessories"/>
    <s v="RemoteControls"/>
    <x v="12"/>
    <n v="599"/>
    <s v="&gt;₹500"/>
    <n v="0.42"/>
    <x v="1"/>
    <x v="0"/>
    <x v="101"/>
    <n v="170116"/>
    <x v="0"/>
  </r>
  <r>
    <x v="1"/>
    <x v="2"/>
    <s v="Accessories"/>
    <s v="Cables"/>
    <x v="76"/>
    <n v="1200"/>
    <s v="&gt;₹500"/>
    <n v="0.59"/>
    <x v="0"/>
    <x v="5"/>
    <x v="102"/>
    <n v="83445600"/>
    <x v="0"/>
  </r>
  <r>
    <x v="1"/>
    <x v="2"/>
    <s v="Televisions"/>
    <s v="SmartTelevisions"/>
    <x v="77"/>
    <n v="34990"/>
    <s v="&gt;₹500"/>
    <n v="0.31"/>
    <x v="1"/>
    <x v="4"/>
    <x v="21"/>
    <n v="164557970"/>
    <x v="0"/>
  </r>
  <r>
    <x v="0"/>
    <x v="0"/>
    <s v="Cables&amp;Accessories"/>
    <s v="Cables"/>
    <x v="0"/>
    <n v="999"/>
    <s v="&gt;₹500"/>
    <n v="0.6"/>
    <x v="0"/>
    <x v="4"/>
    <x v="84"/>
    <n v="2803194"/>
    <x v="0"/>
  </r>
  <r>
    <x v="1"/>
    <x v="3"/>
    <s v="Accessories"/>
    <s v="SpeakerAccessories"/>
    <x v="12"/>
    <n v="1299"/>
    <s v="&gt;₹500"/>
    <n v="0.73"/>
    <x v="0"/>
    <x v="1"/>
    <x v="103"/>
    <n v="4280205"/>
    <x v="0"/>
  </r>
  <r>
    <x v="0"/>
    <x v="0"/>
    <s v="Cables&amp;Accessories"/>
    <s v="Cables"/>
    <x v="21"/>
    <n v="299"/>
    <s v="₹200–₹500"/>
    <n v="0.4"/>
    <x v="1"/>
    <x v="2"/>
    <x v="104"/>
    <n v="24219"/>
    <x v="0"/>
  </r>
  <r>
    <x v="0"/>
    <x v="0"/>
    <s v="Cables&amp;Accessories"/>
    <s v="Cables"/>
    <x v="78"/>
    <n v="1500"/>
    <s v="&gt;₹500"/>
    <n v="0.54"/>
    <x v="0"/>
    <x v="0"/>
    <x v="105"/>
    <n v="63451500"/>
    <x v="0"/>
  </r>
  <r>
    <x v="1"/>
    <x v="2"/>
    <s v="Televisions"/>
    <s v="SmartTelevisions"/>
    <x v="53"/>
    <n v="49990"/>
    <s v="&gt;₹500"/>
    <n v="0.38"/>
    <x v="1"/>
    <x v="4"/>
    <x v="106"/>
    <n v="68786240"/>
    <x v="0"/>
  </r>
  <r>
    <x v="0"/>
    <x v="0"/>
    <s v="Cables&amp;Accessories"/>
    <s v="Cables"/>
    <x v="14"/>
    <n v="931"/>
    <s v="&gt;₹500"/>
    <n v="0.73"/>
    <x v="0"/>
    <x v="2"/>
    <x v="31"/>
    <n v="1000825"/>
    <x v="0"/>
  </r>
  <r>
    <x v="1"/>
    <x v="2"/>
    <s v="Accessories"/>
    <s v="Cables"/>
    <x v="29"/>
    <n v="2399"/>
    <s v="&gt;₹500"/>
    <n v="0.57999999999999996"/>
    <x v="0"/>
    <x v="13"/>
    <x v="107"/>
    <n v="8789936"/>
    <x v="0"/>
  </r>
  <r>
    <x v="1"/>
    <x v="2"/>
    <s v="Accessories"/>
    <s v="RemoteControls"/>
    <x v="0"/>
    <n v="399"/>
    <s v="₹200–₹500"/>
    <n v="0"/>
    <x v="1"/>
    <x v="2"/>
    <x v="94"/>
    <n v="778449"/>
    <x v="0"/>
  </r>
  <r>
    <x v="0"/>
    <x v="0"/>
    <s v="Cables&amp;Accessories"/>
    <s v="Cables"/>
    <x v="12"/>
    <n v="699"/>
    <s v="&gt;₹500"/>
    <n v="0.5"/>
    <x v="0"/>
    <x v="4"/>
    <x v="26"/>
    <n v="14574150"/>
    <x v="0"/>
  </r>
  <r>
    <x v="0"/>
    <x v="0"/>
    <s v="Cables&amp;Accessories"/>
    <s v="Cables"/>
    <x v="0"/>
    <n v="1099"/>
    <s v="&gt;₹500"/>
    <n v="0.64"/>
    <x v="0"/>
    <x v="3"/>
    <x v="108"/>
    <n v="2950815"/>
    <x v="0"/>
  </r>
  <r>
    <x v="0"/>
    <x v="1"/>
    <s v="NetworkAdapters"/>
    <s v="WirelessUSBAdapters"/>
    <x v="79"/>
    <n v="2999"/>
    <s v="&gt;₹500"/>
    <n v="0.43"/>
    <x v="1"/>
    <x v="5"/>
    <x v="43"/>
    <n v="74315220"/>
    <x v="0"/>
  </r>
  <r>
    <x v="1"/>
    <x v="2"/>
    <s v="Accessories"/>
    <s v="RemoteControls"/>
    <x v="80"/>
    <n v="1099"/>
    <s v="&gt;₹500"/>
    <n v="0.4"/>
    <x v="1"/>
    <x v="14"/>
    <x v="109"/>
    <n v="313215"/>
    <x v="0"/>
  </r>
  <r>
    <x v="0"/>
    <x v="1"/>
    <s v="NetworkAdapters"/>
    <s v="WirelessUSBAdapters"/>
    <x v="81"/>
    <n v="1339"/>
    <s v="&gt;₹500"/>
    <n v="0.44"/>
    <x v="1"/>
    <x v="0"/>
    <x v="110"/>
    <n v="240607588"/>
    <x v="0"/>
  </r>
  <r>
    <x v="1"/>
    <x v="2"/>
    <s v="Televisions"/>
    <s v="SmartTelevisions"/>
    <x v="75"/>
    <n v="12999"/>
    <s v="&gt;₹500"/>
    <n v="0.23"/>
    <x v="1"/>
    <x v="0"/>
    <x v="111"/>
    <n v="79137912"/>
    <x v="0"/>
  </r>
  <r>
    <x v="1"/>
    <x v="2"/>
    <s v="Accessories"/>
    <s v="RemoteControls"/>
    <x v="82"/>
    <n v="499"/>
    <s v="₹200–₹500"/>
    <n v="0.61"/>
    <x v="0"/>
    <x v="7"/>
    <x v="112"/>
    <n v="690117"/>
    <x v="0"/>
  </r>
  <r>
    <x v="0"/>
    <x v="0"/>
    <s v="Cables&amp;Accessories"/>
    <s v="Cables"/>
    <x v="29"/>
    <n v="2100"/>
    <s v="&gt;₹500"/>
    <n v="0.52"/>
    <x v="0"/>
    <x v="6"/>
    <x v="113"/>
    <n v="11533200"/>
    <x v="0"/>
  </r>
  <r>
    <x v="0"/>
    <x v="0"/>
    <s v="Cables&amp;Accessories"/>
    <s v="Cables"/>
    <x v="7"/>
    <n v="899"/>
    <s v="&gt;₹500"/>
    <n v="0.44"/>
    <x v="1"/>
    <x v="0"/>
    <x v="114"/>
    <n v="826181"/>
    <x v="0"/>
  </r>
  <r>
    <x v="1"/>
    <x v="2"/>
    <s v="Accessories"/>
    <s v="Cables"/>
    <x v="83"/>
    <n v="599"/>
    <s v="&gt;₹500"/>
    <n v="0.31"/>
    <x v="1"/>
    <x v="0"/>
    <x v="115"/>
    <n v="17983777"/>
    <x v="0"/>
  </r>
  <r>
    <x v="0"/>
    <x v="0"/>
    <s v="Cables&amp;Accessories"/>
    <s v="Cables"/>
    <x v="84"/>
    <n v="699"/>
    <s v="&gt;₹500"/>
    <n v="0.47"/>
    <x v="1"/>
    <x v="0"/>
    <x v="116"/>
    <n v="270513"/>
    <x v="0"/>
  </r>
  <r>
    <x v="1"/>
    <x v="2"/>
    <s v="Televisions"/>
    <s v="SmartTelevisions"/>
    <x v="85"/>
    <n v="65000"/>
    <s v="&gt;₹500"/>
    <n v="0.54"/>
    <x v="0"/>
    <x v="3"/>
    <x v="117"/>
    <n v="13715000"/>
    <x v="0"/>
  </r>
  <r>
    <x v="0"/>
    <x v="0"/>
    <s v="Cables&amp;Accessories"/>
    <s v="Cables"/>
    <x v="86"/>
    <n v="1099"/>
    <s v="&gt;₹500"/>
    <n v="0.69"/>
    <x v="0"/>
    <x v="4"/>
    <x v="29"/>
    <n v="1070426"/>
    <x v="0"/>
  </r>
  <r>
    <x v="1"/>
    <x v="2"/>
    <s v="Televisions"/>
    <s v="SmartTelevisions"/>
    <x v="87"/>
    <n v="20900"/>
    <s v="&gt;₹500"/>
    <n v="0.26"/>
    <x v="1"/>
    <x v="4"/>
    <x v="19"/>
    <n v="340649100"/>
    <x v="0"/>
  </r>
  <r>
    <x v="0"/>
    <x v="0"/>
    <s v="Cables&amp;Accessories"/>
    <s v="Cables"/>
    <x v="7"/>
    <n v="1299"/>
    <s v="&gt;₹500"/>
    <n v="0.62"/>
    <x v="0"/>
    <x v="4"/>
    <x v="7"/>
    <n v="39503889"/>
    <x v="0"/>
  </r>
  <r>
    <x v="0"/>
    <x v="1"/>
    <s v="NetworkAdapters"/>
    <s v="WirelessUSBAdapters"/>
    <x v="14"/>
    <n v="399"/>
    <s v="₹200–₹500"/>
    <n v="0.38"/>
    <x v="1"/>
    <x v="10"/>
    <x v="118"/>
    <n v="1852158"/>
    <x v="0"/>
  </r>
  <r>
    <x v="1"/>
    <x v="2"/>
    <s v="Accessories"/>
    <s v="RemoteControls"/>
    <x v="0"/>
    <n v="799"/>
    <s v="&gt;₹500"/>
    <n v="0.5"/>
    <x v="0"/>
    <x v="4"/>
    <x v="119"/>
    <n v="9588"/>
    <x v="0"/>
  </r>
  <r>
    <x v="0"/>
    <x v="0"/>
    <s v="Cables&amp;Accessories"/>
    <s v="Cables"/>
    <x v="72"/>
    <n v="1999"/>
    <s v="&gt;₹500"/>
    <n v="0.25"/>
    <x v="1"/>
    <x v="5"/>
    <x v="94"/>
    <n v="3900049"/>
    <x v="0"/>
  </r>
  <r>
    <x v="1"/>
    <x v="2"/>
    <s v="Projectors"/>
    <m/>
    <x v="88"/>
    <n v="15990"/>
    <s v="&gt;₹500"/>
    <n v="0.41"/>
    <x v="1"/>
    <x v="2"/>
    <x v="120"/>
    <n v="167575200"/>
    <x v="0"/>
  </r>
  <r>
    <x v="1"/>
    <x v="2"/>
    <s v="Accessories"/>
    <s v="Cables"/>
    <x v="89"/>
    <n v="1499"/>
    <s v="&gt;₹500"/>
    <n v="0.57999999999999996"/>
    <x v="0"/>
    <x v="3"/>
    <x v="121"/>
    <n v="35976"/>
    <x v="0"/>
  </r>
  <r>
    <x v="1"/>
    <x v="2"/>
    <s v="Accessories"/>
    <s v="RemoteControls"/>
    <x v="0"/>
    <n v="899"/>
    <s v="&gt;₹500"/>
    <n v="0.56000000000000005"/>
    <x v="0"/>
    <x v="2"/>
    <x v="122"/>
    <n v="228346"/>
    <x v="0"/>
  </r>
  <r>
    <x v="1"/>
    <x v="2"/>
    <s v="Accessories"/>
    <s v="Cables"/>
    <x v="90"/>
    <n v="1600"/>
    <s v="&gt;₹500"/>
    <n v="0.32"/>
    <x v="1"/>
    <x v="1"/>
    <x v="123"/>
    <n v="5704000"/>
    <x v="0"/>
  </r>
  <r>
    <x v="0"/>
    <x v="0"/>
    <s v="Cables&amp;Accessories"/>
    <s v="Cables"/>
    <x v="86"/>
    <n v="999"/>
    <s v="&gt;₹500"/>
    <n v="0.66"/>
    <x v="0"/>
    <x v="4"/>
    <x v="124"/>
    <n v="6248745"/>
    <x v="0"/>
  </r>
  <r>
    <x v="0"/>
    <x v="0"/>
    <s v="Cables&amp;Accessories"/>
    <s v="Cables"/>
    <x v="4"/>
    <n v="499"/>
    <s v="₹200–₹500"/>
    <n v="0.7"/>
    <x v="0"/>
    <x v="1"/>
    <x v="61"/>
    <n v="3858268"/>
    <x v="0"/>
  </r>
  <r>
    <x v="0"/>
    <x v="0"/>
    <s v="Cables&amp;Accessories"/>
    <s v="Cables"/>
    <x v="4"/>
    <n v="399"/>
    <s v="₹200–₹500"/>
    <n v="0.63"/>
    <x v="0"/>
    <x v="2"/>
    <x v="125"/>
    <n v="22743"/>
    <x v="0"/>
  </r>
  <r>
    <x v="0"/>
    <x v="0"/>
    <s v="Cables&amp;Accessories"/>
    <s v="Cables"/>
    <x v="23"/>
    <n v="849"/>
    <s v="&gt;₹500"/>
    <n v="0.28999999999999998"/>
    <x v="1"/>
    <x v="6"/>
    <x v="126"/>
    <n v="489873"/>
    <x v="0"/>
  </r>
  <r>
    <x v="1"/>
    <x v="2"/>
    <s v="Accessories"/>
    <s v="RemoteControls"/>
    <x v="8"/>
    <n v="1199"/>
    <s v="&gt;₹500"/>
    <n v="0.75"/>
    <x v="0"/>
    <x v="2"/>
    <x v="127"/>
    <n v="1430407"/>
    <x v="0"/>
  </r>
  <r>
    <x v="0"/>
    <x v="0"/>
    <s v="Cables&amp;Accessories"/>
    <s v="Cables"/>
    <x v="0"/>
    <n v="1299"/>
    <s v="&gt;₹500"/>
    <n v="0.69"/>
    <x v="0"/>
    <x v="0"/>
    <x v="83"/>
    <n v="17042880"/>
    <x v="0"/>
  </r>
  <r>
    <x v="1"/>
    <x v="2"/>
    <s v="Accessories"/>
    <s v="RemoteControls"/>
    <x v="86"/>
    <n v="1999"/>
    <s v="&gt;₹500"/>
    <n v="0.83"/>
    <x v="0"/>
    <x v="1"/>
    <x v="128"/>
    <n v="685657"/>
    <x v="0"/>
  </r>
  <r>
    <x v="1"/>
    <x v="2"/>
    <s v="Televisions"/>
    <s v="SmartTelevisions"/>
    <x v="91"/>
    <n v="22990"/>
    <s v="&gt;₹500"/>
    <n v="0.46"/>
    <x v="1"/>
    <x v="4"/>
    <x v="129"/>
    <n v="37036890"/>
    <x v="0"/>
  </r>
  <r>
    <x v="0"/>
    <x v="0"/>
    <s v="Cables&amp;Accessories"/>
    <s v="Cables"/>
    <x v="14"/>
    <n v="399"/>
    <s v="₹200–₹500"/>
    <n v="0.38"/>
    <x v="1"/>
    <x v="1"/>
    <x v="130"/>
    <n v="2616642"/>
    <x v="0"/>
  </r>
  <r>
    <x v="0"/>
    <x v="1"/>
    <s v="NetworkAdapters"/>
    <s v="WirelessUSBAdapters"/>
    <x v="92"/>
    <n v="2499"/>
    <s v="&gt;₹500"/>
    <n v="0.44"/>
    <x v="1"/>
    <x v="5"/>
    <x v="131"/>
    <n v="57899331"/>
    <x v="0"/>
  </r>
  <r>
    <x v="1"/>
    <x v="2"/>
    <s v="Televisions"/>
    <s v="SmartTelevisions"/>
    <x v="26"/>
    <n v="47990"/>
    <s v="&gt;₹500"/>
    <n v="0.31"/>
    <x v="1"/>
    <x v="4"/>
    <x v="21"/>
    <n v="225696970"/>
    <x v="0"/>
  </r>
  <r>
    <x v="0"/>
    <x v="0"/>
    <s v="Cables&amp;Accessories"/>
    <s v="Cables"/>
    <x v="4"/>
    <n v="399"/>
    <s v="₹200–₹500"/>
    <n v="0.63"/>
    <x v="0"/>
    <x v="1"/>
    <x v="64"/>
    <n v="567777"/>
    <x v="0"/>
  </r>
  <r>
    <x v="0"/>
    <x v="0"/>
    <s v="Cables&amp;Accessories"/>
    <s v="Cables"/>
    <x v="50"/>
    <n v="999"/>
    <s v="&gt;₹500"/>
    <n v="0.67"/>
    <x v="0"/>
    <x v="4"/>
    <x v="132"/>
    <n v="2648349"/>
    <x v="0"/>
  </r>
  <r>
    <x v="0"/>
    <x v="0"/>
    <s v="Cables&amp;Accessories"/>
    <s v="Cables"/>
    <x v="0"/>
    <n v="1999"/>
    <s v="&gt;₹500"/>
    <n v="0.8"/>
    <x v="0"/>
    <x v="15"/>
    <x v="133"/>
    <n v="9995"/>
    <x v="0"/>
  </r>
  <r>
    <x v="0"/>
    <x v="1"/>
    <s v="NetworkAdapters"/>
    <s v="WirelessUSBAdapters"/>
    <x v="1"/>
    <n v="499"/>
    <s v="₹200–₹500"/>
    <n v="0.6"/>
    <x v="0"/>
    <x v="7"/>
    <x v="134"/>
    <n v="305388"/>
    <x v="0"/>
  </r>
  <r>
    <x v="0"/>
    <x v="0"/>
    <s v="Cables&amp;Accessories"/>
    <s v="Cables"/>
    <x v="93"/>
    <n v="299"/>
    <s v="₹200–₹500"/>
    <n v="0.71"/>
    <x v="0"/>
    <x v="1"/>
    <x v="20"/>
    <n v="2804022"/>
    <x v="0"/>
  </r>
  <r>
    <x v="0"/>
    <x v="0"/>
    <s v="Cables&amp;Accessories"/>
    <s v="Cables"/>
    <x v="0"/>
    <n v="1099"/>
    <s v="&gt;₹500"/>
    <n v="0.64"/>
    <x v="0"/>
    <x v="3"/>
    <x v="108"/>
    <n v="2950815"/>
    <x v="0"/>
  </r>
  <r>
    <x v="0"/>
    <x v="0"/>
    <s v="Cables&amp;Accessories"/>
    <s v="Cables"/>
    <x v="94"/>
    <n v="199"/>
    <s v="&lt;₹200"/>
    <n v="0.71"/>
    <x v="0"/>
    <x v="1"/>
    <x v="20"/>
    <n v="1866222"/>
    <x v="0"/>
  </r>
  <r>
    <x v="1"/>
    <x v="2"/>
    <s v="Accessories"/>
    <s v="RemoteControls"/>
    <x v="34"/>
    <n v="1999"/>
    <s v="&gt;₹500"/>
    <n v="0.6"/>
    <x v="0"/>
    <x v="8"/>
    <x v="33"/>
    <n v="1151424"/>
    <x v="0"/>
  </r>
  <r>
    <x v="1"/>
    <x v="2"/>
    <s v="Accessories"/>
    <s v="RemoteControls"/>
    <x v="95"/>
    <n v="499"/>
    <s v="₹200–₹500"/>
    <n v="0.59"/>
    <x v="0"/>
    <x v="11"/>
    <x v="135"/>
    <n v="156187"/>
    <x v="0"/>
  </r>
  <r>
    <x v="0"/>
    <x v="0"/>
    <s v="Cables&amp;Accessories"/>
    <s v="Cables"/>
    <x v="8"/>
    <n v="699"/>
    <s v="&gt;₹500"/>
    <n v="0.56999999999999995"/>
    <x v="0"/>
    <x v="3"/>
    <x v="136"/>
    <n v="2066943"/>
    <x v="0"/>
  </r>
  <r>
    <x v="0"/>
    <x v="0"/>
    <s v="Cables&amp;Accessories"/>
    <s v="Cables"/>
    <x v="61"/>
    <n v="999"/>
    <s v="&gt;₹500"/>
    <n v="0.15"/>
    <x v="1"/>
    <x v="3"/>
    <x v="137"/>
    <n v="6729264"/>
    <x v="0"/>
  </r>
  <r>
    <x v="0"/>
    <x v="0"/>
    <s v="Cables&amp;Accessories"/>
    <s v="Cables"/>
    <x v="96"/>
    <n v="1999"/>
    <s v="&gt;₹500"/>
    <n v="0.53"/>
    <x v="0"/>
    <x v="5"/>
    <x v="32"/>
    <n v="27090448"/>
    <x v="0"/>
  </r>
  <r>
    <x v="0"/>
    <x v="0"/>
    <s v="Cables&amp;Accessories"/>
    <s v="Cables"/>
    <x v="7"/>
    <n v="1200"/>
    <s v="&gt;₹500"/>
    <n v="0.57999999999999996"/>
    <x v="0"/>
    <x v="4"/>
    <x v="138"/>
    <n v="6541200"/>
    <x v="0"/>
  </r>
  <r>
    <x v="0"/>
    <x v="0"/>
    <s v="Cables&amp;Accessories"/>
    <s v="Cables"/>
    <x v="8"/>
    <n v="485"/>
    <s v="₹200–₹500"/>
    <n v="0.38"/>
    <x v="1"/>
    <x v="4"/>
    <x v="139"/>
    <n v="5291835"/>
    <x v="0"/>
  </r>
  <r>
    <x v="0"/>
    <x v="0"/>
    <s v="Cables&amp;Accessories"/>
    <s v="Cables"/>
    <x v="96"/>
    <n v="1999"/>
    <s v="&gt;₹500"/>
    <n v="0.53"/>
    <x v="0"/>
    <x v="5"/>
    <x v="32"/>
    <n v="27090448"/>
    <x v="0"/>
  </r>
  <r>
    <x v="0"/>
    <x v="0"/>
    <s v="Cables&amp;Accessories"/>
    <s v="Cables"/>
    <x v="97"/>
    <n v="1099"/>
    <s v="&gt;₹500"/>
    <n v="0.66"/>
    <x v="0"/>
    <x v="4"/>
    <x v="84"/>
    <n v="3083794"/>
    <x v="0"/>
  </r>
  <r>
    <x v="1"/>
    <x v="2"/>
    <s v="Televisions"/>
    <s v="SmartTelevisions"/>
    <x v="98"/>
    <n v="18990"/>
    <s v="&gt;₹500"/>
    <n v="0.53"/>
    <x v="0"/>
    <x v="2"/>
    <x v="140"/>
    <n v="6646500"/>
    <x v="0"/>
  </r>
  <r>
    <x v="1"/>
    <x v="2"/>
    <s v="Accessories"/>
    <s v="Cables"/>
    <x v="99"/>
    <n v="1999"/>
    <s v="&gt;₹500"/>
    <n v="0.76"/>
    <x v="0"/>
    <x v="0"/>
    <x v="115"/>
    <n v="60015977"/>
    <x v="0"/>
  </r>
  <r>
    <x v="1"/>
    <x v="2"/>
    <s v="Televisions"/>
    <s v="StandardTelevisions"/>
    <x v="100"/>
    <n v="11000"/>
    <s v="&gt;₹500"/>
    <n v="0.48"/>
    <x v="1"/>
    <x v="0"/>
    <x v="45"/>
    <n v="44033000"/>
    <x v="0"/>
  </r>
  <r>
    <x v="0"/>
    <x v="0"/>
    <s v="Cables&amp;Accessories"/>
    <s v="Cables"/>
    <x v="101"/>
    <n v="1999"/>
    <s v="&gt;₹500"/>
    <n v="0.65"/>
    <x v="0"/>
    <x v="3"/>
    <x v="141"/>
    <n v="357455183"/>
    <x v="0"/>
  </r>
  <r>
    <x v="1"/>
    <x v="2"/>
    <s v="Televisions"/>
    <s v="SmartTelevisions"/>
    <x v="102"/>
    <n v="70900"/>
    <s v="&gt;₹500"/>
    <n v="0.32"/>
    <x v="1"/>
    <x v="4"/>
    <x v="51"/>
    <n v="504028100"/>
    <x v="0"/>
  </r>
  <r>
    <x v="1"/>
    <x v="2"/>
    <s v="Accessories"/>
    <s v="RemoteControls"/>
    <x v="8"/>
    <n v="1199"/>
    <s v="&gt;₹500"/>
    <n v="0.75"/>
    <x v="0"/>
    <x v="7"/>
    <x v="142"/>
    <n v="587510"/>
    <x v="0"/>
  </r>
  <r>
    <x v="0"/>
    <x v="0"/>
    <s v="Cables&amp;Accessories"/>
    <s v="Cables"/>
    <x v="103"/>
    <n v="599"/>
    <s v="&gt;₹500"/>
    <n v="0.47"/>
    <x v="1"/>
    <x v="3"/>
    <x v="143"/>
    <n v="294109"/>
    <x v="0"/>
  </r>
  <r>
    <x v="0"/>
    <x v="0"/>
    <s v="Cables&amp;Accessories"/>
    <s v="Cables"/>
    <x v="41"/>
    <n v="549"/>
    <s v="&gt;₹500"/>
    <n v="0.75"/>
    <x v="0"/>
    <x v="2"/>
    <x v="144"/>
    <n v="33489"/>
    <x v="0"/>
  </r>
  <r>
    <x v="0"/>
    <x v="0"/>
    <s v="Cables&amp;Accessories"/>
    <s v="Cables"/>
    <x v="104"/>
    <n v="249"/>
    <s v="₹200–₹500"/>
    <n v="0.48"/>
    <x v="1"/>
    <x v="1"/>
    <x v="20"/>
    <n v="2335122"/>
    <x v="0"/>
  </r>
  <r>
    <x v="1"/>
    <x v="2"/>
    <s v="Televisions"/>
    <s v="SmartTelevisions"/>
    <x v="55"/>
    <n v="35999"/>
    <s v="&gt;₹500"/>
    <n v="0.31"/>
    <x v="1"/>
    <x v="0"/>
    <x v="14"/>
    <n v="1182207160"/>
    <x v="0"/>
  </r>
  <r>
    <x v="0"/>
    <x v="0"/>
    <s v="Cables&amp;Accessories"/>
    <s v="Cables"/>
    <x v="29"/>
    <n v="1699"/>
    <s v="&gt;₹500"/>
    <n v="0.41"/>
    <x v="1"/>
    <x v="5"/>
    <x v="145"/>
    <n v="12433282"/>
    <x v="0"/>
  </r>
  <r>
    <x v="0"/>
    <x v="0"/>
    <s v="Cables&amp;Accessories"/>
    <s v="Cables"/>
    <x v="105"/>
    <n v="499"/>
    <s v="₹200–₹500"/>
    <n v="0.55000000000000004"/>
    <x v="0"/>
    <x v="3"/>
    <x v="146"/>
    <n v="393711"/>
    <x v="0"/>
  </r>
  <r>
    <x v="1"/>
    <x v="2"/>
    <s v="Accessories"/>
    <s v="RemoteControls"/>
    <x v="106"/>
    <n v="2999"/>
    <s v="&gt;₹500"/>
    <n v="0.82"/>
    <x v="0"/>
    <x v="4"/>
    <x v="147"/>
    <n v="1220593"/>
    <x v="0"/>
  </r>
  <r>
    <x v="0"/>
    <x v="0"/>
    <s v="Cables&amp;Accessories"/>
    <s v="Cables"/>
    <x v="107"/>
    <n v="699"/>
    <s v="&gt;₹500"/>
    <n v="0.63"/>
    <x v="0"/>
    <x v="11"/>
    <x v="148"/>
    <n v="1676901"/>
    <x v="0"/>
  </r>
  <r>
    <x v="1"/>
    <x v="2"/>
    <s v="Accessories"/>
    <s v="RemoteControls"/>
    <x v="108"/>
    <n v="699"/>
    <s v="&gt;₹500"/>
    <n v="0.66"/>
    <x v="0"/>
    <x v="5"/>
    <x v="149"/>
    <n v="1845360"/>
    <x v="0"/>
  </r>
  <r>
    <x v="1"/>
    <x v="2"/>
    <s v="Accessories"/>
    <s v="RemoteControls"/>
    <x v="12"/>
    <n v="999"/>
    <s v="&gt;₹500"/>
    <n v="0.65"/>
    <x v="0"/>
    <x v="1"/>
    <x v="150"/>
    <n v="838161"/>
    <x v="0"/>
  </r>
  <r>
    <x v="1"/>
    <x v="2"/>
    <s v="Accessories"/>
    <s v="Cables"/>
    <x v="109"/>
    <n v="599"/>
    <s v="&gt;₹500"/>
    <n v="0.22"/>
    <x v="1"/>
    <x v="5"/>
    <x v="151"/>
    <n v="26388346"/>
    <x v="0"/>
  </r>
  <r>
    <x v="0"/>
    <x v="0"/>
    <s v="Cables&amp;Accessories"/>
    <s v="Cables"/>
    <x v="63"/>
    <n v="599"/>
    <s v="&gt;₹500"/>
    <n v="0.25"/>
    <x v="1"/>
    <x v="1"/>
    <x v="152"/>
    <n v="1935369"/>
    <x v="0"/>
  </r>
  <r>
    <x v="1"/>
    <x v="2"/>
    <s v="Televisions"/>
    <s v="SmartTelevisions"/>
    <x v="110"/>
    <n v="31990"/>
    <s v="&gt;₹500"/>
    <n v="0.63"/>
    <x v="0"/>
    <x v="0"/>
    <x v="153"/>
    <n v="2047360"/>
    <x v="0"/>
  </r>
  <r>
    <x v="0"/>
    <x v="0"/>
    <s v="Cables&amp;Accessories"/>
    <s v="Cables"/>
    <x v="10"/>
    <n v="599"/>
    <s v="&gt;₹500"/>
    <n v="0.42"/>
    <x v="1"/>
    <x v="2"/>
    <x v="154"/>
    <n v="4980086"/>
    <x v="0"/>
  </r>
  <r>
    <x v="0"/>
    <x v="0"/>
    <s v="Cables&amp;Accessories"/>
    <s v="Cables"/>
    <x v="111"/>
    <n v="999"/>
    <s v="&gt;₹500"/>
    <n v="0.75"/>
    <x v="0"/>
    <x v="7"/>
    <x v="155"/>
    <n v="2246751"/>
    <x v="0"/>
  </r>
  <r>
    <x v="1"/>
    <x v="2"/>
    <s v="Accessories"/>
    <s v="RemoteControls"/>
    <x v="112"/>
    <n v="599"/>
    <s v="&gt;₹500"/>
    <n v="0.66"/>
    <x v="0"/>
    <x v="9"/>
    <x v="156"/>
    <n v="203061"/>
    <x v="0"/>
  </r>
  <r>
    <x v="1"/>
    <x v="2"/>
    <s v="Projectors"/>
    <m/>
    <x v="113"/>
    <n v="9990"/>
    <s v="&gt;₹500"/>
    <n v="0.35"/>
    <x v="1"/>
    <x v="1"/>
    <x v="157"/>
    <n v="269730"/>
    <x v="0"/>
  </r>
  <r>
    <x v="1"/>
    <x v="2"/>
    <s v="Accessories"/>
    <s v="RemoteControls"/>
    <x v="114"/>
    <n v="599"/>
    <s v="&gt;₹500"/>
    <n v="0.61"/>
    <x v="0"/>
    <x v="12"/>
    <x v="158"/>
    <n v="118003"/>
    <x v="0"/>
  </r>
  <r>
    <x v="0"/>
    <x v="0"/>
    <s v="Cables&amp;Accessories"/>
    <s v="Cables"/>
    <x v="8"/>
    <n v="800"/>
    <s v="&gt;₹500"/>
    <n v="0.63"/>
    <x v="0"/>
    <x v="6"/>
    <x v="159"/>
    <n v="59981600"/>
    <x v="0"/>
  </r>
  <r>
    <x v="0"/>
    <x v="0"/>
    <s v="Cables&amp;Accessories"/>
    <s v="Cables"/>
    <x v="34"/>
    <n v="1999"/>
    <s v="&gt;₹500"/>
    <n v="0.6"/>
    <x v="0"/>
    <x v="0"/>
    <x v="160"/>
    <n v="17157417"/>
    <x v="0"/>
  </r>
  <r>
    <x v="1"/>
    <x v="2"/>
    <s v="Accessories"/>
    <s v="RemoteControls"/>
    <x v="8"/>
    <n v="999"/>
    <s v="&gt;₹500"/>
    <n v="0.7"/>
    <x v="0"/>
    <x v="11"/>
    <x v="161"/>
    <n v="927072"/>
    <x v="0"/>
  </r>
  <r>
    <x v="1"/>
    <x v="2"/>
    <s v="Televisions"/>
    <s v="StandardTelevisions"/>
    <x v="35"/>
    <n v="16990"/>
    <s v="&gt;₹500"/>
    <n v="0.59"/>
    <x v="0"/>
    <x v="11"/>
    <x v="162"/>
    <n v="1868900"/>
    <x v="0"/>
  </r>
  <r>
    <x v="1"/>
    <x v="2"/>
    <s v="Televisions"/>
    <s v="SmartTelevisions"/>
    <x v="115"/>
    <n v="59999"/>
    <s v="&gt;₹500"/>
    <n v="0.28000000000000003"/>
    <x v="1"/>
    <x v="3"/>
    <x v="163"/>
    <n v="405173247"/>
    <x v="0"/>
  </r>
  <r>
    <x v="1"/>
    <x v="2"/>
    <s v="Accessories"/>
    <s v="Cables"/>
    <x v="116"/>
    <n v="999"/>
    <s v="&gt;₹500"/>
    <n v="0.83"/>
    <x v="0"/>
    <x v="4"/>
    <x v="164"/>
    <n v="1235763"/>
    <x v="0"/>
  </r>
  <r>
    <x v="1"/>
    <x v="3"/>
    <s v="Accessories"/>
    <s v="Adapters"/>
    <x v="27"/>
    <n v="600"/>
    <s v="&gt;₹500"/>
    <n v="0.65"/>
    <x v="0"/>
    <x v="5"/>
    <x v="165"/>
    <n v="11323200"/>
    <x v="0"/>
  </r>
  <r>
    <x v="0"/>
    <x v="0"/>
    <s v="Cables&amp;Accessories"/>
    <s v="Cables"/>
    <x v="117"/>
    <n v="1490"/>
    <s v="&gt;₹500"/>
    <n v="0.43"/>
    <x v="1"/>
    <x v="2"/>
    <x v="166"/>
    <n v="530440"/>
    <x v="0"/>
  </r>
  <r>
    <x v="0"/>
    <x v="0"/>
    <s v="Cables&amp;Accessories"/>
    <s v="Cables"/>
    <x v="37"/>
    <n v="1999"/>
    <s v="&gt;₹500"/>
    <n v="0.68"/>
    <x v="0"/>
    <x v="0"/>
    <x v="0"/>
    <n v="48513731"/>
    <x v="0"/>
  </r>
  <r>
    <x v="1"/>
    <x v="2"/>
    <s v="Accessories"/>
    <s v="RemoteControls"/>
    <x v="8"/>
    <n v="899"/>
    <s v="&gt;₹500"/>
    <n v="0.67"/>
    <x v="0"/>
    <x v="11"/>
    <x v="73"/>
    <n v="382075"/>
    <x v="0"/>
  </r>
  <r>
    <x v="1"/>
    <x v="2"/>
    <s v="Accessories"/>
    <s v="TVMounts,Stands&amp;Turntables"/>
    <x v="0"/>
    <n v="799"/>
    <s v="&gt;₹500"/>
    <n v="0.5"/>
    <x v="0"/>
    <x v="3"/>
    <x v="167"/>
    <n v="927639"/>
    <x v="0"/>
  </r>
  <r>
    <x v="0"/>
    <x v="0"/>
    <s v="Cables&amp;Accessories"/>
    <s v="Cables"/>
    <x v="14"/>
    <n v="499"/>
    <s v="₹200–₹500"/>
    <n v="0.5"/>
    <x v="0"/>
    <x v="3"/>
    <x v="168"/>
    <n v="752492"/>
    <x v="0"/>
  </r>
  <r>
    <x v="1"/>
    <x v="2"/>
    <s v="SatelliteEquipment"/>
    <s v="SatelliteReceivers"/>
    <x v="118"/>
    <n v="2299"/>
    <s v="&gt;₹500"/>
    <n v="0.46"/>
    <x v="1"/>
    <x v="4"/>
    <x v="169"/>
    <n v="17555164"/>
    <x v="0"/>
  </r>
  <r>
    <x v="1"/>
    <x v="2"/>
    <s v="Accessories"/>
    <s v="RemoteControls"/>
    <x v="119"/>
    <n v="499"/>
    <s v="₹200–₹500"/>
    <n v="0.56999999999999995"/>
    <x v="0"/>
    <x v="7"/>
    <x v="170"/>
    <n v="122754"/>
    <x v="0"/>
  </r>
  <r>
    <x v="1"/>
    <x v="2"/>
    <s v="Accessories"/>
    <s v="RemoteControls"/>
    <x v="27"/>
    <n v="499"/>
    <s v="₹200–₹500"/>
    <n v="0.57999999999999996"/>
    <x v="0"/>
    <x v="1"/>
    <x v="171"/>
    <n v="239021"/>
    <x v="0"/>
  </r>
  <r>
    <x v="1"/>
    <x v="2"/>
    <s v="Accessories"/>
    <s v="Cables"/>
    <x v="120"/>
    <n v="4999"/>
    <s v="&gt;₹500"/>
    <n v="0.88"/>
    <x v="0"/>
    <x v="0"/>
    <x v="172"/>
    <n v="4549090"/>
    <x v="0"/>
  </r>
  <r>
    <x v="0"/>
    <x v="0"/>
    <s v="Cables&amp;Accessories"/>
    <s v="Cables"/>
    <x v="34"/>
    <n v="1749"/>
    <s v="&gt;₹500"/>
    <n v="0.54"/>
    <x v="0"/>
    <x v="3"/>
    <x v="173"/>
    <n v="9839874"/>
    <x v="0"/>
  </r>
  <r>
    <x v="0"/>
    <x v="0"/>
    <s v="Cables&amp;Accessories"/>
    <s v="Cables"/>
    <x v="11"/>
    <n v="595"/>
    <s v="&gt;₹500"/>
    <n v="0.73"/>
    <x v="0"/>
    <x v="4"/>
    <x v="174"/>
    <n v="8439480"/>
    <x v="0"/>
  </r>
  <r>
    <x v="0"/>
    <x v="0"/>
    <s v="Cables&amp;Accessories"/>
    <s v="Cables"/>
    <x v="7"/>
    <n v="1100"/>
    <s v="&gt;₹500"/>
    <n v="0.55000000000000004"/>
    <x v="0"/>
    <x v="5"/>
    <x v="175"/>
    <n v="27694700"/>
    <x v="0"/>
  </r>
  <r>
    <x v="1"/>
    <x v="2"/>
    <s v="Televisions"/>
    <s v="SmartTelevisions"/>
    <x v="121"/>
    <n v="49999"/>
    <s v="&gt;₹500"/>
    <n v="0.36"/>
    <x v="1"/>
    <x v="4"/>
    <x v="176"/>
    <n v="1062578748"/>
    <x v="0"/>
  </r>
  <r>
    <x v="1"/>
    <x v="2"/>
    <s v="Televisions"/>
    <s v="SmartTelevisions"/>
    <x v="40"/>
    <n v="56790"/>
    <s v="&gt;₹500"/>
    <n v="0.42"/>
    <x v="1"/>
    <x v="4"/>
    <x v="177"/>
    <n v="32199930"/>
    <x v="0"/>
  </r>
  <r>
    <x v="1"/>
    <x v="2"/>
    <s v="Accessories"/>
    <s v="RemoteControls"/>
    <x v="8"/>
    <n v="1199"/>
    <s v="&gt;₹500"/>
    <n v="0.75"/>
    <x v="0"/>
    <x v="12"/>
    <x v="178"/>
    <n v="558734"/>
    <x v="0"/>
  </r>
  <r>
    <x v="0"/>
    <x v="0"/>
    <s v="Cables&amp;Accessories"/>
    <s v="Cables"/>
    <x v="122"/>
    <n v="549"/>
    <s v="&gt;₹500"/>
    <n v="0.77"/>
    <x v="0"/>
    <x v="2"/>
    <x v="144"/>
    <n v="33489"/>
    <x v="0"/>
  </r>
  <r>
    <x v="0"/>
    <x v="0"/>
    <s v="Cables&amp;Accessories"/>
    <s v="Cables"/>
    <x v="23"/>
    <n v="849"/>
    <s v="&gt;₹500"/>
    <n v="0.28999999999999998"/>
    <x v="1"/>
    <x v="6"/>
    <x v="179"/>
    <n v="402426"/>
    <x v="0"/>
  </r>
  <r>
    <x v="1"/>
    <x v="2"/>
    <s v="Accessories"/>
    <s v="RemoteControls"/>
    <x v="0"/>
    <n v="899"/>
    <s v="&gt;₹500"/>
    <n v="0.56000000000000005"/>
    <x v="0"/>
    <x v="10"/>
    <x v="180"/>
    <n v="387469"/>
    <x v="0"/>
  </r>
  <r>
    <x v="0"/>
    <x v="0"/>
    <s v="Cables&amp;Accessories"/>
    <s v="Cables"/>
    <x v="63"/>
    <n v="1099"/>
    <s v="&gt;₹500"/>
    <n v="0.59"/>
    <x v="0"/>
    <x v="1"/>
    <x v="181"/>
    <n v="265958"/>
    <x v="0"/>
  </r>
  <r>
    <x v="0"/>
    <x v="0"/>
    <s v="Cables&amp;Accessories"/>
    <s v="Cables"/>
    <x v="123"/>
    <n v="799"/>
    <s v="&gt;₹500"/>
    <n v="0.68"/>
    <x v="0"/>
    <x v="1"/>
    <x v="182"/>
    <n v="2321095"/>
    <x v="0"/>
  </r>
  <r>
    <x v="1"/>
    <x v="2"/>
    <s v="Accessories"/>
    <s v="Cables"/>
    <x v="0"/>
    <n v="795"/>
    <s v="&gt;₹500"/>
    <n v="0.5"/>
    <x v="0"/>
    <x v="5"/>
    <x v="183"/>
    <n v="9612345"/>
    <x v="0"/>
  </r>
  <r>
    <x v="0"/>
    <x v="0"/>
    <s v="Cables&amp;Accessories"/>
    <s v="Cables"/>
    <x v="21"/>
    <n v="399"/>
    <s v="₹200–₹500"/>
    <n v="0.55000000000000004"/>
    <x v="0"/>
    <x v="1"/>
    <x v="64"/>
    <n v="567777"/>
    <x v="0"/>
  </r>
  <r>
    <x v="0"/>
    <x v="0"/>
    <s v="Cables&amp;Accessories"/>
    <s v="Cables"/>
    <x v="86"/>
    <n v="999"/>
    <s v="&gt;₹500"/>
    <n v="0.66"/>
    <x v="0"/>
    <x v="4"/>
    <x v="124"/>
    <n v="6248745"/>
    <x v="0"/>
  </r>
  <r>
    <x v="1"/>
    <x v="2"/>
    <s v="Accessories"/>
    <s v="TVMounts,Stands&amp;Turntables"/>
    <x v="0"/>
    <n v="999"/>
    <s v="&gt;₹500"/>
    <n v="0.6"/>
    <x v="0"/>
    <x v="1"/>
    <x v="184"/>
    <n v="1234764"/>
    <x v="0"/>
  </r>
  <r>
    <x v="1"/>
    <x v="2"/>
    <s v="Accessories"/>
    <s v="RemoteControls"/>
    <x v="1"/>
    <n v="399"/>
    <s v="₹200–₹500"/>
    <n v="0.5"/>
    <x v="0"/>
    <x v="0"/>
    <x v="185"/>
    <n v="532665"/>
    <x v="0"/>
  </r>
  <r>
    <x v="1"/>
    <x v="2"/>
    <s v="Accessories"/>
    <s v="RemoteControls"/>
    <x v="12"/>
    <n v="1999"/>
    <s v="&gt;₹500"/>
    <n v="0.83"/>
    <x v="0"/>
    <x v="11"/>
    <x v="158"/>
    <n v="393803"/>
    <x v="0"/>
  </r>
  <r>
    <x v="0"/>
    <x v="0"/>
    <s v="Cables&amp;Accessories"/>
    <s v="Cables"/>
    <x v="8"/>
    <n v="798"/>
    <s v="&gt;₹500"/>
    <n v="0.63"/>
    <x v="0"/>
    <x v="5"/>
    <x v="69"/>
    <n v="22975218"/>
    <x v="0"/>
  </r>
  <r>
    <x v="0"/>
    <x v="0"/>
    <s v="Cables&amp;Accessories"/>
    <s v="Cables"/>
    <x v="124"/>
    <n v="800"/>
    <s v="&gt;₹500"/>
    <n v="0.89"/>
    <x v="0"/>
    <x v="2"/>
    <x v="31"/>
    <n v="860000"/>
    <x v="0"/>
  </r>
  <r>
    <x v="0"/>
    <x v="0"/>
    <s v="Cables&amp;Accessories"/>
    <s v="Cables"/>
    <x v="125"/>
    <n v="995"/>
    <s v="&gt;₹500"/>
    <n v="0.45"/>
    <x v="1"/>
    <x v="0"/>
    <x v="53"/>
    <n v="29597270"/>
    <x v="0"/>
  </r>
  <r>
    <x v="0"/>
    <x v="0"/>
    <s v="Cables&amp;Accessories"/>
    <s v="Cables"/>
    <x v="104"/>
    <n v="1000"/>
    <s v="&gt;₹500"/>
    <n v="0.87"/>
    <x v="0"/>
    <x v="2"/>
    <x v="186"/>
    <n v="295000"/>
    <x v="0"/>
  </r>
  <r>
    <x v="1"/>
    <x v="2"/>
    <s v="Televisions"/>
    <s v="SmartTelevisions"/>
    <x v="126"/>
    <s v="1,39,900"/>
    <s v="&gt;₹500"/>
    <n v="0.44"/>
    <x v="1"/>
    <x v="16"/>
    <x v="187"/>
    <e v="#VALUE!"/>
    <x v="0"/>
  </r>
  <r>
    <x v="1"/>
    <x v="2"/>
    <s v="Accessories"/>
    <s v="RemoteControls"/>
    <x v="12"/>
    <n v="799"/>
    <s v="&gt;₹500"/>
    <n v="0.56000000000000005"/>
    <x v="0"/>
    <x v="9"/>
    <x v="188"/>
    <n v="258077"/>
    <x v="0"/>
  </r>
  <r>
    <x v="1"/>
    <x v="2"/>
    <s v="Accessories"/>
    <s v="RemoteControls"/>
    <x v="7"/>
    <n v="899"/>
    <s v="&gt;₹500"/>
    <n v="0.44"/>
    <x v="1"/>
    <x v="7"/>
    <x v="189"/>
    <n v="166315"/>
    <x v="0"/>
  </r>
  <r>
    <x v="0"/>
    <x v="0"/>
    <s v="Cables&amp;Accessories"/>
    <s v="Cables"/>
    <x v="8"/>
    <n v="799"/>
    <s v="&gt;₹500"/>
    <n v="0.63"/>
    <x v="0"/>
    <x v="0"/>
    <x v="190"/>
    <n v="1691483"/>
    <x v="0"/>
  </r>
  <r>
    <x v="0"/>
    <x v="0"/>
    <s v="Cables&amp;Accessories"/>
    <s v="Cables"/>
    <x v="127"/>
    <n v="599"/>
    <s v="&gt;₹500"/>
    <n v="0.7"/>
    <x v="0"/>
    <x v="1"/>
    <x v="20"/>
    <n v="5617422"/>
    <x v="0"/>
  </r>
  <r>
    <x v="1"/>
    <x v="2"/>
    <s v="Accessories"/>
    <s v="TVMounts,Stands&amp;Turntables"/>
    <x v="128"/>
    <n v="399"/>
    <s v="₹200–₹500"/>
    <n v="0.76"/>
    <x v="0"/>
    <x v="9"/>
    <x v="191"/>
    <n v="716604"/>
    <x v="0"/>
  </r>
  <r>
    <x v="1"/>
    <x v="2"/>
    <s v="Televisions"/>
    <s v="SmartTelevisions"/>
    <x v="129"/>
    <n v="85000"/>
    <s v="&gt;₹500"/>
    <n v="0.35"/>
    <x v="1"/>
    <x v="4"/>
    <x v="86"/>
    <n v="304895000"/>
    <x v="0"/>
  </r>
  <r>
    <x v="1"/>
    <x v="2"/>
    <s v="Accessories"/>
    <s v="Cables"/>
    <x v="130"/>
    <n v="758"/>
    <s v="&gt;₹500"/>
    <n v="0.42"/>
    <x v="1"/>
    <x v="0"/>
    <x v="192"/>
    <n v="3256368"/>
    <x v="0"/>
  </r>
  <r>
    <x v="0"/>
    <x v="0"/>
    <s v="Cables&amp;Accessories"/>
    <s v="Cables"/>
    <x v="8"/>
    <n v="999"/>
    <s v="&gt;₹500"/>
    <n v="0.7"/>
    <x v="0"/>
    <x v="4"/>
    <x v="132"/>
    <n v="2648349"/>
    <x v="0"/>
  </r>
  <r>
    <x v="0"/>
    <x v="0"/>
    <s v="Cables&amp;Accessories"/>
    <s v="Cables"/>
    <x v="8"/>
    <n v="799"/>
    <s v="&gt;₹500"/>
    <n v="0.63"/>
    <x v="0"/>
    <x v="0"/>
    <x v="3"/>
    <n v="75396037"/>
    <x v="0"/>
  </r>
  <r>
    <x v="0"/>
    <x v="0"/>
    <s v="Cables&amp;Accessories"/>
    <s v="Cables"/>
    <x v="131"/>
    <n v="1999"/>
    <s v="&gt;₹500"/>
    <n v="0.61"/>
    <x v="0"/>
    <x v="0"/>
    <x v="193"/>
    <n v="69045460"/>
    <x v="0"/>
  </r>
  <r>
    <x v="1"/>
    <x v="2"/>
    <s v="Accessories"/>
    <s v="Cables"/>
    <x v="8"/>
    <n v="700"/>
    <s v="&gt;₹500"/>
    <n v="0.56999999999999995"/>
    <x v="0"/>
    <x v="5"/>
    <x v="194"/>
    <n v="6099800"/>
    <x v="0"/>
  </r>
  <r>
    <x v="0"/>
    <x v="0"/>
    <s v="Cables&amp;Accessories"/>
    <s v="Cables"/>
    <x v="50"/>
    <n v="1099"/>
    <s v="&gt;₹500"/>
    <n v="0.7"/>
    <x v="0"/>
    <x v="0"/>
    <x v="70"/>
    <n v="11623024"/>
    <x v="0"/>
  </r>
  <r>
    <x v="0"/>
    <x v="0"/>
    <s v="Cables&amp;Accessories"/>
    <s v="Cables"/>
    <x v="69"/>
    <n v="1999"/>
    <s v="&gt;₹500"/>
    <n v="0.35"/>
    <x v="1"/>
    <x v="5"/>
    <x v="145"/>
    <n v="14628682"/>
    <x v="0"/>
  </r>
  <r>
    <x v="1"/>
    <x v="2"/>
    <s v="Accessories"/>
    <s v="RemoteControls"/>
    <x v="132"/>
    <n v="1999"/>
    <s v="&gt;₹500"/>
    <n v="0.6"/>
    <x v="0"/>
    <x v="17"/>
    <x v="195"/>
    <n v="205897"/>
    <x v="0"/>
  </r>
  <r>
    <x v="1"/>
    <x v="3"/>
    <s v="MediaStreamingDevices"/>
    <s v="StreamingClients"/>
    <x v="133"/>
    <n v="4699"/>
    <s v="&gt;₹500"/>
    <n v="0"/>
    <x v="1"/>
    <x v="6"/>
    <x v="196"/>
    <n v="1052576"/>
    <x v="0"/>
  </r>
  <r>
    <x v="1"/>
    <x v="2"/>
    <s v="Televisions"/>
    <s v="SmartTelevisions"/>
    <x v="134"/>
    <n v="24990"/>
    <s v="&gt;₹500"/>
    <n v="0.24"/>
    <x v="1"/>
    <x v="4"/>
    <x v="197"/>
    <n v="117502980"/>
    <x v="0"/>
  </r>
  <r>
    <x v="0"/>
    <x v="0"/>
    <s v="Cables&amp;Accessories"/>
    <s v="Cables"/>
    <x v="1"/>
    <n v="999"/>
    <s v="&gt;₹500"/>
    <n v="0.8"/>
    <x v="0"/>
    <x v="0"/>
    <x v="198"/>
    <n v="84915"/>
    <x v="0"/>
  </r>
  <r>
    <x v="1"/>
    <x v="2"/>
    <s v="Accessories"/>
    <s v="Cables"/>
    <x v="54"/>
    <n v="650"/>
    <s v="&gt;₹500"/>
    <n v="0.59"/>
    <x v="0"/>
    <x v="5"/>
    <x v="199"/>
    <n v="23320050"/>
    <x v="0"/>
  </r>
  <r>
    <x v="1"/>
    <x v="2"/>
    <s v="AVReceivers&amp;Amplifiers"/>
    <m/>
    <x v="135"/>
    <n v="3100"/>
    <s v="&gt;₹500"/>
    <n v="0.36"/>
    <x v="1"/>
    <x v="1"/>
    <x v="200"/>
    <n v="2780700"/>
    <x v="0"/>
  </r>
  <r>
    <x v="1"/>
    <x v="3"/>
    <s v="Speakers"/>
    <s v="TowerSpeakers"/>
    <x v="136"/>
    <n v="3999"/>
    <s v="&gt;₹500"/>
    <n v="0.43"/>
    <x v="1"/>
    <x v="11"/>
    <x v="201"/>
    <n v="1127718"/>
    <x v="0"/>
  </r>
  <r>
    <x v="1"/>
    <x v="2"/>
    <s v="Televisions"/>
    <s v="SmartTelevisions"/>
    <x v="137"/>
    <n v="49990"/>
    <s v="&gt;₹500"/>
    <n v="0.28000000000000003"/>
    <x v="1"/>
    <x v="4"/>
    <x v="129"/>
    <n v="80533890"/>
    <x v="0"/>
  </r>
  <r>
    <x v="1"/>
    <x v="2"/>
    <s v="Accessories"/>
    <s v="RemoteControls"/>
    <x v="12"/>
    <n v="999"/>
    <s v="&gt;₹500"/>
    <n v="0.65"/>
    <x v="0"/>
    <x v="0"/>
    <x v="202"/>
    <n v="512487"/>
    <x v="0"/>
  </r>
  <r>
    <x v="0"/>
    <x v="0"/>
    <s v="Cables&amp;Accessories"/>
    <s v="Cables"/>
    <x v="60"/>
    <n v="1499"/>
    <s v="&gt;₹500"/>
    <n v="0.52"/>
    <x v="0"/>
    <x v="3"/>
    <x v="79"/>
    <n v="1566455"/>
    <x v="0"/>
  </r>
  <r>
    <x v="1"/>
    <x v="2"/>
    <s v="Televisions"/>
    <s v="SmartTelevisions"/>
    <x v="138"/>
    <n v="18999"/>
    <s v="&gt;₹500"/>
    <n v="0.53"/>
    <x v="0"/>
    <x v="1"/>
    <x v="203"/>
    <n v="120586653"/>
    <x v="0"/>
  </r>
  <r>
    <x v="1"/>
    <x v="2"/>
    <s v="SatelliteEquipment"/>
    <s v="SatelliteReceivers"/>
    <x v="139"/>
    <n v="2299"/>
    <s v="&gt;₹500"/>
    <n v="0.6"/>
    <x v="0"/>
    <x v="0"/>
    <x v="204"/>
    <n v="7586700"/>
    <x v="0"/>
  </r>
  <r>
    <x v="1"/>
    <x v="2"/>
    <s v="Accessories"/>
    <s v="RemoteControls"/>
    <x v="0"/>
    <n v="999"/>
    <s v="&gt;₹500"/>
    <n v="0.6"/>
    <x v="0"/>
    <x v="8"/>
    <x v="205"/>
    <n v="22977"/>
    <x v="0"/>
  </r>
  <r>
    <x v="1"/>
    <x v="2"/>
    <s v="Televisions"/>
    <s v="SmartTelevisions"/>
    <x v="140"/>
    <n v="69900"/>
    <s v="&gt;₹500"/>
    <n v="0.34"/>
    <x v="1"/>
    <x v="4"/>
    <x v="51"/>
    <n v="496919100"/>
    <x v="0"/>
  </r>
  <r>
    <x v="0"/>
    <x v="0"/>
    <s v="Cables&amp;Accessories"/>
    <s v="Cables"/>
    <x v="141"/>
    <n v="299"/>
    <s v="₹200–₹500"/>
    <n v="0.6"/>
    <x v="0"/>
    <x v="11"/>
    <x v="206"/>
    <n v="15249"/>
    <x v="0"/>
  </r>
  <r>
    <x v="1"/>
    <x v="2"/>
    <s v="Televisions"/>
    <s v="SmartTelevisions"/>
    <x v="62"/>
    <n v="29999"/>
    <s v="&gt;₹500"/>
    <n v="0.27"/>
    <x v="1"/>
    <x v="0"/>
    <x v="14"/>
    <n v="985167160"/>
    <x v="0"/>
  </r>
  <r>
    <x v="1"/>
    <x v="2"/>
    <s v="Accessories"/>
    <s v="RemoteControls"/>
    <x v="8"/>
    <n v="599"/>
    <s v="&gt;₹500"/>
    <n v="0.5"/>
    <x v="0"/>
    <x v="7"/>
    <x v="207"/>
    <n v="424092"/>
    <x v="0"/>
  </r>
  <r>
    <x v="1"/>
    <x v="2"/>
    <s v="Televisions"/>
    <s v="SmartTelevisions"/>
    <x v="142"/>
    <n v="34990"/>
    <s v="&gt;₹500"/>
    <n v="0.37"/>
    <x v="1"/>
    <x v="4"/>
    <x v="208"/>
    <n v="57978430"/>
    <x v="0"/>
  </r>
  <r>
    <x v="0"/>
    <x v="0"/>
    <s v="Cables&amp;Accessories"/>
    <s v="Cables"/>
    <x v="143"/>
    <n v="670"/>
    <s v="&gt;₹500"/>
    <n v="0.38"/>
    <x v="1"/>
    <x v="2"/>
    <x v="209"/>
    <n v="350410"/>
    <x v="0"/>
  </r>
  <r>
    <x v="0"/>
    <x v="0"/>
    <s v="Cables&amp;Accessories"/>
    <s v="Cables"/>
    <x v="1"/>
    <n v="999"/>
    <s v="&gt;₹500"/>
    <n v="0.8"/>
    <x v="0"/>
    <x v="17"/>
    <x v="210"/>
    <n v="0"/>
    <x v="0"/>
  </r>
  <r>
    <x v="1"/>
    <x v="2"/>
    <s v="Televisions"/>
    <s v="SmartTelevisions"/>
    <x v="102"/>
    <n v="79990"/>
    <s v="&gt;₹500"/>
    <n v="0.4"/>
    <x v="1"/>
    <x v="4"/>
    <x v="106"/>
    <n v="110066240"/>
    <x v="0"/>
  </r>
  <r>
    <x v="1"/>
    <x v="2"/>
    <s v="Accessories"/>
    <s v="RemoteControls"/>
    <x v="144"/>
    <n v="499"/>
    <s v="₹200–₹500"/>
    <n v="0.56999999999999995"/>
    <x v="0"/>
    <x v="12"/>
    <x v="211"/>
    <n v="60379"/>
    <x v="0"/>
  </r>
  <r>
    <x v="0"/>
    <x v="0"/>
    <s v="Cables&amp;Accessories"/>
    <s v="Cables"/>
    <x v="24"/>
    <n v="800"/>
    <s v="&gt;₹500"/>
    <n v="0.88"/>
    <x v="0"/>
    <x v="2"/>
    <x v="31"/>
    <n v="860000"/>
    <x v="0"/>
  </r>
  <r>
    <x v="1"/>
    <x v="2"/>
    <s v="Televisions"/>
    <s v="SmartTelevisions"/>
    <x v="134"/>
    <n v="35000"/>
    <s v="&gt;₹500"/>
    <n v="0.46"/>
    <x v="1"/>
    <x v="1"/>
    <x v="212"/>
    <n v="35035000"/>
    <x v="0"/>
  </r>
  <r>
    <x v="0"/>
    <x v="0"/>
    <s v="Cables&amp;Accessories"/>
    <s v="Cables"/>
    <x v="14"/>
    <n v="999"/>
    <s v="&gt;₹500"/>
    <n v="0.75"/>
    <x v="0"/>
    <x v="4"/>
    <x v="213"/>
    <n v="111888"/>
    <x v="0"/>
  </r>
  <r>
    <x v="1"/>
    <x v="2"/>
    <s v="Televisions"/>
    <s v="StandardTelevisions"/>
    <x v="43"/>
    <n v="15999"/>
    <s v="&gt;₹500"/>
    <n v="0.5"/>
    <x v="0"/>
    <x v="11"/>
    <x v="214"/>
    <n v="48348978"/>
    <x v="0"/>
  </r>
  <r>
    <x v="0"/>
    <x v="0"/>
    <s v="Cables&amp;Accessories"/>
    <s v="Cables"/>
    <x v="37"/>
    <n v="1600"/>
    <s v="&gt;₹500"/>
    <n v="0.59"/>
    <x v="0"/>
    <x v="4"/>
    <x v="138"/>
    <n v="8721600"/>
    <x v="0"/>
  </r>
  <r>
    <x v="1"/>
    <x v="2"/>
    <s v="Accessories"/>
    <s v="RemoteControls"/>
    <x v="145"/>
    <n v="2499"/>
    <s v="&gt;₹500"/>
    <n v="0.48"/>
    <x v="1"/>
    <x v="8"/>
    <x v="215"/>
    <n v="182427"/>
    <x v="0"/>
  </r>
  <r>
    <x v="1"/>
    <x v="2"/>
    <s v="Accessories"/>
    <s v="Cables"/>
    <x v="146"/>
    <n v="1500"/>
    <s v="&gt;₹500"/>
    <n v="0.59"/>
    <x v="0"/>
    <x v="6"/>
    <x v="216"/>
    <n v="1543500"/>
    <x v="0"/>
  </r>
  <r>
    <x v="1"/>
    <x v="2"/>
    <s v="Televisions"/>
    <s v="SmartTelevisions"/>
    <x v="40"/>
    <n v="54990"/>
    <s v="&gt;₹500"/>
    <n v="0.4"/>
    <x v="1"/>
    <x v="3"/>
    <x v="217"/>
    <n v="85509450"/>
    <x v="0"/>
  </r>
  <r>
    <x v="1"/>
    <x v="2"/>
    <s v="Accessories"/>
    <s v="Cables"/>
    <x v="23"/>
    <n v="1999"/>
    <s v="&gt;₹500"/>
    <n v="0.7"/>
    <x v="0"/>
    <x v="0"/>
    <x v="218"/>
    <n v="93953"/>
    <x v="0"/>
  </r>
  <r>
    <x v="0"/>
    <x v="0"/>
    <s v="Cables&amp;Accessories"/>
    <s v="Cables"/>
    <x v="12"/>
    <n v="899"/>
    <s v="&gt;₹500"/>
    <n v="0.61"/>
    <x v="0"/>
    <x v="3"/>
    <x v="219"/>
    <n v="13391504"/>
    <x v="0"/>
  </r>
  <r>
    <x v="1"/>
    <x v="2"/>
    <s v="Televisions"/>
    <s v="SmartTelevisions"/>
    <x v="51"/>
    <n v="50999"/>
    <s v="&gt;₹500"/>
    <n v="0.41"/>
    <x v="1"/>
    <x v="5"/>
    <x v="220"/>
    <n v="87310288"/>
    <x v="0"/>
  </r>
  <r>
    <x v="1"/>
    <x v="2"/>
    <s v="Accessories"/>
    <s v="RemoteControls"/>
    <x v="12"/>
    <n v="699"/>
    <s v="&gt;₹500"/>
    <n v="0.5"/>
    <x v="0"/>
    <x v="2"/>
    <x v="221"/>
    <n v="149586"/>
    <x v="0"/>
  </r>
  <r>
    <x v="1"/>
    <x v="2"/>
    <s v="Accessories"/>
    <s v="TVMounts,Stands&amp;Turntables"/>
    <x v="147"/>
    <n v="4500"/>
    <s v="&gt;₹500"/>
    <n v="0.59"/>
    <x v="0"/>
    <x v="1"/>
    <x v="25"/>
    <n v="828000"/>
    <x v="0"/>
  </r>
  <r>
    <x v="1"/>
    <x v="2"/>
    <s v="Projectors"/>
    <m/>
    <x v="148"/>
    <n v="28900"/>
    <s v="&gt;₹500"/>
    <n v="0.52"/>
    <x v="0"/>
    <x v="6"/>
    <x v="222"/>
    <n v="202300"/>
    <x v="0"/>
  </r>
  <r>
    <x v="0"/>
    <x v="0"/>
    <s v="Cables&amp;Accessories"/>
    <s v="Cables"/>
    <x v="104"/>
    <n v="449"/>
    <s v="₹200–₹500"/>
    <n v="0.71"/>
    <x v="0"/>
    <x v="7"/>
    <x v="223"/>
    <n v="18409"/>
    <x v="0"/>
  </r>
  <r>
    <x v="1"/>
    <x v="2"/>
    <s v="Accessories"/>
    <s v="Cables"/>
    <x v="97"/>
    <n v="999"/>
    <s v="&gt;₹500"/>
    <n v="0.62"/>
    <x v="0"/>
    <x v="0"/>
    <x v="22"/>
    <n v="12140847"/>
    <x v="0"/>
  </r>
  <r>
    <x v="1"/>
    <x v="2"/>
    <s v="Accessories"/>
    <s v="Cables"/>
    <x v="149"/>
    <n v="499"/>
    <s v="₹200–₹500"/>
    <n v="0.63"/>
    <x v="0"/>
    <x v="0"/>
    <x v="224"/>
    <n v="12475"/>
    <x v="0"/>
  </r>
  <r>
    <x v="0"/>
    <x v="1"/>
    <s v="NetworkAdapters"/>
    <s v="WirelessUSBAdapters"/>
    <x v="150"/>
    <n v="999"/>
    <s v="&gt;₹500"/>
    <n v="0.78"/>
    <x v="0"/>
    <x v="0"/>
    <x v="225"/>
    <n v="162837"/>
    <x v="0"/>
  </r>
  <r>
    <x v="0"/>
    <x v="0"/>
    <s v="Cables&amp;Accessories"/>
    <s v="Cables"/>
    <x v="1"/>
    <n v="999"/>
    <s v="&gt;₹500"/>
    <n v="0.8"/>
    <x v="0"/>
    <x v="4"/>
    <x v="226"/>
    <n v="86913"/>
    <x v="0"/>
  </r>
  <r>
    <x v="1"/>
    <x v="2"/>
    <s v="Accessories"/>
    <s v="Cables"/>
    <x v="7"/>
    <n v="900"/>
    <s v="&gt;₹500"/>
    <n v="0.45"/>
    <x v="1"/>
    <x v="5"/>
    <x v="227"/>
    <n v="1948500"/>
    <x v="0"/>
  </r>
  <r>
    <x v="1"/>
    <x v="2"/>
    <s v="Televisions"/>
    <s v="SmartTelevisions"/>
    <x v="45"/>
    <n v="42999"/>
    <s v="&gt;₹500"/>
    <n v="0.37"/>
    <x v="1"/>
    <x v="0"/>
    <x v="228"/>
    <n v="64928490"/>
    <x v="0"/>
  </r>
  <r>
    <x v="1"/>
    <x v="2"/>
    <s v="Accessories"/>
    <s v="TVMounts,Stands&amp;Turntables"/>
    <x v="151"/>
    <n v="1052"/>
    <s v="&gt;₹500"/>
    <n v="0.15"/>
    <x v="1"/>
    <x v="4"/>
    <x v="229"/>
    <n v="111512"/>
    <x v="0"/>
  </r>
  <r>
    <x v="1"/>
    <x v="2"/>
    <s v="Televisions"/>
    <s v="SmartTelevisions"/>
    <x v="152"/>
    <n v="19990"/>
    <s v="&gt;₹500"/>
    <n v="0.45"/>
    <x v="1"/>
    <x v="7"/>
    <x v="230"/>
    <n v="2578710"/>
    <x v="0"/>
  </r>
  <r>
    <x v="0"/>
    <x v="0"/>
    <s v="Cables&amp;Accessories"/>
    <s v="Cables"/>
    <x v="97"/>
    <n v="1099"/>
    <s v="&gt;₹500"/>
    <n v="0.66"/>
    <x v="0"/>
    <x v="4"/>
    <x v="231"/>
    <n v="3350851"/>
    <x v="0"/>
  </r>
  <r>
    <x v="1"/>
    <x v="2"/>
    <s v="Televisions"/>
    <s v="SmartTelevisions"/>
    <x v="153"/>
    <n v="25999"/>
    <s v="&gt;₹500"/>
    <n v="0.35"/>
    <x v="1"/>
    <x v="0"/>
    <x v="14"/>
    <n v="853807160"/>
    <x v="0"/>
  </r>
  <r>
    <x v="1"/>
    <x v="2"/>
    <s v="Accessories"/>
    <s v="Cables"/>
    <x v="154"/>
    <n v="1899"/>
    <s v="&gt;₹500"/>
    <n v="0.63"/>
    <x v="0"/>
    <x v="5"/>
    <x v="232"/>
    <n v="740610"/>
    <x v="0"/>
  </r>
  <r>
    <x v="1"/>
    <x v="2"/>
    <s v="Accessories"/>
    <s v="3DGlasses"/>
    <x v="155"/>
    <n v="3500"/>
    <s v="&gt;₹500"/>
    <n v="0.23"/>
    <x v="1"/>
    <x v="12"/>
    <x v="233"/>
    <n v="2173500"/>
    <x v="0"/>
  </r>
  <r>
    <x v="0"/>
    <x v="0"/>
    <s v="Cables&amp;Accessories"/>
    <s v="Cables"/>
    <x v="104"/>
    <n v="599"/>
    <s v="&gt;₹500"/>
    <n v="0.78"/>
    <x v="0"/>
    <x v="3"/>
    <x v="234"/>
    <n v="158735"/>
    <x v="0"/>
  </r>
  <r>
    <x v="0"/>
    <x v="0"/>
    <s v="Cables&amp;Accessories"/>
    <s v="Cables"/>
    <x v="22"/>
    <n v="999"/>
    <s v="&gt;₹500"/>
    <n v="0.61"/>
    <x v="0"/>
    <x v="4"/>
    <x v="235"/>
    <n v="837162"/>
    <x v="0"/>
  </r>
  <r>
    <x v="1"/>
    <x v="2"/>
    <s v="Accessories"/>
    <s v="RemoteControls"/>
    <x v="156"/>
    <n v="600"/>
    <s v="&gt;₹500"/>
    <n v="0.59"/>
    <x v="0"/>
    <x v="0"/>
    <x v="236"/>
    <n v="85800"/>
    <x v="0"/>
  </r>
  <r>
    <x v="0"/>
    <x v="0"/>
    <s v="Cables&amp;Accessories"/>
    <s v="Cables"/>
    <x v="8"/>
    <n v="799"/>
    <s v="&gt;₹500"/>
    <n v="0.63"/>
    <x v="0"/>
    <x v="1"/>
    <x v="237"/>
    <n v="120649"/>
    <x v="0"/>
  </r>
  <r>
    <x v="1"/>
    <x v="2"/>
    <s v="Accessories"/>
    <s v="RemoteControls"/>
    <x v="157"/>
    <n v="399"/>
    <s v="₹200–₹500"/>
    <n v="0.38"/>
    <x v="1"/>
    <x v="2"/>
    <x v="238"/>
    <n v="79800"/>
    <x v="0"/>
  </r>
  <r>
    <x v="1"/>
    <x v="2"/>
    <s v="Accessories"/>
    <s v="RemoteControls"/>
    <x v="158"/>
    <n v="2999"/>
    <s v="&gt;₹500"/>
    <n v="0.54"/>
    <x v="0"/>
    <x v="8"/>
    <x v="239"/>
    <n v="680773"/>
    <x v="0"/>
  </r>
  <r>
    <x v="1"/>
    <x v="2"/>
    <s v="Accessories"/>
    <s v="RemoteControls"/>
    <x v="1"/>
    <n v="499"/>
    <s v="₹200–₹500"/>
    <n v="0.6"/>
    <x v="0"/>
    <x v="11"/>
    <x v="240"/>
    <n v="268462"/>
    <x v="0"/>
  </r>
  <r>
    <x v="1"/>
    <x v="2"/>
    <s v="Accessories"/>
    <s v="Cables"/>
    <x v="8"/>
    <n v="599"/>
    <s v="&gt;₹500"/>
    <n v="0.5"/>
    <x v="0"/>
    <x v="1"/>
    <x v="241"/>
    <n v="102429"/>
    <x v="0"/>
  </r>
  <r>
    <x v="1"/>
    <x v="2"/>
    <s v="Televisions"/>
    <s v="SmartTelevisions"/>
    <x v="20"/>
    <n v="14999"/>
    <s v="&gt;₹500"/>
    <n v="0"/>
    <x v="1"/>
    <x v="4"/>
    <x v="242"/>
    <n v="412592492"/>
    <x v="0"/>
  </r>
  <r>
    <x v="0"/>
    <x v="0"/>
    <s v="Cables&amp;Accessories"/>
    <s v="Cables"/>
    <x v="8"/>
    <n v="699"/>
    <s v="&gt;₹500"/>
    <n v="0.56999999999999995"/>
    <x v="0"/>
    <x v="2"/>
    <x v="243"/>
    <n v="1016346"/>
    <x v="0"/>
  </r>
  <r>
    <x v="1"/>
    <x v="2"/>
    <s v="Televisions"/>
    <s v="SmartTelevisions"/>
    <x v="159"/>
    <n v="51990"/>
    <s v="&gt;₹500"/>
    <n v="0.52"/>
    <x v="0"/>
    <x v="0"/>
    <x v="244"/>
    <n v="153422490"/>
    <x v="0"/>
  </r>
  <r>
    <x v="0"/>
    <x v="0"/>
    <s v="Cables&amp;Accessories"/>
    <s v="Cables"/>
    <x v="14"/>
    <n v="999"/>
    <s v="&gt;₹500"/>
    <n v="0.75"/>
    <x v="0"/>
    <x v="15"/>
    <x v="210"/>
    <n v="0"/>
    <x v="0"/>
  </r>
  <r>
    <x v="1"/>
    <x v="2"/>
    <s v="Televisions"/>
    <s v="SmartTelevisions"/>
    <x v="160"/>
    <n v="69999"/>
    <s v="&gt;₹500"/>
    <n v="0.11"/>
    <x v="1"/>
    <x v="3"/>
    <x v="163"/>
    <n v="472703247"/>
    <x v="0"/>
  </r>
  <r>
    <x v="1"/>
    <x v="2"/>
    <s v="Televisions"/>
    <s v="SmartTelevisions"/>
    <x v="161"/>
    <n v="50000"/>
    <s v="&gt;₹500"/>
    <n v="0.51"/>
    <x v="0"/>
    <x v="2"/>
    <x v="245"/>
    <n v="175900000"/>
    <x v="0"/>
  </r>
  <r>
    <x v="1"/>
    <x v="2"/>
    <s v="Televisions"/>
    <s v="SmartTelevisions"/>
    <x v="162"/>
    <n v="19499"/>
    <s v="&gt;₹500"/>
    <n v="0.46"/>
    <x v="1"/>
    <x v="0"/>
    <x v="228"/>
    <n v="29443490"/>
    <x v="0"/>
  </r>
  <r>
    <x v="0"/>
    <x v="0"/>
    <s v="Cables&amp;Accessories"/>
    <s v="Cables"/>
    <x v="12"/>
    <n v="999"/>
    <s v="&gt;₹500"/>
    <n v="0.65"/>
    <x v="0"/>
    <x v="4"/>
    <x v="235"/>
    <n v="837162"/>
    <x v="0"/>
  </r>
  <r>
    <x v="1"/>
    <x v="2"/>
    <s v="Accessories"/>
    <s v="RemoteControls"/>
    <x v="163"/>
    <n v="499"/>
    <s v="₹200–₹500"/>
    <n v="0.61"/>
    <x v="0"/>
    <x v="11"/>
    <x v="246"/>
    <n v="67864"/>
    <x v="0"/>
  </r>
  <r>
    <x v="1"/>
    <x v="2"/>
    <s v="SatelliteEquipment"/>
    <s v="SatelliteReceivers"/>
    <x v="69"/>
    <n v="2499"/>
    <s v="&gt;₹500"/>
    <n v="0.48"/>
    <x v="1"/>
    <x v="4"/>
    <x v="247"/>
    <n v="752199"/>
    <x v="0"/>
  </r>
  <r>
    <x v="0"/>
    <x v="0"/>
    <s v="Cables&amp;Accessories"/>
    <s v="Cables"/>
    <x v="164"/>
    <n v="1899"/>
    <s v="&gt;₹500"/>
    <n v="0.2"/>
    <x v="1"/>
    <x v="5"/>
    <x v="248"/>
    <n v="37529937"/>
    <x v="0"/>
  </r>
  <r>
    <x v="1"/>
    <x v="2"/>
    <s v="Televisions"/>
    <s v="SmartTelevisions"/>
    <x v="165"/>
    <n v="69999"/>
    <s v="&gt;₹500"/>
    <n v="0.33"/>
    <x v="1"/>
    <x v="4"/>
    <x v="176"/>
    <n v="1487618748"/>
    <x v="0"/>
  </r>
  <r>
    <x v="0"/>
    <x v="0"/>
    <s v="Cables&amp;Accessories"/>
    <s v="Cables"/>
    <x v="8"/>
    <n v="799"/>
    <s v="&gt;₹500"/>
    <n v="0.63"/>
    <x v="0"/>
    <x v="4"/>
    <x v="249"/>
    <n v="1519698"/>
    <x v="0"/>
  </r>
  <r>
    <x v="1"/>
    <x v="4"/>
    <s v="SmartWatches"/>
    <m/>
    <x v="166"/>
    <n v="19999"/>
    <s v="&gt;₹500"/>
    <n v="0.91"/>
    <x v="0"/>
    <x v="0"/>
    <x v="250"/>
    <n v="278726063"/>
    <x v="0"/>
  </r>
  <r>
    <x v="1"/>
    <x v="4"/>
    <s v="SmartWatches"/>
    <m/>
    <x v="167"/>
    <n v="9999"/>
    <s v="&gt;₹500"/>
    <n v="0.8"/>
    <x v="0"/>
    <x v="4"/>
    <x v="251"/>
    <n v="276932304"/>
    <x v="0"/>
  </r>
  <r>
    <x v="1"/>
    <x v="4"/>
    <s v="SmartWatches"/>
    <m/>
    <x v="168"/>
    <n v="7990"/>
    <s v="&gt;₹500"/>
    <n v="0.75"/>
    <x v="0"/>
    <x v="11"/>
    <x v="252"/>
    <n v="142469690"/>
    <x v="0"/>
  </r>
  <r>
    <x v="1"/>
    <x v="5"/>
    <s v="MobileAccessories"/>
    <s v="Chargers"/>
    <x v="169"/>
    <n v="2199"/>
    <s v="&gt;₹500"/>
    <n v="7.0000000000000007E-2"/>
    <x v="1"/>
    <x v="4"/>
    <x v="253"/>
    <n v="393427488"/>
    <x v="0"/>
  </r>
  <r>
    <x v="1"/>
    <x v="5"/>
    <s v="Smartphones&amp;BasicMobiles"/>
    <s v="Smartphones"/>
    <x v="170"/>
    <n v="8999"/>
    <s v="&gt;₹500"/>
    <n v="0.28000000000000003"/>
    <x v="1"/>
    <x v="1"/>
    <x v="254"/>
    <n v="70255193"/>
    <x v="0"/>
  </r>
  <r>
    <x v="1"/>
    <x v="5"/>
    <s v="Smartphones&amp;BasicMobiles"/>
    <s v="Smartphones"/>
    <x v="171"/>
    <n v="28999"/>
    <s v="&gt;₹500"/>
    <n v="0"/>
    <x v="1"/>
    <x v="4"/>
    <x v="255"/>
    <n v="505017585"/>
    <x v="0"/>
  </r>
  <r>
    <x v="1"/>
    <x v="5"/>
    <s v="Smartphones&amp;BasicMobiles"/>
    <s v="Smartphones"/>
    <x v="171"/>
    <n v="28999"/>
    <s v="&gt;₹500"/>
    <n v="0"/>
    <x v="1"/>
    <x v="4"/>
    <x v="255"/>
    <n v="505017585"/>
    <x v="0"/>
  </r>
  <r>
    <x v="1"/>
    <x v="5"/>
    <s v="Smartphones&amp;BasicMobiles"/>
    <s v="Smartphones"/>
    <x v="170"/>
    <n v="8999"/>
    <s v="&gt;₹500"/>
    <n v="0.28000000000000003"/>
    <x v="1"/>
    <x v="1"/>
    <x v="254"/>
    <n v="70255193"/>
    <x v="0"/>
  </r>
  <r>
    <x v="1"/>
    <x v="5"/>
    <s v="Smartphones&amp;BasicMobiles"/>
    <s v="Smartphones"/>
    <x v="170"/>
    <n v="8999"/>
    <s v="&gt;₹500"/>
    <n v="0.28000000000000003"/>
    <x v="1"/>
    <x v="1"/>
    <x v="254"/>
    <n v="70255193"/>
    <x v="0"/>
  </r>
  <r>
    <x v="1"/>
    <x v="6"/>
    <s v="MemoryCards"/>
    <s v="MicroSD"/>
    <x v="172"/>
    <n v="1000"/>
    <s v="&gt;₹500"/>
    <n v="0.43"/>
    <x v="1"/>
    <x v="5"/>
    <x v="256"/>
    <n v="67259000"/>
    <x v="0"/>
  </r>
  <r>
    <x v="1"/>
    <x v="4"/>
    <s v="SmartWatches"/>
    <m/>
    <x v="173"/>
    <n v="4999"/>
    <s v="&gt;₹500"/>
    <n v="0.62"/>
    <x v="0"/>
    <x v="3"/>
    <x v="257"/>
    <n v="53434311"/>
    <x v="0"/>
  </r>
  <r>
    <x v="1"/>
    <x v="5"/>
    <s v="Smartphones&amp;BasicMobiles"/>
    <s v="BasicMobiles"/>
    <x v="69"/>
    <n v="1599"/>
    <s v="&gt;₹500"/>
    <n v="0.19"/>
    <x v="1"/>
    <x v="1"/>
    <x v="258"/>
    <n v="205169289"/>
    <x v="0"/>
  </r>
  <r>
    <x v="1"/>
    <x v="4"/>
    <s v="SmartWatches"/>
    <m/>
    <x v="72"/>
    <n v="6990"/>
    <s v="&gt;₹500"/>
    <n v="0.79"/>
    <x v="0"/>
    <x v="2"/>
    <x v="259"/>
    <n v="152354040"/>
    <x v="0"/>
  </r>
  <r>
    <x v="1"/>
    <x v="7"/>
    <s v="Headphones"/>
    <s v="In-Ear"/>
    <x v="23"/>
    <n v="999"/>
    <s v="&gt;₹500"/>
    <n v="0.4"/>
    <x v="1"/>
    <x v="3"/>
    <x v="260"/>
    <n v="192397410"/>
    <x v="0"/>
  </r>
  <r>
    <x v="1"/>
    <x v="5"/>
    <s v="Smartphones&amp;BasicMobiles"/>
    <s v="Smartphones"/>
    <x v="174"/>
    <n v="11999"/>
    <s v="&gt;₹500"/>
    <n v="0.21"/>
    <x v="1"/>
    <x v="0"/>
    <x v="101"/>
    <n v="3407716"/>
    <x v="0"/>
  </r>
  <r>
    <x v="1"/>
    <x v="7"/>
    <s v="Headphones"/>
    <s v="In-Ear"/>
    <x v="23"/>
    <n v="2499"/>
    <s v="&gt;₹500"/>
    <n v="0.76"/>
    <x v="0"/>
    <x v="2"/>
    <x v="261"/>
    <n v="145346838"/>
    <x v="0"/>
  </r>
  <r>
    <x v="1"/>
    <x v="5"/>
    <s v="Smartphones&amp;BasicMobiles"/>
    <s v="Smartphones"/>
    <x v="138"/>
    <n v="11999"/>
    <s v="&gt;₹500"/>
    <n v="0.25"/>
    <x v="1"/>
    <x v="1"/>
    <x v="262"/>
    <n v="153539204"/>
    <x v="0"/>
  </r>
  <r>
    <x v="1"/>
    <x v="5"/>
    <s v="MobileAccessories"/>
    <s v="Chargers"/>
    <x v="12"/>
    <n v="1299"/>
    <s v="&gt;₹500"/>
    <n v="0.73"/>
    <x v="0"/>
    <x v="1"/>
    <x v="263"/>
    <n v="18552318"/>
    <x v="0"/>
  </r>
  <r>
    <x v="1"/>
    <x v="7"/>
    <s v="Headphones"/>
    <s v="In-Ear"/>
    <x v="12"/>
    <n v="999"/>
    <s v="&gt;₹500"/>
    <n v="0.65"/>
    <x v="0"/>
    <x v="3"/>
    <x v="264"/>
    <n v="363349287"/>
    <x v="0"/>
  </r>
  <r>
    <x v="1"/>
    <x v="6"/>
    <s v="MemoryCards"/>
    <s v="MicroSD"/>
    <x v="175"/>
    <n v="1800"/>
    <s v="&gt;₹500"/>
    <n v="0.47"/>
    <x v="1"/>
    <x v="5"/>
    <x v="256"/>
    <n v="121066200"/>
    <x v="0"/>
  </r>
  <r>
    <x v="1"/>
    <x v="5"/>
    <s v="Smartphones&amp;BasicMobiles"/>
    <s v="Smartphones"/>
    <x v="174"/>
    <n v="11999"/>
    <s v="&gt;₹500"/>
    <n v="0.21"/>
    <x v="1"/>
    <x v="0"/>
    <x v="101"/>
    <n v="3407716"/>
    <x v="0"/>
  </r>
  <r>
    <x v="1"/>
    <x v="5"/>
    <s v="MobileAccessories"/>
    <s v="Chargers"/>
    <x v="72"/>
    <n v="2499"/>
    <s v="&gt;₹500"/>
    <n v="0.4"/>
    <x v="1"/>
    <x v="4"/>
    <x v="265"/>
    <n v="39909030"/>
    <x v="0"/>
  </r>
  <r>
    <x v="1"/>
    <x v="5"/>
    <s v="MobileAccessories"/>
    <s v="Chargers"/>
    <x v="176"/>
    <n v="2199"/>
    <s v="&gt;₹500"/>
    <n v="0.48"/>
    <x v="1"/>
    <x v="4"/>
    <x v="253"/>
    <n v="393427488"/>
    <x v="0"/>
  </r>
  <r>
    <x v="1"/>
    <x v="5"/>
    <s v="MobileAccessories"/>
    <s v="AutomobileAccessories"/>
    <x v="12"/>
    <n v="999"/>
    <s v="&gt;₹500"/>
    <n v="0.65"/>
    <x v="0"/>
    <x v="2"/>
    <x v="266"/>
    <n v="46352601"/>
    <x v="0"/>
  </r>
  <r>
    <x v="1"/>
    <x v="5"/>
    <s v="MobileAccessories"/>
    <s v="Chargers"/>
    <x v="177"/>
    <n v="1699"/>
    <s v="&gt;₹500"/>
    <n v="0.28000000000000003"/>
    <x v="1"/>
    <x v="5"/>
    <x v="267"/>
    <n v="15105809"/>
    <x v="0"/>
  </r>
  <r>
    <x v="1"/>
    <x v="4"/>
    <s v="SmartWatches"/>
    <m/>
    <x v="44"/>
    <n v="3999"/>
    <s v="&gt;₹500"/>
    <n v="0.6"/>
    <x v="0"/>
    <x v="1"/>
    <x v="268"/>
    <n v="120985746"/>
    <x v="0"/>
  </r>
  <r>
    <x v="1"/>
    <x v="4"/>
    <s v="SmartWatches"/>
    <m/>
    <x v="72"/>
    <n v="7999"/>
    <s v="&gt;₹500"/>
    <n v="0.81"/>
    <x v="0"/>
    <x v="0"/>
    <x v="269"/>
    <n v="181065364"/>
    <x v="0"/>
  </r>
  <r>
    <x v="1"/>
    <x v="5"/>
    <s v="Smartphones&amp;BasicMobiles"/>
    <s v="Smartphones"/>
    <x v="178"/>
    <n v="25999"/>
    <s v="&gt;₹500"/>
    <n v="0.28999999999999998"/>
    <x v="1"/>
    <x v="3"/>
    <x v="270"/>
    <n v="580245682"/>
    <x v="0"/>
  </r>
  <r>
    <x v="1"/>
    <x v="6"/>
    <s v="MemoryCards"/>
    <s v="MicroSD"/>
    <x v="179"/>
    <n v="700"/>
    <s v="&gt;₹500"/>
    <n v="0.47"/>
    <x v="1"/>
    <x v="5"/>
    <x v="256"/>
    <n v="47081300"/>
    <x v="0"/>
  </r>
  <r>
    <x v="1"/>
    <x v="5"/>
    <s v="Smartphones&amp;BasicMobiles"/>
    <s v="Smartphones"/>
    <x v="180"/>
    <n v="17999"/>
    <s v="&gt;₹500"/>
    <n v="0.28000000000000003"/>
    <x v="1"/>
    <x v="3"/>
    <x v="271"/>
    <n v="341945002"/>
    <x v="0"/>
  </r>
  <r>
    <x v="1"/>
    <x v="4"/>
    <s v="SmartWatches"/>
    <m/>
    <x v="181"/>
    <n v="9999"/>
    <s v="&gt;₹500"/>
    <n v="0.78"/>
    <x v="0"/>
    <x v="0"/>
    <x v="272"/>
    <n v="294680529"/>
    <x v="0"/>
  </r>
  <r>
    <x v="1"/>
    <x v="5"/>
    <s v="Smartphones&amp;BasicMobiles"/>
    <s v="Smartphones"/>
    <x v="153"/>
    <n v="24999"/>
    <s v="&gt;₹500"/>
    <n v="0.32"/>
    <x v="1"/>
    <x v="3"/>
    <x v="270"/>
    <n v="557927682"/>
    <x v="0"/>
  </r>
  <r>
    <x v="1"/>
    <x v="5"/>
    <s v="Smartphones&amp;BasicMobiles"/>
    <s v="Smartphones"/>
    <x v="182"/>
    <n v="20999"/>
    <s v="&gt;₹500"/>
    <n v="0.21"/>
    <x v="1"/>
    <x v="1"/>
    <x v="273"/>
    <n v="448328650"/>
    <x v="0"/>
  </r>
  <r>
    <x v="0"/>
    <x v="0"/>
    <s v="Cables&amp;Accessories"/>
    <s v="Cables"/>
    <x v="0"/>
    <n v="1099"/>
    <s v="&gt;₹500"/>
    <n v="0.64"/>
    <x v="0"/>
    <x v="0"/>
    <x v="274"/>
    <n v="26672730"/>
    <x v="0"/>
  </r>
  <r>
    <x v="1"/>
    <x v="5"/>
    <s v="Smartphones&amp;BasicMobiles"/>
    <s v="Smartphones"/>
    <x v="73"/>
    <n v="10999"/>
    <s v="&gt;₹500"/>
    <n v="0.23"/>
    <x v="1"/>
    <x v="3"/>
    <x v="275"/>
    <n v="3451882164"/>
    <x v="0"/>
  </r>
  <r>
    <x v="1"/>
    <x v="5"/>
    <s v="Smartphones&amp;BasicMobiles"/>
    <s v="Smartphones"/>
    <x v="170"/>
    <n v="8499"/>
    <s v="&gt;₹500"/>
    <n v="0.24"/>
    <x v="1"/>
    <x v="3"/>
    <x v="275"/>
    <n v="2667292164"/>
    <x v="0"/>
  </r>
  <r>
    <x v="1"/>
    <x v="5"/>
    <s v="Smartphones&amp;BasicMobiles"/>
    <s v="Smartphones"/>
    <x v="138"/>
    <n v="11999"/>
    <s v="&gt;₹500"/>
    <n v="0.25"/>
    <x v="1"/>
    <x v="1"/>
    <x v="262"/>
    <n v="153539204"/>
    <x v="0"/>
  </r>
  <r>
    <x v="1"/>
    <x v="5"/>
    <s v="MobileAccessories"/>
    <s v="Cables&amp;Adapters"/>
    <x v="41"/>
    <n v="495"/>
    <s v="₹200–₹500"/>
    <n v="0.72"/>
    <x v="0"/>
    <x v="4"/>
    <x v="276"/>
    <n v="7021575"/>
    <x v="0"/>
  </r>
  <r>
    <x v="1"/>
    <x v="4"/>
    <s v="SmartWatches"/>
    <m/>
    <x v="183"/>
    <n v="16999"/>
    <s v="&gt;₹500"/>
    <n v="0.76"/>
    <x v="0"/>
    <x v="4"/>
    <x v="277"/>
    <n v="291685841"/>
    <x v="0"/>
  </r>
  <r>
    <x v="1"/>
    <x v="4"/>
    <s v="SmartWatches"/>
    <m/>
    <x v="184"/>
    <n v="5999"/>
    <s v="&gt;₹500"/>
    <n v="0.5"/>
    <x v="0"/>
    <x v="3"/>
    <x v="278"/>
    <n v="31068821"/>
    <x v="0"/>
  </r>
  <r>
    <x v="0"/>
    <x v="0"/>
    <s v="Cables&amp;Accessories"/>
    <s v="Cables"/>
    <x v="1"/>
    <n v="349"/>
    <s v="₹200–₹500"/>
    <n v="0.43"/>
    <x v="1"/>
    <x v="1"/>
    <x v="279"/>
    <n v="15353557"/>
    <x v="0"/>
  </r>
  <r>
    <x v="1"/>
    <x v="5"/>
    <s v="Smartphones&amp;BasicMobiles"/>
    <s v="Smartphones"/>
    <x v="185"/>
    <n v="18999"/>
    <s v="&gt;₹500"/>
    <n v="0.18"/>
    <x v="1"/>
    <x v="3"/>
    <x v="280"/>
    <n v="365768748"/>
    <x v="0"/>
  </r>
  <r>
    <x v="0"/>
    <x v="0"/>
    <s v="Cables&amp;Accessories"/>
    <s v="Cables"/>
    <x v="1"/>
    <n v="999"/>
    <s v="&gt;₹500"/>
    <n v="0.8"/>
    <x v="0"/>
    <x v="2"/>
    <x v="2"/>
    <n v="7920072"/>
    <x v="0"/>
  </r>
  <r>
    <x v="1"/>
    <x v="5"/>
    <s v="Smartphones&amp;BasicMobiles"/>
    <s v="Smartphones"/>
    <x v="138"/>
    <n v="11999"/>
    <s v="&gt;₹500"/>
    <n v="0.25"/>
    <x v="1"/>
    <x v="1"/>
    <x v="262"/>
    <n v="153539204"/>
    <x v="0"/>
  </r>
  <r>
    <x v="1"/>
    <x v="5"/>
    <s v="MobileAccessories"/>
    <s v="Chargers"/>
    <x v="186"/>
    <n v="1699"/>
    <s v="&gt;₹500"/>
    <n v="0.49"/>
    <x v="1"/>
    <x v="5"/>
    <x v="281"/>
    <n v="2854320"/>
    <x v="0"/>
  </r>
  <r>
    <x v="1"/>
    <x v="5"/>
    <s v="Smartphones&amp;BasicMobiles"/>
    <s v="Smartphones"/>
    <x v="180"/>
    <n v="15999"/>
    <s v="&gt;₹500"/>
    <n v="0.19"/>
    <x v="1"/>
    <x v="0"/>
    <x v="282"/>
    <n v="211922754"/>
    <x v="0"/>
  </r>
  <r>
    <x v="1"/>
    <x v="5"/>
    <s v="MobileAccessories"/>
    <s v="Photo&amp;VideoAccessories"/>
    <x v="187"/>
    <n v="1599"/>
    <s v="&gt;₹500"/>
    <n v="0.66"/>
    <x v="0"/>
    <x v="11"/>
    <x v="283"/>
    <n v="23422152"/>
    <x v="0"/>
  </r>
  <r>
    <x v="1"/>
    <x v="4"/>
    <s v="SmartWatches"/>
    <m/>
    <x v="168"/>
    <n v="9999"/>
    <s v="&gt;₹500"/>
    <n v="0.8"/>
    <x v="0"/>
    <x v="4"/>
    <x v="251"/>
    <n v="276932304"/>
    <x v="0"/>
  </r>
  <r>
    <x v="1"/>
    <x v="5"/>
    <s v="Smartphones&amp;BasicMobiles"/>
    <s v="Smartphones"/>
    <x v="87"/>
    <n v="20990"/>
    <s v="&gt;₹500"/>
    <n v="0.26"/>
    <x v="1"/>
    <x v="0"/>
    <x v="284"/>
    <n v="690906840"/>
    <x v="0"/>
  </r>
  <r>
    <x v="1"/>
    <x v="5"/>
    <s v="Smartphones&amp;BasicMobiles"/>
    <s v="Smartphones"/>
    <x v="28"/>
    <n v="24999"/>
    <s v="&gt;₹500"/>
    <n v="0.2"/>
    <x v="1"/>
    <x v="2"/>
    <x v="285"/>
    <n v="645574176"/>
    <x v="0"/>
  </r>
  <r>
    <x v="1"/>
    <x v="5"/>
    <s v="MobileAccessories"/>
    <s v="Chargers"/>
    <x v="188"/>
    <n v="1699"/>
    <s v="&gt;₹500"/>
    <n v="0.37"/>
    <x v="1"/>
    <x v="5"/>
    <x v="286"/>
    <n v="12677938"/>
    <x v="0"/>
  </r>
  <r>
    <x v="1"/>
    <x v="7"/>
    <s v="Headphones"/>
    <s v="In-Ear"/>
    <x v="0"/>
    <n v="699"/>
    <s v="&gt;₹500"/>
    <n v="0.43"/>
    <x v="1"/>
    <x v="1"/>
    <x v="287"/>
    <n v="26434083"/>
    <x v="0"/>
  </r>
  <r>
    <x v="1"/>
    <x v="4"/>
    <s v="SmartWatches"/>
    <m/>
    <x v="168"/>
    <n v="3990"/>
    <s v="&gt;₹500"/>
    <n v="0.5"/>
    <x v="0"/>
    <x v="1"/>
    <x v="268"/>
    <n v="120713460"/>
    <x v="0"/>
  </r>
  <r>
    <x v="1"/>
    <x v="4"/>
    <s v="SmartWatches"/>
    <m/>
    <x v="168"/>
    <n v="7990"/>
    <s v="&gt;₹500"/>
    <n v="0.75"/>
    <x v="0"/>
    <x v="11"/>
    <x v="252"/>
    <n v="142469690"/>
    <x v="0"/>
  </r>
  <r>
    <x v="0"/>
    <x v="0"/>
    <s v="Cables&amp;Accessories"/>
    <s v="Cables"/>
    <x v="2"/>
    <n v="699"/>
    <s v="&gt;₹500"/>
    <n v="0.53"/>
    <x v="0"/>
    <x v="0"/>
    <x v="288"/>
    <n v="65960436"/>
    <x v="0"/>
  </r>
  <r>
    <x v="1"/>
    <x v="5"/>
    <s v="Smartphones&amp;BasicMobiles"/>
    <s v="Smartphones"/>
    <x v="171"/>
    <n v="34999"/>
    <s v="&gt;₹500"/>
    <n v="0.17"/>
    <x v="1"/>
    <x v="5"/>
    <x v="289"/>
    <n v="710864689"/>
    <x v="0"/>
  </r>
  <r>
    <x v="1"/>
    <x v="4"/>
    <s v="SmartWatches"/>
    <m/>
    <x v="136"/>
    <n v="7990"/>
    <s v="&gt;₹500"/>
    <n v="0.71"/>
    <x v="0"/>
    <x v="0"/>
    <x v="290"/>
    <n v="556279780"/>
    <x v="0"/>
  </r>
  <r>
    <x v="1"/>
    <x v="5"/>
    <s v="MobileAccessories"/>
    <s v="Photo&amp;VideoAccessories"/>
    <x v="0"/>
    <n v="1999"/>
    <s v="&gt;₹500"/>
    <n v="0.8"/>
    <x v="0"/>
    <x v="1"/>
    <x v="291"/>
    <n v="6760618"/>
    <x v="0"/>
  </r>
  <r>
    <x v="1"/>
    <x v="6"/>
    <s v="MemoryCards"/>
    <s v="MicroSD"/>
    <x v="176"/>
    <n v="3999"/>
    <s v="&gt;₹500"/>
    <n v="0.71"/>
    <x v="0"/>
    <x v="4"/>
    <x v="292"/>
    <n v="560003964"/>
    <x v="0"/>
  </r>
  <r>
    <x v="1"/>
    <x v="5"/>
    <s v="MobileAccessories"/>
    <s v="Chargers"/>
    <x v="189"/>
    <n v="1499"/>
    <s v="&gt;₹500"/>
    <n v="0.65"/>
    <x v="0"/>
    <x v="3"/>
    <x v="293"/>
    <n v="12889901"/>
    <x v="0"/>
  </r>
  <r>
    <x v="1"/>
    <x v="5"/>
    <s v="Smartphones&amp;BasicMobiles"/>
    <s v="Smartphones"/>
    <x v="13"/>
    <n v="19499"/>
    <s v="&gt;₹500"/>
    <n v="0.28000000000000003"/>
    <x v="1"/>
    <x v="3"/>
    <x v="271"/>
    <n v="370442002"/>
    <x v="0"/>
  </r>
  <r>
    <x v="1"/>
    <x v="7"/>
    <s v="Headphones"/>
    <s v="In-Ear"/>
    <x v="97"/>
    <n v="999"/>
    <s v="&gt;₹500"/>
    <n v="0.62"/>
    <x v="0"/>
    <x v="3"/>
    <x v="264"/>
    <n v="363349287"/>
    <x v="0"/>
  </r>
  <r>
    <x v="1"/>
    <x v="5"/>
    <s v="Smartphones&amp;BasicMobiles"/>
    <s v="Smartphones"/>
    <x v="13"/>
    <n v="19999"/>
    <s v="&gt;₹500"/>
    <n v="0.3"/>
    <x v="1"/>
    <x v="3"/>
    <x v="280"/>
    <n v="385020748"/>
    <x v="0"/>
  </r>
  <r>
    <x v="1"/>
    <x v="4"/>
    <s v="SmartWatches"/>
    <m/>
    <x v="183"/>
    <n v="9999"/>
    <s v="&gt;₹500"/>
    <n v="0.6"/>
    <x v="0"/>
    <x v="5"/>
    <x v="215"/>
    <n v="729927"/>
    <x v="0"/>
  </r>
  <r>
    <x v="0"/>
    <x v="0"/>
    <s v="Cables&amp;Accessories"/>
    <s v="Cables"/>
    <x v="4"/>
    <n v="1000"/>
    <s v="&gt;₹500"/>
    <n v="0.85"/>
    <x v="0"/>
    <x v="2"/>
    <x v="294"/>
    <n v="24870000"/>
    <x v="0"/>
  </r>
  <r>
    <x v="1"/>
    <x v="5"/>
    <s v="MobileAccessories"/>
    <s v="Stands"/>
    <x v="24"/>
    <n v="499"/>
    <s v="₹200–₹500"/>
    <n v="0.8"/>
    <x v="0"/>
    <x v="4"/>
    <x v="295"/>
    <n v="21277859"/>
    <x v="0"/>
  </r>
  <r>
    <x v="1"/>
    <x v="7"/>
    <s v="Headphones"/>
    <s v="In-Ear"/>
    <x v="190"/>
    <n v="15990"/>
    <s v="&gt;₹500"/>
    <n v="0.7"/>
    <x v="0"/>
    <x v="1"/>
    <x v="296"/>
    <n v="70196100"/>
    <x v="0"/>
  </r>
  <r>
    <x v="1"/>
    <x v="5"/>
    <s v="Smartphones&amp;BasicMobiles"/>
    <s v="Smartphones"/>
    <x v="191"/>
    <n v="33999"/>
    <s v="&gt;₹500"/>
    <n v="0"/>
    <x v="1"/>
    <x v="4"/>
    <x v="255"/>
    <n v="592092585"/>
    <x v="0"/>
  </r>
  <r>
    <x v="0"/>
    <x v="0"/>
    <s v="Cables&amp;Accessories"/>
    <s v="CableConnectionProtectors"/>
    <x v="24"/>
    <n v="999"/>
    <s v="&gt;₹500"/>
    <n v="0.9"/>
    <x v="0"/>
    <x v="1"/>
    <x v="297"/>
    <n v="1394604"/>
    <x v="0"/>
  </r>
  <r>
    <x v="1"/>
    <x v="7"/>
    <s v="Headphones"/>
    <s v="In-Ear"/>
    <x v="8"/>
    <n v="1900"/>
    <s v="&gt;₹500"/>
    <n v="0.84"/>
    <x v="0"/>
    <x v="9"/>
    <x v="298"/>
    <n v="34583800"/>
    <x v="0"/>
  </r>
  <r>
    <x v="1"/>
    <x v="5"/>
    <s v="Smartphones&amp;BasicMobiles"/>
    <s v="Smartphones"/>
    <x v="192"/>
    <n v="14999"/>
    <s v="&gt;₹500"/>
    <n v="0.27"/>
    <x v="1"/>
    <x v="3"/>
    <x v="271"/>
    <n v="284951002"/>
    <x v="0"/>
  </r>
  <r>
    <x v="1"/>
    <x v="5"/>
    <s v="Smartphones&amp;BasicMobiles"/>
    <s v="Smartphones"/>
    <x v="193"/>
    <n v="38999"/>
    <s v="&gt;₹500"/>
    <n v="0.1"/>
    <x v="1"/>
    <x v="0"/>
    <x v="299"/>
    <n v="430119971"/>
    <x v="0"/>
  </r>
  <r>
    <x v="1"/>
    <x v="5"/>
    <s v="MobileAccessories"/>
    <s v="Stands"/>
    <x v="1"/>
    <n v="499"/>
    <s v="₹200–₹500"/>
    <n v="0.6"/>
    <x v="0"/>
    <x v="3"/>
    <x v="300"/>
    <n v="891214"/>
    <x v="0"/>
  </r>
  <r>
    <x v="1"/>
    <x v="5"/>
    <s v="MobileAccessories"/>
    <s v="Chargers"/>
    <x v="29"/>
    <n v="1599"/>
    <s v="&gt;₹500"/>
    <n v="0.38"/>
    <x v="1"/>
    <x v="1"/>
    <x v="301"/>
    <n v="11547978"/>
    <x v="0"/>
  </r>
  <r>
    <x v="1"/>
    <x v="5"/>
    <s v="Smartphones&amp;BasicMobiles"/>
    <s v="BasicMobiles"/>
    <x v="69"/>
    <n v="1599"/>
    <s v="&gt;₹500"/>
    <n v="0.19"/>
    <x v="1"/>
    <x v="1"/>
    <x v="258"/>
    <n v="205169289"/>
    <x v="0"/>
  </r>
  <r>
    <x v="1"/>
    <x v="7"/>
    <s v="Headphones"/>
    <s v="In-Ear"/>
    <x v="23"/>
    <n v="1800"/>
    <s v="&gt;₹500"/>
    <n v="0.67"/>
    <x v="0"/>
    <x v="12"/>
    <x v="302"/>
    <n v="151192800"/>
    <x v="0"/>
  </r>
  <r>
    <x v="1"/>
    <x v="6"/>
    <s v="MemoryCards"/>
    <s v="MicroSD"/>
    <x v="23"/>
    <n v="1899"/>
    <s v="&gt;₹500"/>
    <n v="0.68"/>
    <x v="0"/>
    <x v="4"/>
    <x v="292"/>
    <n v="265928364"/>
    <x v="0"/>
  </r>
  <r>
    <x v="1"/>
    <x v="5"/>
    <s v="MobileAccessories"/>
    <s v="Chargers"/>
    <x v="166"/>
    <n v="2499"/>
    <s v="&gt;₹500"/>
    <n v="0.28000000000000003"/>
    <x v="1"/>
    <x v="3"/>
    <x v="303"/>
    <n v="46676322"/>
    <x v="0"/>
  </r>
  <r>
    <x v="0"/>
    <x v="0"/>
    <s v="Cables&amp;Accessories"/>
    <s v="Cables"/>
    <x v="5"/>
    <n v="499"/>
    <s v="₹200–₹500"/>
    <n v="0.65"/>
    <x v="0"/>
    <x v="3"/>
    <x v="304"/>
    <n v="7579311"/>
    <x v="0"/>
  </r>
  <r>
    <x v="1"/>
    <x v="5"/>
    <s v="Smartphones&amp;BasicMobiles"/>
    <s v="Smartphones"/>
    <x v="192"/>
    <n v="14999"/>
    <s v="&gt;₹500"/>
    <n v="0.27"/>
    <x v="1"/>
    <x v="3"/>
    <x v="271"/>
    <n v="284951002"/>
    <x v="0"/>
  </r>
  <r>
    <x v="1"/>
    <x v="4"/>
    <s v="SmartWatches"/>
    <m/>
    <x v="194"/>
    <n v="7990"/>
    <s v="&gt;₹500"/>
    <n v="0.62"/>
    <x v="0"/>
    <x v="3"/>
    <x v="305"/>
    <n v="387107510"/>
    <x v="0"/>
  </r>
  <r>
    <x v="1"/>
    <x v="4"/>
    <s v="SmartWatches"/>
    <m/>
    <x v="168"/>
    <n v="7990"/>
    <s v="&gt;₹500"/>
    <n v="0.75"/>
    <x v="0"/>
    <x v="11"/>
    <x v="252"/>
    <n v="142469690"/>
    <x v="0"/>
  </r>
  <r>
    <x v="1"/>
    <x v="5"/>
    <s v="MobileAccessories"/>
    <s v="Chargers"/>
    <x v="37"/>
    <n v="999"/>
    <s v="&gt;₹500"/>
    <n v="0.35"/>
    <x v="1"/>
    <x v="0"/>
    <x v="306"/>
    <n v="1313685"/>
    <x v="0"/>
  </r>
  <r>
    <x v="1"/>
    <x v="5"/>
    <s v="MobileAccessories"/>
    <s v="D√©cor"/>
    <x v="141"/>
    <n v="299"/>
    <s v="₹200–₹500"/>
    <n v="0.6"/>
    <x v="0"/>
    <x v="3"/>
    <x v="307"/>
    <n v="1793701"/>
    <x v="0"/>
  </r>
  <r>
    <x v="1"/>
    <x v="5"/>
    <s v="Smartphones&amp;BasicMobiles"/>
    <s v="Smartphones"/>
    <x v="180"/>
    <n v="17999"/>
    <s v="&gt;₹500"/>
    <n v="0.28000000000000003"/>
    <x v="1"/>
    <x v="3"/>
    <x v="308"/>
    <n v="913845228"/>
    <x v="0"/>
  </r>
  <r>
    <x v="1"/>
    <x v="5"/>
    <s v="Smartphones&amp;BasicMobiles"/>
    <s v="Smartphones"/>
    <x v="195"/>
    <n v="26999"/>
    <s v="&gt;₹500"/>
    <n v="0.22"/>
    <x v="1"/>
    <x v="2"/>
    <x v="285"/>
    <n v="697222176"/>
    <x v="0"/>
  </r>
  <r>
    <x v="1"/>
    <x v="5"/>
    <s v="MobileAccessories"/>
    <s v="Chargers"/>
    <x v="14"/>
    <n v="649"/>
    <s v="&gt;₹500"/>
    <n v="0.62"/>
    <x v="0"/>
    <x v="1"/>
    <x v="309"/>
    <n v="9348196"/>
    <x v="0"/>
  </r>
  <r>
    <x v="1"/>
    <x v="5"/>
    <s v="MobileAccessories"/>
    <s v="Chargers"/>
    <x v="24"/>
    <n v="171"/>
    <s v="&lt;₹200"/>
    <n v="0.42"/>
    <x v="1"/>
    <x v="6"/>
    <x v="310"/>
    <n v="1938969"/>
    <x v="0"/>
  </r>
  <r>
    <x v="1"/>
    <x v="5"/>
    <s v="MobileAccessories"/>
    <s v="AutomobileAccessories"/>
    <x v="76"/>
    <n v="1999"/>
    <s v="&gt;₹500"/>
    <n v="0.76"/>
    <x v="0"/>
    <x v="1"/>
    <x v="311"/>
    <n v="7248374"/>
    <x v="0"/>
  </r>
  <r>
    <x v="1"/>
    <x v="6"/>
    <s v="MemoryCards"/>
    <s v="MicroSD"/>
    <x v="179"/>
    <n v="1600"/>
    <s v="&gt;₹500"/>
    <n v="0.77"/>
    <x v="0"/>
    <x v="1"/>
    <x v="312"/>
    <n v="52200000"/>
    <x v="0"/>
  </r>
  <r>
    <x v="1"/>
    <x v="5"/>
    <s v="Smartphones&amp;BasicMobiles"/>
    <s v="Smartphones"/>
    <x v="185"/>
    <n v="20999"/>
    <s v="&gt;₹500"/>
    <n v="0.26"/>
    <x v="1"/>
    <x v="3"/>
    <x v="280"/>
    <n v="404272748"/>
    <x v="0"/>
  </r>
  <r>
    <x v="1"/>
    <x v="5"/>
    <s v="Smartphones&amp;BasicMobiles"/>
    <s v="Smartphones"/>
    <x v="185"/>
    <n v="18999"/>
    <s v="&gt;₹500"/>
    <n v="0.18"/>
    <x v="1"/>
    <x v="3"/>
    <x v="280"/>
    <n v="365768748"/>
    <x v="0"/>
  </r>
  <r>
    <x v="1"/>
    <x v="5"/>
    <s v="Smartphones&amp;BasicMobiles"/>
    <s v="Smartphones"/>
    <x v="196"/>
    <n v="28999"/>
    <s v="&gt;₹500"/>
    <n v="0.21"/>
    <x v="1"/>
    <x v="2"/>
    <x v="285"/>
    <n v="748870176"/>
    <x v="0"/>
  </r>
  <r>
    <x v="1"/>
    <x v="7"/>
    <s v="Headphones"/>
    <s v="In-Ear"/>
    <x v="23"/>
    <n v="1490"/>
    <s v="&gt;₹500"/>
    <n v="0.6"/>
    <x v="0"/>
    <x v="3"/>
    <x v="313"/>
    <n v="240901710"/>
    <x v="0"/>
  </r>
  <r>
    <x v="1"/>
    <x v="5"/>
    <s v="MobileAccessories"/>
    <s v="Stands"/>
    <x v="197"/>
    <n v="699"/>
    <s v="&gt;₹500"/>
    <n v="0.81"/>
    <x v="0"/>
    <x v="3"/>
    <x v="314"/>
    <n v="11662815"/>
    <x v="0"/>
  </r>
  <r>
    <x v="1"/>
    <x v="5"/>
    <s v="Smartphones&amp;BasicMobiles"/>
    <s v="Smartphones"/>
    <x v="198"/>
    <n v="7999"/>
    <s v="&gt;₹500"/>
    <n v="0.06"/>
    <x v="1"/>
    <x v="1"/>
    <x v="315"/>
    <n v="247225093"/>
    <x v="0"/>
  </r>
  <r>
    <x v="1"/>
    <x v="5"/>
    <s v="MobileAccessories"/>
    <s v="Chargers"/>
    <x v="176"/>
    <n v="2199"/>
    <s v="&gt;₹500"/>
    <n v="0.48"/>
    <x v="1"/>
    <x v="4"/>
    <x v="253"/>
    <n v="393427488"/>
    <x v="0"/>
  </r>
  <r>
    <x v="1"/>
    <x v="5"/>
    <s v="Smartphones&amp;BasicMobiles"/>
    <s v="BasicMobiles"/>
    <x v="199"/>
    <n v="1699"/>
    <s v="&gt;₹500"/>
    <n v="0.22"/>
    <x v="1"/>
    <x v="1"/>
    <x v="258"/>
    <n v="218000389"/>
    <x v="0"/>
  </r>
  <r>
    <x v="1"/>
    <x v="5"/>
    <s v="Smartphones&amp;BasicMobiles"/>
    <s v="Smartphones"/>
    <x v="13"/>
    <n v="19999"/>
    <s v="&gt;₹500"/>
    <n v="0.3"/>
    <x v="1"/>
    <x v="3"/>
    <x v="280"/>
    <n v="385020748"/>
    <x v="0"/>
  </r>
  <r>
    <x v="0"/>
    <x v="0"/>
    <s v="Cables&amp;Accessories"/>
    <s v="Cables"/>
    <x v="8"/>
    <n v="799"/>
    <s v="&gt;₹500"/>
    <n v="0.63"/>
    <x v="0"/>
    <x v="0"/>
    <x v="288"/>
    <n v="75396836"/>
    <x v="0"/>
  </r>
  <r>
    <x v="1"/>
    <x v="5"/>
    <s v="MobileAccessories"/>
    <s v="Chargers"/>
    <x v="29"/>
    <n v="1599"/>
    <s v="&gt;₹500"/>
    <n v="0.38"/>
    <x v="1"/>
    <x v="1"/>
    <x v="301"/>
    <n v="11547978"/>
    <x v="0"/>
  </r>
  <r>
    <x v="1"/>
    <x v="5"/>
    <s v="Smartphones&amp;BasicMobiles"/>
    <s v="Smartphones"/>
    <x v="180"/>
    <n v="17999"/>
    <s v="&gt;₹500"/>
    <n v="0.28000000000000003"/>
    <x v="1"/>
    <x v="3"/>
    <x v="271"/>
    <n v="341945002"/>
    <x v="0"/>
  </r>
  <r>
    <x v="1"/>
    <x v="5"/>
    <s v="Smartphones&amp;BasicMobiles"/>
    <s v="Smartphones"/>
    <x v="87"/>
    <n v="20990"/>
    <s v="&gt;₹500"/>
    <n v="0.26"/>
    <x v="1"/>
    <x v="0"/>
    <x v="284"/>
    <n v="690906840"/>
    <x v="0"/>
  </r>
  <r>
    <x v="1"/>
    <x v="5"/>
    <s v="MobileAccessories"/>
    <s v="Maintenance,Upkeep&amp;Repairs"/>
    <x v="29"/>
    <n v="2899"/>
    <s v="&gt;₹500"/>
    <n v="0.66"/>
    <x v="0"/>
    <x v="13"/>
    <x v="316"/>
    <n v="77122097"/>
    <x v="0"/>
  </r>
  <r>
    <x v="1"/>
    <x v="4"/>
    <s v="SmartWatches"/>
    <m/>
    <x v="44"/>
    <n v="4999"/>
    <s v="&gt;₹500"/>
    <n v="0.68"/>
    <x v="0"/>
    <x v="1"/>
    <x v="317"/>
    <n v="339682050"/>
    <x v="0"/>
  </r>
  <r>
    <x v="1"/>
    <x v="5"/>
    <s v="Smartphones&amp;BasicMobiles"/>
    <s v="BasicMobiles"/>
    <x v="199"/>
    <n v="1699"/>
    <s v="&gt;₹500"/>
    <n v="0.22"/>
    <x v="1"/>
    <x v="1"/>
    <x v="258"/>
    <n v="218000389"/>
    <x v="0"/>
  </r>
  <r>
    <x v="1"/>
    <x v="5"/>
    <s v="Smartphones&amp;BasicMobiles"/>
    <s v="Smartphones"/>
    <x v="195"/>
    <n v="29990"/>
    <s v="&gt;₹500"/>
    <n v="0.3"/>
    <x v="1"/>
    <x v="4"/>
    <x v="318"/>
    <n v="284875010"/>
    <x v="0"/>
  </r>
  <r>
    <x v="1"/>
    <x v="5"/>
    <s v="MobileAccessories"/>
    <s v="Chargers"/>
    <x v="29"/>
    <n v="1999"/>
    <s v="&gt;₹500"/>
    <n v="0.5"/>
    <x v="0"/>
    <x v="4"/>
    <x v="319"/>
    <n v="3552223"/>
    <x v="0"/>
  </r>
  <r>
    <x v="1"/>
    <x v="5"/>
    <s v="Smartphones&amp;BasicMobiles"/>
    <s v="Smartphones"/>
    <x v="200"/>
    <n v="15990"/>
    <s v="&gt;₹500"/>
    <n v="0.22"/>
    <x v="1"/>
    <x v="0"/>
    <x v="320"/>
    <n v="935510940"/>
    <x v="0"/>
  </r>
  <r>
    <x v="1"/>
    <x v="5"/>
    <s v="Smartphones&amp;BasicMobiles"/>
    <s v="Smartphones"/>
    <x v="201"/>
    <n v="21990"/>
    <s v="&gt;₹500"/>
    <n v="0.18"/>
    <x v="1"/>
    <x v="1"/>
    <x v="273"/>
    <n v="469486500"/>
    <x v="0"/>
  </r>
  <r>
    <x v="0"/>
    <x v="0"/>
    <s v="Cables&amp;Accessories"/>
    <s v="Cables"/>
    <x v="10"/>
    <n v="899"/>
    <s v="&gt;₹500"/>
    <n v="0.61"/>
    <x v="0"/>
    <x v="0"/>
    <x v="321"/>
    <n v="2034437"/>
    <x v="0"/>
  </r>
  <r>
    <x v="1"/>
    <x v="5"/>
    <s v="Smartphones&amp;BasicMobiles"/>
    <s v="BasicMobiles"/>
    <x v="92"/>
    <n v="1630"/>
    <s v="&gt;₹500"/>
    <n v="0.14000000000000001"/>
    <x v="1"/>
    <x v="1"/>
    <x v="20"/>
    <n v="15286140"/>
    <x v="0"/>
  </r>
  <r>
    <x v="1"/>
    <x v="4"/>
    <s v="SmartWatches"/>
    <m/>
    <x v="72"/>
    <n v="6990"/>
    <s v="&gt;₹500"/>
    <n v="0.79"/>
    <x v="0"/>
    <x v="2"/>
    <x v="259"/>
    <n v="152354040"/>
    <x v="0"/>
  </r>
  <r>
    <x v="1"/>
    <x v="4"/>
    <s v="SmartWatches"/>
    <m/>
    <x v="168"/>
    <n v="7990"/>
    <s v="&gt;₹500"/>
    <n v="0.75"/>
    <x v="0"/>
    <x v="11"/>
    <x v="322"/>
    <n v="142485670"/>
    <x v="0"/>
  </r>
  <r>
    <x v="1"/>
    <x v="5"/>
    <s v="MobileAccessories"/>
    <s v="Maintenance,Upkeep&amp;Repairs"/>
    <x v="29"/>
    <n v="2899"/>
    <s v="&gt;₹500"/>
    <n v="0.66"/>
    <x v="0"/>
    <x v="16"/>
    <x v="323"/>
    <n v="22551321"/>
    <x v="0"/>
  </r>
  <r>
    <x v="1"/>
    <x v="5"/>
    <s v="MobileAccessories"/>
    <s v="StylusPens"/>
    <x v="202"/>
    <n v="5999"/>
    <s v="&gt;₹500"/>
    <n v="0.65"/>
    <x v="0"/>
    <x v="4"/>
    <x v="324"/>
    <n v="102756871"/>
    <x v="0"/>
  </r>
  <r>
    <x v="1"/>
    <x v="5"/>
    <s v="MobileAccessories"/>
    <s v="Chargers"/>
    <x v="203"/>
    <n v="699"/>
    <s v="&gt;₹500"/>
    <n v="0.52"/>
    <x v="0"/>
    <x v="0"/>
    <x v="325"/>
    <n v="3473331"/>
    <x v="0"/>
  </r>
  <r>
    <x v="1"/>
    <x v="4"/>
    <s v="SmartWatches"/>
    <m/>
    <x v="194"/>
    <n v="7990"/>
    <s v="&gt;₹500"/>
    <n v="0.62"/>
    <x v="0"/>
    <x v="3"/>
    <x v="326"/>
    <n v="1230460"/>
    <x v="0"/>
  </r>
  <r>
    <x v="1"/>
    <x v="4"/>
    <s v="SmartWatches"/>
    <m/>
    <x v="69"/>
    <n v="5999"/>
    <s v="&gt;₹500"/>
    <n v="0.78"/>
    <x v="0"/>
    <x v="8"/>
    <x v="327"/>
    <n v="26485585"/>
    <x v="0"/>
  </r>
  <r>
    <x v="1"/>
    <x v="5"/>
    <s v="Smartphones&amp;BasicMobiles"/>
    <s v="Smartphones"/>
    <x v="182"/>
    <n v="20990"/>
    <s v="&gt;₹500"/>
    <n v="0.21"/>
    <x v="1"/>
    <x v="1"/>
    <x v="273"/>
    <n v="448136500"/>
    <x v="0"/>
  </r>
  <r>
    <x v="1"/>
    <x v="7"/>
    <s v="Headphones"/>
    <s v="In-Ear"/>
    <x v="7"/>
    <n v="499"/>
    <s v="₹200–₹500"/>
    <n v="0"/>
    <x v="1"/>
    <x v="0"/>
    <x v="328"/>
    <n v="15737961"/>
    <x v="0"/>
  </r>
  <r>
    <x v="1"/>
    <x v="5"/>
    <s v="MobileAccessories"/>
    <s v="Maintenance,Upkeep&amp;Repairs"/>
    <x v="29"/>
    <n v="2899"/>
    <s v="&gt;₹500"/>
    <n v="0.66"/>
    <x v="0"/>
    <x v="13"/>
    <x v="329"/>
    <n v="17767971"/>
    <x v="0"/>
  </r>
  <r>
    <x v="1"/>
    <x v="5"/>
    <s v="Smartphones&amp;BasicMobiles"/>
    <s v="Smartphones"/>
    <x v="162"/>
    <n v="13499"/>
    <s v="&gt;₹500"/>
    <n v="0.22"/>
    <x v="1"/>
    <x v="0"/>
    <x v="101"/>
    <n v="3833716"/>
    <x v="0"/>
  </r>
  <r>
    <x v="1"/>
    <x v="5"/>
    <s v="MobileAccessories"/>
    <s v="Mounts"/>
    <x v="204"/>
    <n v="999"/>
    <s v="&gt;₹500"/>
    <n v="0.75"/>
    <x v="0"/>
    <x v="7"/>
    <x v="330"/>
    <n v="3230766"/>
    <x v="0"/>
  </r>
  <r>
    <x v="1"/>
    <x v="5"/>
    <s v="Smartphones&amp;BasicMobiles"/>
    <s v="Smartphones"/>
    <x v="170"/>
    <n v="7999"/>
    <s v="&gt;₹500"/>
    <n v="0.19"/>
    <x v="1"/>
    <x v="3"/>
    <x v="331"/>
    <n v="2510342168"/>
    <x v="0"/>
  </r>
  <r>
    <x v="1"/>
    <x v="4"/>
    <s v="SmartWatches"/>
    <m/>
    <x v="194"/>
    <n v="9999"/>
    <s v="&gt;₹500"/>
    <n v="0.7"/>
    <x v="0"/>
    <x v="0"/>
    <x v="332"/>
    <n v="208769121"/>
    <x v="0"/>
  </r>
  <r>
    <x v="1"/>
    <x v="5"/>
    <s v="MobileAccessories"/>
    <s v="Cases&amp;Covers"/>
    <x v="17"/>
    <n v="1499"/>
    <s v="&gt;₹500"/>
    <n v="0.81"/>
    <x v="0"/>
    <x v="0"/>
    <x v="333"/>
    <n v="3966354"/>
    <x v="0"/>
  </r>
  <r>
    <x v="1"/>
    <x v="5"/>
    <s v="MobileAccessories"/>
    <s v="Stands"/>
    <x v="54"/>
    <n v="1499"/>
    <s v="&gt;₹500"/>
    <n v="0.82"/>
    <x v="0"/>
    <x v="6"/>
    <x v="334"/>
    <n v="43438022"/>
    <x v="0"/>
  </r>
  <r>
    <x v="1"/>
    <x v="5"/>
    <s v="Smartphones&amp;BasicMobiles"/>
    <s v="Smartphones"/>
    <x v="138"/>
    <n v="13499"/>
    <s v="&gt;₹500"/>
    <n v="0.33"/>
    <x v="1"/>
    <x v="11"/>
    <x v="335"/>
    <n v="42454355"/>
    <x v="0"/>
  </r>
  <r>
    <x v="0"/>
    <x v="0"/>
    <s v="Cables&amp;Accessories"/>
    <s v="Cables"/>
    <x v="18"/>
    <n v="199"/>
    <s v="&lt;₹200"/>
    <n v="0.7"/>
    <x v="0"/>
    <x v="1"/>
    <x v="336"/>
    <n v="1866023"/>
    <x v="0"/>
  </r>
  <r>
    <x v="1"/>
    <x v="7"/>
    <s v="Headphones"/>
    <s v="In-Ear"/>
    <x v="23"/>
    <n v="1299"/>
    <s v="&gt;₹500"/>
    <n v="0.54"/>
    <x v="0"/>
    <x v="3"/>
    <x v="337"/>
    <n v="250173111"/>
    <x v="0"/>
  </r>
  <r>
    <x v="1"/>
    <x v="5"/>
    <s v="MobileAccessories"/>
    <s v="StylusPens"/>
    <x v="12"/>
    <n v="999"/>
    <s v="&gt;₹500"/>
    <n v="0.65"/>
    <x v="0"/>
    <x v="11"/>
    <x v="338"/>
    <n v="16540443"/>
    <x v="0"/>
  </r>
  <r>
    <x v="1"/>
    <x v="5"/>
    <s v="MobileAccessories"/>
    <s v="StylusPens"/>
    <x v="12"/>
    <n v="999"/>
    <s v="&gt;₹500"/>
    <n v="0.65"/>
    <x v="0"/>
    <x v="11"/>
    <x v="338"/>
    <n v="16540443"/>
    <x v="0"/>
  </r>
  <r>
    <x v="1"/>
    <x v="5"/>
    <s v="MobileAccessories"/>
    <s v="Chargers"/>
    <x v="7"/>
    <n v="599"/>
    <s v="&gt;₹500"/>
    <n v="0.17"/>
    <x v="1"/>
    <x v="0"/>
    <x v="339"/>
    <n v="13127684"/>
    <x v="0"/>
  </r>
  <r>
    <x v="1"/>
    <x v="4"/>
    <s v="SmartWatches"/>
    <m/>
    <x v="181"/>
    <n v="9999"/>
    <s v="&gt;₹500"/>
    <n v="0.78"/>
    <x v="0"/>
    <x v="0"/>
    <x v="340"/>
    <n v="294690528"/>
    <x v="0"/>
  </r>
  <r>
    <x v="1"/>
    <x v="5"/>
    <s v="MobileAccessories"/>
    <s v="D√©cor"/>
    <x v="205"/>
    <n v="499"/>
    <s v="₹200–₹500"/>
    <n v="0.81"/>
    <x v="0"/>
    <x v="0"/>
    <x v="341"/>
    <n v="972551"/>
    <x v="0"/>
  </r>
  <r>
    <x v="0"/>
    <x v="0"/>
    <s v="Cables&amp;Accessories"/>
    <s v="Cables"/>
    <x v="41"/>
    <n v="249"/>
    <s v="₹200–₹500"/>
    <n v="0.44"/>
    <x v="1"/>
    <x v="1"/>
    <x v="336"/>
    <n v="2334873"/>
    <x v="0"/>
  </r>
  <r>
    <x v="1"/>
    <x v="4"/>
    <s v="SmartWatches"/>
    <m/>
    <x v="206"/>
    <n v="7999"/>
    <s v="&gt;₹500"/>
    <n v="0.44"/>
    <x v="1"/>
    <x v="12"/>
    <x v="95"/>
    <n v="295963"/>
    <x v="0"/>
  </r>
  <r>
    <x v="1"/>
    <x v="5"/>
    <s v="MobileAccessories"/>
    <s v="Stands"/>
    <x v="124"/>
    <n v="599"/>
    <s v="&gt;₹500"/>
    <n v="0.85"/>
    <x v="0"/>
    <x v="4"/>
    <x v="342"/>
    <n v="1408249"/>
    <x v="0"/>
  </r>
  <r>
    <x v="1"/>
    <x v="5"/>
    <s v="Smartphones&amp;BasicMobiles"/>
    <s v="Smartphones"/>
    <x v="185"/>
    <n v="20999"/>
    <s v="&gt;₹500"/>
    <n v="0.26"/>
    <x v="1"/>
    <x v="3"/>
    <x v="343"/>
    <n v="404293747"/>
    <x v="0"/>
  </r>
  <r>
    <x v="1"/>
    <x v="5"/>
    <s v="Smartphones&amp;BasicMobiles"/>
    <s v="Smartphones"/>
    <x v="13"/>
    <n v="15999"/>
    <s v="&gt;₹500"/>
    <n v="0.13"/>
    <x v="1"/>
    <x v="2"/>
    <x v="344"/>
    <n v="34877820"/>
    <x v="0"/>
  </r>
  <r>
    <x v="1"/>
    <x v="4"/>
    <s v="SmartWatches"/>
    <m/>
    <x v="168"/>
    <n v="4999"/>
    <s v="&gt;₹500"/>
    <n v="0.6"/>
    <x v="0"/>
    <x v="2"/>
    <x v="345"/>
    <n v="37847429"/>
    <x v="0"/>
  </r>
  <r>
    <x v="1"/>
    <x v="4"/>
    <s v="SmartWatches"/>
    <m/>
    <x v="92"/>
    <n v="5999"/>
    <s v="&gt;₹500"/>
    <n v="0.77"/>
    <x v="0"/>
    <x v="8"/>
    <x v="327"/>
    <n v="26485585"/>
    <x v="0"/>
  </r>
  <r>
    <x v="1"/>
    <x v="5"/>
    <s v="MobileAccessories"/>
    <s v="AutomobileAccessories"/>
    <x v="23"/>
    <n v="999"/>
    <s v="&gt;₹500"/>
    <n v="0.4"/>
    <x v="1"/>
    <x v="1"/>
    <x v="346"/>
    <n v="18635346"/>
    <x v="0"/>
  </r>
  <r>
    <x v="1"/>
    <x v="5"/>
    <s v="MobileAccessories"/>
    <s v="Chargers"/>
    <x v="1"/>
    <n v="1099"/>
    <s v="&gt;₹500"/>
    <n v="0.82"/>
    <x v="0"/>
    <x v="1"/>
    <x v="347"/>
    <n v="3513503"/>
    <x v="0"/>
  </r>
  <r>
    <x v="1"/>
    <x v="4"/>
    <s v="SmartWatches"/>
    <m/>
    <x v="166"/>
    <n v="6990"/>
    <s v="&gt;₹500"/>
    <n v="0.74"/>
    <x v="0"/>
    <x v="1"/>
    <x v="348"/>
    <n v="187891200"/>
    <x v="0"/>
  </r>
  <r>
    <x v="1"/>
    <x v="4"/>
    <s v="SmartWatches"/>
    <m/>
    <x v="72"/>
    <n v="6990"/>
    <s v="&gt;₹500"/>
    <n v="0.79"/>
    <x v="0"/>
    <x v="2"/>
    <x v="259"/>
    <n v="152354040"/>
    <x v="0"/>
  </r>
  <r>
    <x v="1"/>
    <x v="5"/>
    <s v="Smartphones&amp;BasicMobiles"/>
    <s v="Smartphones"/>
    <x v="195"/>
    <n v="29990"/>
    <s v="&gt;₹500"/>
    <n v="0.3"/>
    <x v="1"/>
    <x v="4"/>
    <x v="318"/>
    <n v="284875010"/>
    <x v="0"/>
  </r>
  <r>
    <x v="1"/>
    <x v="5"/>
    <s v="Smartphones&amp;BasicMobiles"/>
    <s v="Smartphones"/>
    <x v="180"/>
    <n v="13499"/>
    <s v="&gt;₹500"/>
    <n v="0.04"/>
    <x v="1"/>
    <x v="3"/>
    <x v="349"/>
    <n v="757266902"/>
    <x v="0"/>
  </r>
  <r>
    <x v="1"/>
    <x v="5"/>
    <s v="Smartphones&amp;BasicMobiles"/>
    <s v="Smartphones"/>
    <x v="153"/>
    <n v="20999"/>
    <s v="&gt;₹500"/>
    <n v="0.19"/>
    <x v="1"/>
    <x v="3"/>
    <x v="350"/>
    <n v="668230178"/>
    <x v="0"/>
  </r>
  <r>
    <x v="1"/>
    <x v="5"/>
    <s v="Smartphones&amp;BasicMobiles"/>
    <s v="Smartphones"/>
    <x v="28"/>
    <n v="27990"/>
    <s v="&gt;₹500"/>
    <n v="0.28999999999999998"/>
    <x v="1"/>
    <x v="4"/>
    <x v="318"/>
    <n v="265877010"/>
    <x v="0"/>
  </r>
  <r>
    <x v="1"/>
    <x v="5"/>
    <s v="Smartphones&amp;BasicMobiles"/>
    <s v="Smartphones"/>
    <x v="180"/>
    <n v="18999"/>
    <s v="&gt;₹500"/>
    <n v="0.32"/>
    <x v="1"/>
    <x v="3"/>
    <x v="308"/>
    <n v="964617228"/>
    <x v="0"/>
  </r>
  <r>
    <x v="1"/>
    <x v="4"/>
    <s v="SmartWatches"/>
    <m/>
    <x v="194"/>
    <n v="5999"/>
    <s v="&gt;₹500"/>
    <n v="0.5"/>
    <x v="0"/>
    <x v="3"/>
    <x v="351"/>
    <n v="42880852"/>
    <x v="0"/>
  </r>
  <r>
    <x v="1"/>
    <x v="5"/>
    <s v="MobileAccessories"/>
    <s v="Chargers"/>
    <x v="2"/>
    <n v="999"/>
    <s v="&gt;₹500"/>
    <n v="0.67"/>
    <x v="0"/>
    <x v="0"/>
    <x v="352"/>
    <n v="3488508"/>
    <x v="0"/>
  </r>
  <r>
    <x v="1"/>
    <x v="4"/>
    <s v="SmartWatches"/>
    <m/>
    <x v="69"/>
    <n v="5999"/>
    <s v="&gt;₹500"/>
    <n v="0.78"/>
    <x v="0"/>
    <x v="8"/>
    <x v="327"/>
    <n v="26485585"/>
    <x v="0"/>
  </r>
  <r>
    <x v="1"/>
    <x v="6"/>
    <s v="MemoryCards"/>
    <s v="MicroSD"/>
    <x v="207"/>
    <n v="3500"/>
    <s v="&gt;₹500"/>
    <n v="0.43"/>
    <x v="1"/>
    <x v="5"/>
    <x v="353"/>
    <n v="235410000"/>
    <x v="0"/>
  </r>
  <r>
    <x v="1"/>
    <x v="4"/>
    <s v="SmartWatches"/>
    <m/>
    <x v="168"/>
    <n v="9999"/>
    <s v="&gt;₹500"/>
    <n v="0.8"/>
    <x v="0"/>
    <x v="4"/>
    <x v="354"/>
    <n v="277012296"/>
    <x v="0"/>
  </r>
  <r>
    <x v="1"/>
    <x v="5"/>
    <s v="Smartphones&amp;BasicMobiles"/>
    <s v="Smartphones"/>
    <x v="180"/>
    <n v="18999"/>
    <s v="&gt;₹500"/>
    <n v="0.32"/>
    <x v="1"/>
    <x v="3"/>
    <x v="308"/>
    <n v="964617228"/>
    <x v="0"/>
  </r>
  <r>
    <x v="1"/>
    <x v="4"/>
    <s v="SmartWatches"/>
    <m/>
    <x v="72"/>
    <n v="4999"/>
    <s v="&gt;₹500"/>
    <n v="0.7"/>
    <x v="0"/>
    <x v="1"/>
    <x v="355"/>
    <n v="462847412"/>
    <x v="0"/>
  </r>
  <r>
    <x v="1"/>
    <x v="5"/>
    <s v="Smartphones&amp;BasicMobiles"/>
    <s v="Smartphones"/>
    <x v="153"/>
    <n v="20999"/>
    <s v="&gt;₹500"/>
    <n v="0.19"/>
    <x v="1"/>
    <x v="3"/>
    <x v="350"/>
    <n v="668230178"/>
    <x v="0"/>
  </r>
  <r>
    <x v="1"/>
    <x v="4"/>
    <s v="SmartWatches"/>
    <m/>
    <x v="168"/>
    <n v="8499"/>
    <s v="&gt;₹500"/>
    <n v="0.76"/>
    <x v="0"/>
    <x v="4"/>
    <x v="356"/>
    <n v="2039760"/>
    <x v="0"/>
  </r>
  <r>
    <x v="1"/>
    <x v="4"/>
    <s v="SmartWatches"/>
    <m/>
    <x v="208"/>
    <n v="6999"/>
    <s v="&gt;₹500"/>
    <n v="0.28999999999999998"/>
    <x v="1"/>
    <x v="11"/>
    <x v="357"/>
    <n v="5305242"/>
    <x v="0"/>
  </r>
  <r>
    <x v="0"/>
    <x v="0"/>
    <s v="Cables&amp;Accessories"/>
    <s v="Cables"/>
    <x v="24"/>
    <n v="666.66"/>
    <s v="&gt;₹500"/>
    <n v="0.85"/>
    <x v="0"/>
    <x v="2"/>
    <x v="294"/>
    <n v="16579834.199999999"/>
    <x v="0"/>
  </r>
  <r>
    <x v="1"/>
    <x v="4"/>
    <s v="SmartWatches"/>
    <m/>
    <x v="209"/>
    <n v="5999"/>
    <s v="&gt;₹500"/>
    <n v="0.57999999999999996"/>
    <x v="0"/>
    <x v="7"/>
    <x v="358"/>
    <n v="4967172"/>
    <x v="0"/>
  </r>
  <r>
    <x v="1"/>
    <x v="5"/>
    <s v="Smartphones&amp;BasicMobiles"/>
    <s v="BasicMobiles"/>
    <x v="92"/>
    <n v="1630"/>
    <s v="&gt;₹500"/>
    <n v="0.14000000000000001"/>
    <x v="1"/>
    <x v="1"/>
    <x v="20"/>
    <n v="15286140"/>
    <x v="0"/>
  </r>
  <r>
    <x v="1"/>
    <x v="4"/>
    <s v="SmartWatches"/>
    <m/>
    <x v="72"/>
    <n v="9999"/>
    <s v="&gt;₹500"/>
    <n v="0.85"/>
    <x v="0"/>
    <x v="0"/>
    <x v="359"/>
    <n v="226357362"/>
    <x v="0"/>
  </r>
  <r>
    <x v="1"/>
    <x v="5"/>
    <s v="MobileAccessories"/>
    <s v="Chargers"/>
    <x v="14"/>
    <n v="599"/>
    <s v="&gt;₹500"/>
    <n v="0.57999999999999996"/>
    <x v="0"/>
    <x v="2"/>
    <x v="360"/>
    <n v="1286053"/>
    <x v="0"/>
  </r>
  <r>
    <x v="1"/>
    <x v="5"/>
    <s v="MobileAccessories"/>
    <s v="Maintenance,Upkeep&amp;Repairs"/>
    <x v="8"/>
    <n v="1199"/>
    <s v="&gt;₹500"/>
    <n v="0.75"/>
    <x v="0"/>
    <x v="6"/>
    <x v="361"/>
    <n v="714604"/>
    <x v="0"/>
  </r>
  <r>
    <x v="1"/>
    <x v="5"/>
    <s v="MobileAccessories"/>
    <s v="D√©cor"/>
    <x v="210"/>
    <n v="499"/>
    <s v="₹200–₹500"/>
    <n v="0.84"/>
    <x v="0"/>
    <x v="0"/>
    <x v="341"/>
    <n v="972551"/>
    <x v="0"/>
  </r>
  <r>
    <x v="1"/>
    <x v="5"/>
    <s v="Smartphones&amp;BasicMobiles"/>
    <s v="Smartphones"/>
    <x v="13"/>
    <n v="15999"/>
    <s v="&gt;₹500"/>
    <n v="0.13"/>
    <x v="1"/>
    <x v="2"/>
    <x v="344"/>
    <n v="34877820"/>
    <x v="0"/>
  </r>
  <r>
    <x v="1"/>
    <x v="7"/>
    <s v="Headphones"/>
    <s v="In-Ear"/>
    <x v="96"/>
    <n v="999"/>
    <s v="&gt;₹500"/>
    <n v="0.05"/>
    <x v="1"/>
    <x v="0"/>
    <x v="328"/>
    <n v="31507461"/>
    <x v="0"/>
  </r>
  <r>
    <x v="1"/>
    <x v="5"/>
    <s v="MobileAccessories"/>
    <s v="Stands"/>
    <x v="24"/>
    <n v="499"/>
    <s v="₹200–₹500"/>
    <n v="0.8"/>
    <x v="0"/>
    <x v="3"/>
    <x v="362"/>
    <n v="1223049"/>
    <x v="0"/>
  </r>
  <r>
    <x v="1"/>
    <x v="4"/>
    <s v="SmartWatches"/>
    <m/>
    <x v="209"/>
    <n v="7990"/>
    <s v="&gt;₹500"/>
    <n v="0.69"/>
    <x v="0"/>
    <x v="3"/>
    <x v="326"/>
    <n v="1230460"/>
    <x v="0"/>
  </r>
  <r>
    <x v="1"/>
    <x v="5"/>
    <s v="MobileAccessories"/>
    <s v="Mounts"/>
    <x v="78"/>
    <n v="1999"/>
    <s v="&gt;₹500"/>
    <n v="0.66"/>
    <x v="0"/>
    <x v="4"/>
    <x v="127"/>
    <n v="2384807"/>
    <x v="0"/>
  </r>
  <r>
    <x v="1"/>
    <x v="5"/>
    <s v="MobileAccessories"/>
    <s v="Mounts"/>
    <x v="7"/>
    <n v="1899"/>
    <s v="&gt;₹500"/>
    <n v="0.74"/>
    <x v="0"/>
    <x v="3"/>
    <x v="363"/>
    <n v="2801025"/>
    <x v="0"/>
  </r>
  <r>
    <x v="1"/>
    <x v="5"/>
    <s v="MobileAccessories"/>
    <s v="Maintenance,Upkeep&amp;Repairs"/>
    <x v="8"/>
    <n v="999"/>
    <s v="&gt;₹500"/>
    <n v="0.7"/>
    <x v="0"/>
    <x v="4"/>
    <x v="267"/>
    <n v="8882109"/>
    <x v="0"/>
  </r>
  <r>
    <x v="1"/>
    <x v="5"/>
    <s v="MobileAccessories"/>
    <s v="Stands"/>
    <x v="27"/>
    <n v="499"/>
    <s v="₹200–₹500"/>
    <n v="0.57999999999999996"/>
    <x v="0"/>
    <x v="9"/>
    <x v="364"/>
    <n v="51896"/>
    <x v="0"/>
  </r>
  <r>
    <x v="1"/>
    <x v="5"/>
    <s v="Smartphones&amp;BasicMobiles"/>
    <s v="Smartphones"/>
    <x v="73"/>
    <n v="12999"/>
    <s v="&gt;₹500"/>
    <n v="0.35"/>
    <x v="1"/>
    <x v="3"/>
    <x v="365"/>
    <n v="86599338"/>
    <x v="0"/>
  </r>
  <r>
    <x v="1"/>
    <x v="5"/>
    <s v="MobileAccessories"/>
    <s v="Chargers"/>
    <x v="211"/>
    <n v="3999"/>
    <s v="&gt;₹500"/>
    <n v="0.46"/>
    <x v="1"/>
    <x v="1"/>
    <x v="366"/>
    <n v="33511620"/>
    <x v="0"/>
  </r>
  <r>
    <x v="1"/>
    <x v="5"/>
    <s v="Smartphones&amp;BasicMobiles"/>
    <s v="Smartphones"/>
    <x v="153"/>
    <n v="20999"/>
    <s v="&gt;₹500"/>
    <n v="0.19"/>
    <x v="1"/>
    <x v="3"/>
    <x v="350"/>
    <n v="668230178"/>
    <x v="0"/>
  </r>
  <r>
    <x v="1"/>
    <x v="5"/>
    <s v="Smartphones&amp;BasicMobiles"/>
    <s v="Smartphones"/>
    <x v="212"/>
    <n v="49999"/>
    <s v="&gt;₹500"/>
    <n v="0.1"/>
    <x v="1"/>
    <x v="4"/>
    <x v="367"/>
    <n v="153746925"/>
    <x v="0"/>
  </r>
  <r>
    <x v="1"/>
    <x v="5"/>
    <s v="Smartphones&amp;BasicMobiles"/>
    <s v="BasicMobiles"/>
    <x v="213"/>
    <n v="2999"/>
    <s v="&gt;₹500"/>
    <n v="0.13"/>
    <x v="1"/>
    <x v="2"/>
    <x v="368"/>
    <n v="42783734"/>
    <x v="0"/>
  </r>
  <r>
    <x v="1"/>
    <x v="4"/>
    <s v="SmartWatches"/>
    <m/>
    <x v="214"/>
    <n v="6499"/>
    <s v="&gt;₹500"/>
    <n v="0.56999999999999995"/>
    <x v="0"/>
    <x v="3"/>
    <x v="369"/>
    <n v="252674621"/>
    <x v="0"/>
  </r>
  <r>
    <x v="1"/>
    <x v="7"/>
    <s v="Headphones"/>
    <s v="On-Ear"/>
    <x v="92"/>
    <n v="2990"/>
    <s v="&gt;₹500"/>
    <n v="0.53"/>
    <x v="0"/>
    <x v="3"/>
    <x v="370"/>
    <n v="290553250"/>
    <x v="0"/>
  </r>
  <r>
    <x v="1"/>
    <x v="6"/>
    <s v="MemoryCards"/>
    <s v="MicroSD"/>
    <x v="37"/>
    <n v="2400"/>
    <s v="&gt;₹500"/>
    <n v="0.73"/>
    <x v="0"/>
    <x v="5"/>
    <x v="353"/>
    <n v="161424000"/>
    <x v="0"/>
  </r>
  <r>
    <x v="1"/>
    <x v="5"/>
    <s v="MobileAccessories"/>
    <s v="Chargers"/>
    <x v="34"/>
    <n v="3990"/>
    <s v="&gt;₹500"/>
    <n v="0.8"/>
    <x v="0"/>
    <x v="11"/>
    <x v="371"/>
    <n v="474810"/>
    <x v="0"/>
  </r>
  <r>
    <x v="0"/>
    <x v="0"/>
    <s v="LaptopAccessories"/>
    <s v="CameraPrivacyCovers"/>
    <x v="4"/>
    <n v="149"/>
    <s v="&lt;₹200"/>
    <n v="0"/>
    <x v="1"/>
    <x v="4"/>
    <x v="372"/>
    <n v="1614117"/>
    <x v="0"/>
  </r>
  <r>
    <x v="1"/>
    <x v="5"/>
    <s v="Smartphones&amp;BasicMobiles"/>
    <s v="BasicMobiles"/>
    <x v="215"/>
    <n v="5299"/>
    <s v="&gt;₹500"/>
    <n v="0.28000000000000003"/>
    <x v="1"/>
    <x v="12"/>
    <x v="373"/>
    <n v="8695659"/>
    <x v="0"/>
  </r>
  <r>
    <x v="1"/>
    <x v="5"/>
    <s v="MobileAccessories"/>
    <s v="Cases&amp;Covers"/>
    <x v="1"/>
    <n v="1899"/>
    <s v="&gt;₹500"/>
    <n v="0.9"/>
    <x v="0"/>
    <x v="1"/>
    <x v="374"/>
    <n v="9001260"/>
    <x v="0"/>
  </r>
  <r>
    <x v="1"/>
    <x v="5"/>
    <s v="Smartphones&amp;BasicMobiles"/>
    <s v="Smartphones"/>
    <x v="77"/>
    <n v="32999"/>
    <s v="&gt;₹500"/>
    <n v="0.27"/>
    <x v="1"/>
    <x v="2"/>
    <x v="375"/>
    <n v="292569134"/>
    <x v="0"/>
  </r>
  <r>
    <x v="1"/>
    <x v="5"/>
    <s v="Smartphones&amp;BasicMobiles"/>
    <s v="Smartphones"/>
    <x v="85"/>
    <n v="39990"/>
    <s v="&gt;₹500"/>
    <n v="0.25"/>
    <x v="1"/>
    <x v="4"/>
    <x v="376"/>
    <n v="335876010"/>
    <x v="0"/>
  </r>
  <r>
    <x v="1"/>
    <x v="4"/>
    <s v="SmartWatches"/>
    <m/>
    <x v="216"/>
    <n v="1999"/>
    <s v="&gt;₹500"/>
    <n v="0.86"/>
    <x v="0"/>
    <x v="18"/>
    <x v="226"/>
    <n v="173913"/>
    <x v="0"/>
  </r>
  <r>
    <x v="1"/>
    <x v="5"/>
    <s v="Smartphones&amp;BasicMobiles"/>
    <s v="Smartphones"/>
    <x v="217"/>
    <n v="11999"/>
    <s v="&gt;₹500"/>
    <n v="0.33"/>
    <x v="1"/>
    <x v="11"/>
    <x v="377"/>
    <n v="1499875"/>
    <x v="0"/>
  </r>
  <r>
    <x v="1"/>
    <x v="4"/>
    <s v="SmartWatches"/>
    <m/>
    <x v="14"/>
    <n v="999"/>
    <s v="&gt;₹500"/>
    <n v="0.75"/>
    <x v="0"/>
    <x v="6"/>
    <x v="378"/>
    <n v="37962"/>
    <x v="0"/>
  </r>
  <r>
    <x v="1"/>
    <x v="5"/>
    <s v="MobileAccessories"/>
    <s v="Maintenance,Upkeep&amp;Repairs"/>
    <x v="8"/>
    <n v="599"/>
    <s v="&gt;₹500"/>
    <n v="0.5"/>
    <x v="0"/>
    <x v="4"/>
    <x v="379"/>
    <n v="2799726"/>
    <x v="0"/>
  </r>
  <r>
    <x v="1"/>
    <x v="4"/>
    <s v="SmartWatches"/>
    <m/>
    <x v="7"/>
    <n v="1899"/>
    <s v="&gt;₹500"/>
    <n v="0.74"/>
    <x v="0"/>
    <x v="3"/>
    <x v="380"/>
    <n v="782388"/>
    <x v="0"/>
  </r>
  <r>
    <x v="1"/>
    <x v="4"/>
    <s v="SmartWatches"/>
    <m/>
    <x v="25"/>
    <n v="3499"/>
    <s v="&gt;₹500"/>
    <n v="0.74"/>
    <x v="0"/>
    <x v="17"/>
    <x v="381"/>
    <n v="2382819"/>
    <x v="0"/>
  </r>
  <r>
    <x v="1"/>
    <x v="5"/>
    <s v="MobileAccessories"/>
    <s v="Chargers"/>
    <x v="44"/>
    <n v="3499"/>
    <s v="&gt;₹500"/>
    <n v="0.54"/>
    <x v="0"/>
    <x v="1"/>
    <x v="382"/>
    <n v="127307616"/>
    <x v="0"/>
  </r>
  <r>
    <x v="1"/>
    <x v="7"/>
    <s v="Adapters"/>
    <m/>
    <x v="218"/>
    <n v="999"/>
    <s v="&gt;₹500"/>
    <n v="0.88"/>
    <x v="0"/>
    <x v="2"/>
    <x v="383"/>
    <n v="6484509"/>
    <x v="0"/>
  </r>
  <r>
    <x v="1"/>
    <x v="4"/>
    <s v="SmartWatches"/>
    <m/>
    <x v="183"/>
    <n v="6999"/>
    <s v="&gt;₹500"/>
    <n v="0.43"/>
    <x v="1"/>
    <x v="3"/>
    <x v="384"/>
    <n v="71592771"/>
    <x v="0"/>
  </r>
  <r>
    <x v="1"/>
    <x v="5"/>
    <s v="MobileAccessories"/>
    <s v="Cases&amp;Covers"/>
    <x v="44"/>
    <n v="2599"/>
    <s v="&gt;₹500"/>
    <n v="0.38"/>
    <x v="1"/>
    <x v="4"/>
    <x v="385"/>
    <n v="4680799"/>
    <x v="0"/>
  </r>
  <r>
    <x v="1"/>
    <x v="5"/>
    <s v="MobileAccessories"/>
    <s v="Chargers"/>
    <x v="154"/>
    <n v="1199"/>
    <s v="&gt;₹500"/>
    <n v="0.42"/>
    <x v="1"/>
    <x v="1"/>
    <x v="309"/>
    <n v="17270396"/>
    <x v="0"/>
  </r>
  <r>
    <x v="1"/>
    <x v="5"/>
    <s v="MobileAccessories"/>
    <s v="D√©cor"/>
    <x v="24"/>
    <n v="999"/>
    <s v="&gt;₹500"/>
    <n v="0.9"/>
    <x v="0"/>
    <x v="5"/>
    <x v="386"/>
    <n v="304695"/>
    <x v="0"/>
  </r>
  <r>
    <x v="1"/>
    <x v="5"/>
    <s v="Smartphones&amp;BasicMobiles"/>
    <s v="Smartphones"/>
    <x v="219"/>
    <n v="9999"/>
    <s v="&gt;₹500"/>
    <n v="0.21"/>
    <x v="1"/>
    <x v="4"/>
    <x v="106"/>
    <n v="13758624"/>
    <x v="0"/>
  </r>
  <r>
    <x v="1"/>
    <x v="4"/>
    <s v="SmartWatches"/>
    <m/>
    <x v="72"/>
    <n v="7999"/>
    <s v="&gt;₹500"/>
    <n v="0.81"/>
    <x v="0"/>
    <x v="0"/>
    <x v="359"/>
    <n v="181081362"/>
    <x v="0"/>
  </r>
  <r>
    <x v="1"/>
    <x v="5"/>
    <s v="Smartphones&amp;BasicMobiles"/>
    <s v="BasicMobiles"/>
    <x v="220"/>
    <n v="1249"/>
    <s v="&gt;₹500"/>
    <n v="0.16"/>
    <x v="1"/>
    <x v="11"/>
    <x v="387"/>
    <n v="2937648"/>
    <x v="0"/>
  </r>
  <r>
    <x v="1"/>
    <x v="5"/>
    <s v="MobileAccessories"/>
    <s v="Maintenance,Upkeep&amp;Repairs"/>
    <x v="221"/>
    <n v="599"/>
    <s v="&gt;₹500"/>
    <n v="0.75"/>
    <x v="0"/>
    <x v="4"/>
    <x v="388"/>
    <n v="427686"/>
    <x v="0"/>
  </r>
  <r>
    <x v="0"/>
    <x v="0"/>
    <s v="Cables&amp;Accessories"/>
    <s v="Cables"/>
    <x v="9"/>
    <n v="700"/>
    <s v="&gt;₹500"/>
    <n v="0.69"/>
    <x v="0"/>
    <x v="4"/>
    <x v="389"/>
    <n v="14036400"/>
    <x v="0"/>
  </r>
  <r>
    <x v="1"/>
    <x v="5"/>
    <s v="MobileAccessories"/>
    <s v="Cases&amp;Covers"/>
    <x v="222"/>
    <n v="1799"/>
    <s v="&gt;₹500"/>
    <n v="0.74"/>
    <x v="0"/>
    <x v="4"/>
    <x v="243"/>
    <n v="2615746"/>
    <x v="0"/>
  </r>
  <r>
    <x v="1"/>
    <x v="5"/>
    <s v="MobileAccessories"/>
    <s v="Chargers"/>
    <x v="108"/>
    <n v="599"/>
    <s v="&gt;₹500"/>
    <n v="0.6"/>
    <x v="0"/>
    <x v="2"/>
    <x v="360"/>
    <n v="1286053"/>
    <x v="0"/>
  </r>
  <r>
    <x v="1"/>
    <x v="5"/>
    <s v="Smartphones&amp;BasicMobiles"/>
    <s v="Smartphones"/>
    <x v="198"/>
    <n v="9499"/>
    <s v="&gt;₹500"/>
    <n v="0.21"/>
    <x v="1"/>
    <x v="3"/>
    <x v="331"/>
    <n v="2981090168"/>
    <x v="0"/>
  </r>
  <r>
    <x v="1"/>
    <x v="4"/>
    <s v="SmartWatches"/>
    <m/>
    <x v="223"/>
    <n v="999"/>
    <s v="&gt;₹500"/>
    <n v="0.73"/>
    <x v="0"/>
    <x v="7"/>
    <x v="390"/>
    <n v="464535"/>
    <x v="0"/>
  </r>
  <r>
    <x v="1"/>
    <x v="5"/>
    <s v="Smartphones&amp;BasicMobiles"/>
    <s v="Smartphones"/>
    <x v="224"/>
    <n v="74999"/>
    <s v="&gt;₹500"/>
    <n v="0.49"/>
    <x v="1"/>
    <x v="0"/>
    <x v="391"/>
    <n v="2084222210"/>
    <x v="0"/>
  </r>
  <r>
    <x v="1"/>
    <x v="5"/>
    <s v="MobileAccessories"/>
    <s v="Photo&amp;VideoAccessories"/>
    <x v="166"/>
    <n v="3999"/>
    <s v="&gt;₹500"/>
    <n v="0.55000000000000004"/>
    <x v="0"/>
    <x v="13"/>
    <x v="392"/>
    <n v="979755"/>
    <x v="0"/>
  </r>
  <r>
    <x v="1"/>
    <x v="5"/>
    <s v="Smartphones&amp;BasicMobiles"/>
    <s v="Smartphones"/>
    <x v="73"/>
    <n v="11999"/>
    <s v="&gt;₹500"/>
    <n v="0.28999999999999998"/>
    <x v="1"/>
    <x v="2"/>
    <x v="393"/>
    <n v="3311724"/>
    <x v="0"/>
  </r>
  <r>
    <x v="1"/>
    <x v="4"/>
    <s v="SmartWatches"/>
    <m/>
    <x v="168"/>
    <n v="3999"/>
    <s v="&gt;₹500"/>
    <n v="0.5"/>
    <x v="0"/>
    <x v="1"/>
    <x v="268"/>
    <n v="120985746"/>
    <x v="0"/>
  </r>
  <r>
    <x v="1"/>
    <x v="4"/>
    <s v="SmartWatches"/>
    <m/>
    <x v="183"/>
    <n v="17999"/>
    <s v="&gt;₹500"/>
    <n v="0.78"/>
    <x v="0"/>
    <x v="4"/>
    <x v="394"/>
    <n v="308880839"/>
    <x v="0"/>
  </r>
  <r>
    <x v="1"/>
    <x v="5"/>
    <s v="MobileAccessories"/>
    <s v="Chargers"/>
    <x v="9"/>
    <n v="499"/>
    <s v="₹200–₹500"/>
    <n v="0.56000000000000005"/>
    <x v="0"/>
    <x v="5"/>
    <x v="395"/>
    <n v="6986"/>
    <x v="0"/>
  </r>
  <r>
    <x v="1"/>
    <x v="5"/>
    <s v="MobileAccessories"/>
    <s v="Photo&amp;VideoAccessories"/>
    <x v="23"/>
    <n v="1399"/>
    <s v="&gt;₹500"/>
    <n v="0.56999999999999995"/>
    <x v="0"/>
    <x v="3"/>
    <x v="396"/>
    <n v="20369440"/>
    <x v="0"/>
  </r>
  <r>
    <x v="1"/>
    <x v="5"/>
    <s v="MobileAccessories"/>
    <s v="Chargers"/>
    <x v="209"/>
    <n v="2999"/>
    <s v="&gt;₹500"/>
    <n v="0.17"/>
    <x v="1"/>
    <x v="3"/>
    <x v="397"/>
    <n v="9464844"/>
    <x v="0"/>
  </r>
  <r>
    <x v="1"/>
    <x v="5"/>
    <s v="MobileAccessories"/>
    <s v="Mounts"/>
    <x v="124"/>
    <n v="499"/>
    <s v="₹200–₹500"/>
    <n v="0.82"/>
    <x v="0"/>
    <x v="3"/>
    <x v="398"/>
    <n v="4660660"/>
    <x v="0"/>
  </r>
  <r>
    <x v="1"/>
    <x v="4"/>
    <s v="SmartWatches"/>
    <m/>
    <x v="194"/>
    <n v="11999"/>
    <s v="&gt;₹500"/>
    <n v="0.75"/>
    <x v="0"/>
    <x v="5"/>
    <x v="399"/>
    <n v="9215232"/>
    <x v="0"/>
  </r>
  <r>
    <x v="1"/>
    <x v="5"/>
    <s v="MobileAccessories"/>
    <s v="Stands"/>
    <x v="225"/>
    <n v="1499"/>
    <s v="&gt;₹500"/>
    <n v="0.79"/>
    <x v="0"/>
    <x v="6"/>
    <x v="334"/>
    <n v="43438022"/>
    <x v="0"/>
  </r>
  <r>
    <x v="1"/>
    <x v="5"/>
    <s v="Smartphones&amp;BasicMobiles"/>
    <s v="Smartphones"/>
    <x v="13"/>
    <n v="19499"/>
    <s v="&gt;₹500"/>
    <n v="0.28000000000000003"/>
    <x v="1"/>
    <x v="3"/>
    <x v="271"/>
    <n v="370442002"/>
    <x v="0"/>
  </r>
  <r>
    <x v="1"/>
    <x v="5"/>
    <s v="MobileAccessories"/>
    <s v="Cables&amp;Adapters"/>
    <x v="41"/>
    <n v="499"/>
    <s v="₹200–₹500"/>
    <n v="0.72"/>
    <x v="0"/>
    <x v="0"/>
    <x v="400"/>
    <n v="2480529"/>
    <x v="0"/>
  </r>
  <r>
    <x v="1"/>
    <x v="5"/>
    <s v="MobileAccessories"/>
    <s v="StylusPens"/>
    <x v="213"/>
    <n v="6999"/>
    <s v="&gt;₹500"/>
    <n v="0.63"/>
    <x v="0"/>
    <x v="6"/>
    <x v="401"/>
    <n v="10680474"/>
    <x v="0"/>
  </r>
  <r>
    <x v="1"/>
    <x v="7"/>
    <s v="Headphones"/>
    <s v="In-Ear"/>
    <x v="226"/>
    <n v="999"/>
    <s v="&gt;₹500"/>
    <n v="0.63"/>
    <x v="0"/>
    <x v="3"/>
    <x v="402"/>
    <n v="363347289"/>
    <x v="0"/>
  </r>
  <r>
    <x v="1"/>
    <x v="7"/>
    <s v="Headphones"/>
    <s v="In-Ear"/>
    <x v="72"/>
    <n v="4490"/>
    <s v="&gt;₹500"/>
    <n v="0.67"/>
    <x v="0"/>
    <x v="2"/>
    <x v="403"/>
    <n v="614923460"/>
    <x v="0"/>
  </r>
  <r>
    <x v="1"/>
    <x v="4"/>
    <s v="SmartWatches"/>
    <m/>
    <x v="167"/>
    <n v="9999"/>
    <s v="&gt;₹500"/>
    <n v="0.8"/>
    <x v="0"/>
    <x v="4"/>
    <x v="404"/>
    <n v="277062291"/>
    <x v="0"/>
  </r>
  <r>
    <x v="1"/>
    <x v="4"/>
    <s v="SmartWatches"/>
    <m/>
    <x v="166"/>
    <n v="7990"/>
    <s v="&gt;₹500"/>
    <n v="0.77"/>
    <x v="0"/>
    <x v="11"/>
    <x v="322"/>
    <n v="142485670"/>
    <x v="0"/>
  </r>
  <r>
    <x v="0"/>
    <x v="8"/>
    <s v="PenDrives"/>
    <m/>
    <x v="227"/>
    <n v="650"/>
    <s v="&gt;₹500"/>
    <n v="0.56000000000000005"/>
    <x v="0"/>
    <x v="4"/>
    <x v="405"/>
    <n v="164518250"/>
    <x v="0"/>
  </r>
  <r>
    <x v="0"/>
    <x v="0"/>
    <s v="Keyboards,Mice&amp;InputDevices"/>
    <s v="Mice"/>
    <x v="23"/>
    <n v="895"/>
    <s v="&gt;₹500"/>
    <n v="0.33"/>
    <x v="1"/>
    <x v="5"/>
    <x v="406"/>
    <n v="54876030"/>
    <x v="0"/>
  </r>
  <r>
    <x v="0"/>
    <x v="0"/>
    <s v="Keyboards,Mice&amp;InputDevices"/>
    <s v="GraphicTablets"/>
    <x v="228"/>
    <n v="237"/>
    <s v="₹200–₹500"/>
    <n v="0.08"/>
    <x v="1"/>
    <x v="11"/>
    <x v="407"/>
    <n v="1742898"/>
    <x v="0"/>
  </r>
  <r>
    <x v="1"/>
    <x v="7"/>
    <s v="Headphones"/>
    <s v="In-Ear"/>
    <x v="69"/>
    <n v="2990"/>
    <s v="&gt;₹500"/>
    <n v="0.56999999999999995"/>
    <x v="0"/>
    <x v="11"/>
    <x v="408"/>
    <n v="541184020"/>
    <x v="0"/>
  </r>
  <r>
    <x v="0"/>
    <x v="0"/>
    <s v="LaptopAccessories"/>
    <s v="Lapdesks"/>
    <x v="42"/>
    <n v="699"/>
    <s v="&gt;₹500"/>
    <n v="0.62"/>
    <x v="0"/>
    <x v="12"/>
    <x v="409"/>
    <n v="482310"/>
    <x v="0"/>
  </r>
  <r>
    <x v="1"/>
    <x v="6"/>
    <s v="MemoryCards"/>
    <s v="MicroSD"/>
    <x v="172"/>
    <n v="1000"/>
    <s v="&gt;₹500"/>
    <n v="0.43"/>
    <x v="1"/>
    <x v="5"/>
    <x v="410"/>
    <n v="67262000"/>
    <x v="0"/>
  </r>
  <r>
    <x v="1"/>
    <x v="4"/>
    <s v="SmartWatches"/>
    <m/>
    <x v="168"/>
    <n v="4999"/>
    <s v="&gt;₹500"/>
    <n v="0.6"/>
    <x v="0"/>
    <x v="3"/>
    <x v="257"/>
    <n v="53434311"/>
    <x v="0"/>
  </r>
  <r>
    <x v="1"/>
    <x v="7"/>
    <s v="Headphones"/>
    <s v="In-Ear"/>
    <x v="92"/>
    <n v="3990"/>
    <s v="&gt;₹500"/>
    <n v="0.65"/>
    <x v="0"/>
    <x v="3"/>
    <x v="411"/>
    <n v="565945590"/>
    <x v="0"/>
  </r>
  <r>
    <x v="0"/>
    <x v="0"/>
    <s v="LaptopAccessories"/>
    <s v="NotebookComputerStands"/>
    <x v="12"/>
    <n v="1499"/>
    <s v="&gt;₹500"/>
    <n v="0.77"/>
    <x v="0"/>
    <x v="4"/>
    <x v="412"/>
    <n v="37161709"/>
    <x v="0"/>
  </r>
  <r>
    <x v="1"/>
    <x v="7"/>
    <s v="Headphones"/>
    <s v="In-Ear"/>
    <x v="4"/>
    <n v="399"/>
    <s v="₹200–₹500"/>
    <n v="0.63"/>
    <x v="0"/>
    <x v="12"/>
    <x v="413"/>
    <n v="8683836"/>
    <x v="0"/>
  </r>
  <r>
    <x v="1"/>
    <x v="7"/>
    <s v="Headphones"/>
    <s v="In-Ear"/>
    <x v="23"/>
    <n v="999"/>
    <s v="&gt;₹500"/>
    <n v="0.4"/>
    <x v="1"/>
    <x v="3"/>
    <x v="414"/>
    <n v="192394413"/>
    <x v="0"/>
  </r>
  <r>
    <x v="1"/>
    <x v="7"/>
    <s v="Headphones"/>
    <s v="On-Ear"/>
    <x v="229"/>
    <n v="3990"/>
    <s v="&gt;₹500"/>
    <n v="0.69"/>
    <x v="0"/>
    <x v="3"/>
    <x v="415"/>
    <n v="427532490"/>
    <x v="0"/>
  </r>
  <r>
    <x v="1"/>
    <x v="4"/>
    <s v="SmartWatches"/>
    <m/>
    <x v="72"/>
    <n v="6990"/>
    <s v="&gt;₹500"/>
    <n v="0.79"/>
    <x v="0"/>
    <x v="2"/>
    <x v="416"/>
    <n v="152361030"/>
    <x v="0"/>
  </r>
  <r>
    <x v="1"/>
    <x v="7"/>
    <s v="Headphones"/>
    <s v="In-Ear"/>
    <x v="7"/>
    <n v="999"/>
    <s v="&gt;₹500"/>
    <n v="0.5"/>
    <x v="0"/>
    <x v="2"/>
    <x v="417"/>
    <n v="92902005"/>
    <x v="0"/>
  </r>
  <r>
    <x v="0"/>
    <x v="0"/>
    <s v="Cables&amp;Accessories"/>
    <s v="CableConnectionProtectors"/>
    <x v="24"/>
    <n v="999"/>
    <s v="&gt;₹500"/>
    <n v="0.9"/>
    <x v="0"/>
    <x v="3"/>
    <x v="418"/>
    <n v="8742249"/>
    <x v="0"/>
  </r>
  <r>
    <x v="1"/>
    <x v="5"/>
    <s v="MobileAccessories"/>
    <s v="Chargers"/>
    <x v="12"/>
    <n v="1299"/>
    <s v="&gt;₹500"/>
    <n v="0.73"/>
    <x v="0"/>
    <x v="1"/>
    <x v="419"/>
    <n v="18553617"/>
    <x v="0"/>
  </r>
  <r>
    <x v="0"/>
    <x v="8"/>
    <s v="PenDrives"/>
    <m/>
    <x v="230"/>
    <n v="1500"/>
    <s v="&gt;₹500"/>
    <n v="0.68"/>
    <x v="0"/>
    <x v="0"/>
    <x v="420"/>
    <n v="96409500"/>
    <x v="0"/>
  </r>
  <r>
    <x v="0"/>
    <x v="0"/>
    <s v="Keyboards,Mice&amp;InputDevices"/>
    <s v="Mice"/>
    <x v="54"/>
    <n v="649"/>
    <s v="&gt;₹500"/>
    <n v="0.59"/>
    <x v="0"/>
    <x v="4"/>
    <x v="421"/>
    <n v="35250435"/>
    <x v="0"/>
  </r>
  <r>
    <x v="0"/>
    <x v="0"/>
    <s v="Keyboards,Mice&amp;InputDevices"/>
    <s v="Mice"/>
    <x v="8"/>
    <n v="599"/>
    <s v="&gt;₹500"/>
    <n v="0.5"/>
    <x v="0"/>
    <x v="3"/>
    <x v="422"/>
    <n v="956603"/>
    <x v="0"/>
  </r>
  <r>
    <x v="1"/>
    <x v="4"/>
    <s v="SmartWatches"/>
    <m/>
    <x v="72"/>
    <n v="7999"/>
    <s v="&gt;₹500"/>
    <n v="0.81"/>
    <x v="0"/>
    <x v="0"/>
    <x v="359"/>
    <n v="181081362"/>
    <x v="0"/>
  </r>
  <r>
    <x v="1"/>
    <x v="7"/>
    <s v="Headphones"/>
    <s v="In-Ear"/>
    <x v="2"/>
    <n v="999"/>
    <s v="&gt;₹500"/>
    <n v="0.67"/>
    <x v="0"/>
    <x v="2"/>
    <x v="423"/>
    <n v="76949973"/>
    <x v="0"/>
  </r>
  <r>
    <x v="0"/>
    <x v="0"/>
    <s v="Keyboards,Mice&amp;InputDevices"/>
    <s v="Keyboards"/>
    <x v="125"/>
    <n v="1799"/>
    <s v="&gt;₹500"/>
    <n v="0.69"/>
    <x v="0"/>
    <x v="4"/>
    <x v="424"/>
    <n v="51863371"/>
    <x v="0"/>
  </r>
  <r>
    <x v="1"/>
    <x v="4"/>
    <s v="SmartWatches"/>
    <m/>
    <x v="181"/>
    <n v="9999"/>
    <s v="&gt;₹500"/>
    <n v="0.78"/>
    <x v="0"/>
    <x v="0"/>
    <x v="425"/>
    <n v="294750522"/>
    <x v="0"/>
  </r>
  <r>
    <x v="0"/>
    <x v="0"/>
    <s v="Keyboards,Mice&amp;InputDevices"/>
    <s v="Mice"/>
    <x v="8"/>
    <n v="650"/>
    <s v="&gt;₹500"/>
    <n v="0.54"/>
    <x v="0"/>
    <x v="6"/>
    <x v="426"/>
    <n v="21564400"/>
    <x v="0"/>
  </r>
  <r>
    <x v="2"/>
    <x v="9"/>
    <s v="Condenser"/>
    <m/>
    <x v="231"/>
    <n v="1995"/>
    <s v="&gt;₹500"/>
    <n v="0.6"/>
    <x v="0"/>
    <x v="1"/>
    <x v="427"/>
    <n v="136984680"/>
    <x v="0"/>
  </r>
  <r>
    <x v="1"/>
    <x v="10"/>
    <s v="DisposableBatteries"/>
    <m/>
    <x v="232"/>
    <n v="315"/>
    <s v="₹200–₹500"/>
    <n v="0.16"/>
    <x v="1"/>
    <x v="6"/>
    <x v="428"/>
    <n v="8829450"/>
    <x v="0"/>
  </r>
  <r>
    <x v="3"/>
    <x v="11"/>
    <s v="Paper"/>
    <s v="Stationery"/>
    <x v="233"/>
    <n v="50"/>
    <s v="&lt;₹200"/>
    <n v="0"/>
    <x v="1"/>
    <x v="4"/>
    <x v="429"/>
    <n v="289600"/>
    <x v="0"/>
  </r>
  <r>
    <x v="4"/>
    <x v="12"/>
    <s v="Scrapbooking"/>
    <s v="Tape"/>
    <x v="234"/>
    <n v="165"/>
    <s v="&lt;₹200"/>
    <n v="0.21"/>
    <x v="1"/>
    <x v="2"/>
    <x v="430"/>
    <n v="2438370"/>
    <x v="0"/>
  </r>
  <r>
    <x v="1"/>
    <x v="7"/>
    <s v="Headphones"/>
    <s v="In-Ear"/>
    <x v="63"/>
    <n v="1290"/>
    <s v="&gt;₹500"/>
    <n v="0.65"/>
    <x v="0"/>
    <x v="3"/>
    <x v="431"/>
    <n v="118383300"/>
    <x v="0"/>
  </r>
  <r>
    <x v="1"/>
    <x v="4"/>
    <s v="SmartWatches"/>
    <m/>
    <x v="183"/>
    <n v="16999"/>
    <s v="&gt;₹500"/>
    <n v="0.76"/>
    <x v="0"/>
    <x v="4"/>
    <x v="432"/>
    <n v="291736838"/>
    <x v="0"/>
  </r>
  <r>
    <x v="1"/>
    <x v="7"/>
    <s v="Headphones"/>
    <s v="In-Ear"/>
    <x v="0"/>
    <n v="1290"/>
    <s v="&gt;₹500"/>
    <n v="0.69"/>
    <x v="0"/>
    <x v="0"/>
    <x v="433"/>
    <n v="265740"/>
    <x v="0"/>
  </r>
  <r>
    <x v="0"/>
    <x v="0"/>
    <s v="Keyboards,Mice&amp;InputDevices"/>
    <s v="Keyboard&amp;MouseSets"/>
    <x v="92"/>
    <n v="2498"/>
    <s v="&gt;₹500"/>
    <n v="0.44"/>
    <x v="1"/>
    <x v="0"/>
    <x v="434"/>
    <n v="84225066"/>
    <x v="0"/>
  </r>
  <r>
    <x v="0"/>
    <x v="8"/>
    <s v="ExternalHardDisks"/>
    <m/>
    <x v="235"/>
    <n v="4999"/>
    <s v="&gt;₹500"/>
    <n v="0.18"/>
    <x v="1"/>
    <x v="6"/>
    <x v="435"/>
    <n v="253999190"/>
    <x v="0"/>
  </r>
  <r>
    <x v="1"/>
    <x v="13"/>
    <s v="VideoCameras"/>
    <m/>
    <x v="7"/>
    <n v="1999"/>
    <s v="&gt;₹500"/>
    <n v="0.75"/>
    <x v="0"/>
    <x v="7"/>
    <x v="436"/>
    <n v="6734631"/>
    <x v="0"/>
  </r>
  <r>
    <x v="0"/>
    <x v="0"/>
    <s v="Keyboards,Mice&amp;InputDevices"/>
    <s v="Mice"/>
    <x v="8"/>
    <n v="449"/>
    <s v="₹200–₹500"/>
    <n v="0.33"/>
    <x v="1"/>
    <x v="12"/>
    <x v="437"/>
    <n v="5310323"/>
    <x v="0"/>
  </r>
  <r>
    <x v="0"/>
    <x v="0"/>
    <s v="Keyboards,Mice&amp;InputDevices"/>
    <s v="Keyboard&amp;MouseSets"/>
    <x v="154"/>
    <n v="999"/>
    <s v="&gt;₹500"/>
    <n v="0.3"/>
    <x v="1"/>
    <x v="12"/>
    <x v="438"/>
    <n v="15279705"/>
    <x v="0"/>
  </r>
  <r>
    <x v="1"/>
    <x v="13"/>
    <s v="Accessories"/>
    <s v="Tripods&amp;Monopods"/>
    <x v="34"/>
    <n v="3990"/>
    <s v="&gt;₹500"/>
    <n v="0.8"/>
    <x v="0"/>
    <x v="4"/>
    <x v="439"/>
    <n v="108284610"/>
    <x v="0"/>
  </r>
  <r>
    <x v="1"/>
    <x v="7"/>
    <s v="Headphones"/>
    <s v="In-Ear"/>
    <x v="92"/>
    <n v="5499"/>
    <s v="&gt;₹500"/>
    <n v="0.75"/>
    <x v="0"/>
    <x v="2"/>
    <x v="440"/>
    <n v="52262496"/>
    <x v="0"/>
  </r>
  <r>
    <x v="0"/>
    <x v="8"/>
    <s v="PenDrives"/>
    <m/>
    <x v="236"/>
    <n v="1350"/>
    <s v="&gt;₹500"/>
    <n v="0.62"/>
    <x v="0"/>
    <x v="4"/>
    <x v="441"/>
    <n v="40578300"/>
    <x v="0"/>
  </r>
  <r>
    <x v="1"/>
    <x v="4"/>
    <s v="SmartWatches"/>
    <m/>
    <x v="136"/>
    <n v="7990"/>
    <s v="&gt;₹500"/>
    <n v="0.71"/>
    <x v="0"/>
    <x v="0"/>
    <x v="442"/>
    <n v="556255810"/>
    <x v="0"/>
  </r>
  <r>
    <x v="1"/>
    <x v="7"/>
    <s v="Headphones"/>
    <s v="In-Ear"/>
    <x v="72"/>
    <n v="3990"/>
    <s v="&gt;₹500"/>
    <n v="0.62"/>
    <x v="0"/>
    <x v="3"/>
    <x v="443"/>
    <n v="438357360"/>
    <x v="0"/>
  </r>
  <r>
    <x v="3"/>
    <x v="14"/>
    <s v="Calculators"/>
    <s v="Scientific"/>
    <x v="237"/>
    <n v="1295"/>
    <s v="&gt;₹500"/>
    <n v="0"/>
    <x v="1"/>
    <x v="6"/>
    <x v="444"/>
    <n v="7459200"/>
    <x v="0"/>
  </r>
  <r>
    <x v="0"/>
    <x v="1"/>
    <s v="Repeaters&amp;Extenders"/>
    <m/>
    <x v="238"/>
    <n v="5499"/>
    <s v="&gt;₹500"/>
    <n v="0.66"/>
    <x v="0"/>
    <x v="0"/>
    <x v="445"/>
    <n v="272480949"/>
    <x v="0"/>
  </r>
  <r>
    <x v="1"/>
    <x v="7"/>
    <s v="Headphones"/>
    <s v="In-Ear"/>
    <x v="239"/>
    <n v="1490"/>
    <s v="&gt;₹500"/>
    <n v="0.69"/>
    <x v="0"/>
    <x v="3"/>
    <x v="446"/>
    <n v="240898730"/>
    <x v="0"/>
  </r>
  <r>
    <x v="1"/>
    <x v="13"/>
    <s v="Accessories"/>
    <s v="Tripods&amp;Monopods"/>
    <x v="0"/>
    <n v="995"/>
    <s v="&gt;₹500"/>
    <n v="0.6"/>
    <x v="0"/>
    <x v="2"/>
    <x v="447"/>
    <n v="21265140"/>
    <x v="0"/>
  </r>
  <r>
    <x v="1"/>
    <x v="6"/>
    <s v="MemoryCards"/>
    <s v="MicroSD"/>
    <x v="240"/>
    <n v="3999"/>
    <s v="&gt;₹500"/>
    <n v="0.74"/>
    <x v="0"/>
    <x v="4"/>
    <x v="448"/>
    <n v="559999965"/>
    <x v="0"/>
  </r>
  <r>
    <x v="0"/>
    <x v="15"/>
    <s v="Inks,Toners&amp;Cartridges"/>
    <s v="InkjetInkCartridges"/>
    <x v="241"/>
    <n v="761"/>
    <s v="&gt;₹500"/>
    <n v="0.06"/>
    <x v="1"/>
    <x v="1"/>
    <x v="449"/>
    <n v="5478439"/>
    <x v="0"/>
  </r>
  <r>
    <x v="0"/>
    <x v="0"/>
    <s v="Keyboards,Mice&amp;InputDevices"/>
    <s v="Keyboard&amp;MiceAccessories"/>
    <x v="242"/>
    <n v="299"/>
    <s v="₹200–₹500"/>
    <n v="0.87"/>
    <x v="0"/>
    <x v="12"/>
    <x v="450"/>
    <n v="4554667"/>
    <x v="0"/>
  </r>
  <r>
    <x v="0"/>
    <x v="8"/>
    <s v="PenDrives"/>
    <m/>
    <x v="243"/>
    <n v="2500"/>
    <s v="&gt;₹500"/>
    <n v="0.64"/>
    <x v="0"/>
    <x v="4"/>
    <x v="451"/>
    <n v="139367500"/>
    <x v="0"/>
  </r>
  <r>
    <x v="1"/>
    <x v="7"/>
    <s v="Headphones"/>
    <s v="In-Ear"/>
    <x v="33"/>
    <n v="4999"/>
    <s v="&gt;₹500"/>
    <n v="0.76"/>
    <x v="0"/>
    <x v="11"/>
    <x v="452"/>
    <n v="74790039"/>
    <x v="0"/>
  </r>
  <r>
    <x v="0"/>
    <x v="0"/>
    <s v="Keyboards,Mice&amp;InputDevices"/>
    <s v="Mice"/>
    <x v="172"/>
    <n v="1299"/>
    <s v="&gt;₹500"/>
    <n v="0.56000000000000005"/>
    <x v="0"/>
    <x v="5"/>
    <x v="453"/>
    <n v="12048225"/>
    <x v="0"/>
  </r>
  <r>
    <x v="1"/>
    <x v="7"/>
    <s v="Headphones"/>
    <s v="In-Ear"/>
    <x v="72"/>
    <n v="8999"/>
    <s v="&gt;₹500"/>
    <n v="0.83"/>
    <x v="0"/>
    <x v="7"/>
    <x v="454"/>
    <n v="254887676"/>
    <x v="0"/>
  </r>
  <r>
    <x v="1"/>
    <x v="10"/>
    <s v="DisposableBatteries"/>
    <m/>
    <x v="4"/>
    <n v="180"/>
    <s v="&lt;₹200"/>
    <n v="0.17"/>
    <x v="1"/>
    <x v="5"/>
    <x v="455"/>
    <n v="115920"/>
    <x v="0"/>
  </r>
  <r>
    <x v="0"/>
    <x v="0"/>
    <s v="PCGamingPeripherals"/>
    <s v="GamingMice"/>
    <x v="0"/>
    <n v="549"/>
    <s v="&gt;₹500"/>
    <n v="0.27"/>
    <x v="1"/>
    <x v="5"/>
    <x v="456"/>
    <n v="9958311"/>
    <x v="0"/>
  </r>
  <r>
    <x v="4"/>
    <x v="12"/>
    <s v="PaintingMaterials"/>
    <s v="Paints"/>
    <x v="244"/>
    <n v="225"/>
    <s v="₹200–₹500"/>
    <n v="0.15"/>
    <x v="1"/>
    <x v="5"/>
    <x v="457"/>
    <n v="1620675"/>
    <x v="0"/>
  </r>
  <r>
    <x v="0"/>
    <x v="0"/>
    <s v="Keyboards,Mice&amp;InputDevices"/>
    <s v="Keyboard&amp;MiceAccessories"/>
    <x v="104"/>
    <n v="999"/>
    <s v="&gt;₹500"/>
    <n v="0.87"/>
    <x v="0"/>
    <x v="0"/>
    <x v="143"/>
    <n v="490509"/>
    <x v="0"/>
  </r>
  <r>
    <x v="0"/>
    <x v="0"/>
    <s v="HardDiskBags"/>
    <m/>
    <x v="1"/>
    <n v="599"/>
    <s v="&gt;₹500"/>
    <n v="0.67"/>
    <x v="0"/>
    <x v="6"/>
    <x v="458"/>
    <n v="8127232"/>
    <x v="0"/>
  </r>
  <r>
    <x v="1"/>
    <x v="7"/>
    <s v="Headphones"/>
    <s v="In-Ear"/>
    <x v="29"/>
    <n v="4499"/>
    <s v="&gt;₹500"/>
    <n v="0.78"/>
    <x v="0"/>
    <x v="11"/>
    <x v="459"/>
    <n v="15251610"/>
    <x v="0"/>
  </r>
  <r>
    <x v="1"/>
    <x v="7"/>
    <s v="Headphones"/>
    <s v="In-Ear"/>
    <x v="25"/>
    <n v="4499"/>
    <s v="&gt;₹500"/>
    <n v="0.8"/>
    <x v="0"/>
    <x v="11"/>
    <x v="460"/>
    <n v="463630948"/>
    <x v="0"/>
  </r>
  <r>
    <x v="3"/>
    <x v="14"/>
    <s v="Calculators"/>
    <s v="Scientific"/>
    <x v="245"/>
    <n v="550"/>
    <s v="&gt;₹500"/>
    <n v="0.05"/>
    <x v="1"/>
    <x v="5"/>
    <x v="461"/>
    <n v="6698450"/>
    <x v="0"/>
  </r>
  <r>
    <x v="1"/>
    <x v="13"/>
    <s v="Flashes"/>
    <s v="Macro&amp;RinglightFlashes"/>
    <x v="34"/>
    <n v="1999"/>
    <s v="&gt;₹500"/>
    <n v="0.6"/>
    <x v="0"/>
    <x v="11"/>
    <x v="462"/>
    <n v="25903042"/>
    <x v="0"/>
  </r>
  <r>
    <x v="0"/>
    <x v="0"/>
    <s v="Keyboards,Mice&amp;InputDevices"/>
    <s v="Mice"/>
    <x v="246"/>
    <n v="1199"/>
    <s v="&gt;₹500"/>
    <n v="0.43"/>
    <x v="1"/>
    <x v="0"/>
    <x v="463"/>
    <n v="9901342"/>
    <x v="0"/>
  </r>
  <r>
    <x v="0"/>
    <x v="1"/>
    <m/>
    <m/>
    <x v="33"/>
    <n v="3490"/>
    <s v="&gt;₹500"/>
    <n v="0.66"/>
    <x v="0"/>
    <x v="3"/>
    <x v="464"/>
    <n v="40888840"/>
    <x v="0"/>
  </r>
  <r>
    <x v="0"/>
    <x v="1"/>
    <s v="Routers"/>
    <m/>
    <x v="209"/>
    <n v="4999"/>
    <s v="&gt;₹500"/>
    <n v="0.5"/>
    <x v="0"/>
    <x v="5"/>
    <x v="465"/>
    <n v="175084976"/>
    <x v="0"/>
  </r>
  <r>
    <x v="1"/>
    <x v="7"/>
    <s v="Headphones"/>
    <s v="Over-Ear"/>
    <x v="166"/>
    <n v="4999"/>
    <s v="&gt;₹500"/>
    <n v="0.64"/>
    <x v="0"/>
    <x v="3"/>
    <x v="466"/>
    <n v="275904808"/>
    <x v="0"/>
  </r>
  <r>
    <x v="1"/>
    <x v="7"/>
    <s v="Headphones"/>
    <s v="In-Ear"/>
    <x v="247"/>
    <n v="599"/>
    <s v="&gt;₹500"/>
    <n v="0.28000000000000003"/>
    <x v="1"/>
    <x v="3"/>
    <x v="467"/>
    <n v="71560134"/>
    <x v="0"/>
  </r>
  <r>
    <x v="0"/>
    <x v="0"/>
    <s v="Keyboards,Mice&amp;InputDevices"/>
    <s v="GraphicTablets"/>
    <x v="248"/>
    <n v="499"/>
    <s v="₹200–₹500"/>
    <n v="0.8"/>
    <x v="0"/>
    <x v="12"/>
    <x v="468"/>
    <n v="4809362"/>
    <x v="0"/>
  </r>
  <r>
    <x v="0"/>
    <x v="0"/>
    <s v="Keyboards,Mice&amp;InputDevices"/>
    <s v="Keyboards"/>
    <x v="2"/>
    <n v="399"/>
    <s v="₹200–₹500"/>
    <n v="0.18"/>
    <x v="1"/>
    <x v="9"/>
    <x v="469"/>
    <n v="13460265"/>
    <x v="0"/>
  </r>
  <r>
    <x v="0"/>
    <x v="0"/>
    <s v="Keyboards,Mice&amp;InputDevices"/>
    <s v="Mice"/>
    <x v="41"/>
    <n v="299"/>
    <s v="₹200–₹500"/>
    <n v="0.54"/>
    <x v="0"/>
    <x v="11"/>
    <x v="470"/>
    <n v="910156"/>
    <x v="0"/>
  </r>
  <r>
    <x v="1"/>
    <x v="7"/>
    <s v="Headphones"/>
    <s v="On-Ear"/>
    <x v="33"/>
    <n v="2499"/>
    <s v="&gt;₹500"/>
    <n v="0.52"/>
    <x v="0"/>
    <x v="1"/>
    <x v="471"/>
    <n v="83926416"/>
    <x v="0"/>
  </r>
  <r>
    <x v="1"/>
    <x v="3"/>
    <s v="Speakers"/>
    <s v="BluetoothSpeakers"/>
    <x v="249"/>
    <n v="2299"/>
    <s v="&gt;₹500"/>
    <n v="0.54"/>
    <x v="0"/>
    <x v="2"/>
    <x v="472"/>
    <n v="4089921"/>
    <x v="0"/>
  </r>
  <r>
    <x v="1"/>
    <x v="10"/>
    <m/>
    <m/>
    <x v="105"/>
    <n v="250"/>
    <s v="₹200–₹500"/>
    <n v="0.1"/>
    <x v="1"/>
    <x v="5"/>
    <x v="473"/>
    <n v="6639000"/>
    <x v="0"/>
  </r>
  <r>
    <x v="0"/>
    <x v="0"/>
    <s v="LaptopAccessories"/>
    <s v="Lapdesks"/>
    <x v="250"/>
    <n v="1499"/>
    <s v="&gt;₹500"/>
    <n v="0.56000000000000005"/>
    <x v="0"/>
    <x v="4"/>
    <x v="474"/>
    <n v="38828597"/>
    <x v="0"/>
  </r>
  <r>
    <x v="0"/>
    <x v="8"/>
    <s v="PenDrives"/>
    <m/>
    <x v="251"/>
    <n v="2800"/>
    <s v="&gt;₹500"/>
    <n v="0.6"/>
    <x v="0"/>
    <x v="4"/>
    <x v="475"/>
    <n v="149699200"/>
    <x v="0"/>
  </r>
  <r>
    <x v="1"/>
    <x v="4"/>
    <s v="SmartWatches"/>
    <m/>
    <x v="194"/>
    <n v="7990"/>
    <s v="&gt;₹500"/>
    <n v="0.62"/>
    <x v="0"/>
    <x v="3"/>
    <x v="476"/>
    <n v="387099520"/>
    <x v="0"/>
  </r>
  <r>
    <x v="0"/>
    <x v="0"/>
    <s v="Keyboards,Mice&amp;InputDevices"/>
    <s v="Keyboard&amp;MiceAccessories"/>
    <x v="252"/>
    <n v="299"/>
    <s v="₹200–₹500"/>
    <n v="0.43"/>
    <x v="1"/>
    <x v="5"/>
    <x v="477"/>
    <n v="1547624"/>
    <x v="0"/>
  </r>
  <r>
    <x v="0"/>
    <x v="15"/>
    <s v="Inks,Toners&amp;Cartridges"/>
    <s v="InkjetInkCartridges"/>
    <x v="32"/>
    <n v="404"/>
    <s v="₹200–₹500"/>
    <n v="0.24"/>
    <x v="1"/>
    <x v="5"/>
    <x v="478"/>
    <n v="3480056"/>
    <x v="0"/>
  </r>
  <r>
    <x v="1"/>
    <x v="7"/>
    <s v="Headphones"/>
    <s v="On-Ear"/>
    <x v="23"/>
    <n v="1399"/>
    <s v="&gt;₹500"/>
    <n v="0.56999999999999995"/>
    <x v="0"/>
    <x v="11"/>
    <x v="479"/>
    <n v="83976374"/>
    <x v="0"/>
  </r>
  <r>
    <x v="0"/>
    <x v="0"/>
    <s v="Keyboards,Mice&amp;InputDevices"/>
    <s v="Keyboards"/>
    <x v="8"/>
    <n v="599"/>
    <s v="&gt;₹500"/>
    <n v="0.5"/>
    <x v="0"/>
    <x v="11"/>
    <x v="480"/>
    <n v="1836534"/>
    <x v="0"/>
  </r>
  <r>
    <x v="0"/>
    <x v="0"/>
    <s v="LaptopAccessories"/>
    <s v="Lapdesks"/>
    <x v="63"/>
    <n v="999"/>
    <s v="&gt;₹500"/>
    <n v="0.55000000000000004"/>
    <x v="0"/>
    <x v="1"/>
    <x v="481"/>
    <n v="2099898"/>
    <x v="0"/>
  </r>
  <r>
    <x v="0"/>
    <x v="0"/>
    <s v="Keyboards,Mice&amp;InputDevices"/>
    <s v="Mice"/>
    <x v="34"/>
    <n v="1295"/>
    <s v="&gt;₹500"/>
    <n v="0.38"/>
    <x v="1"/>
    <x v="5"/>
    <x v="482"/>
    <n v="45133340"/>
    <x v="0"/>
  </r>
  <r>
    <x v="1"/>
    <x v="2"/>
    <s v="Accessories"/>
    <s v="Cables"/>
    <x v="9"/>
    <n v="700"/>
    <s v="&gt;₹500"/>
    <n v="0.69"/>
    <x v="0"/>
    <x v="5"/>
    <x v="483"/>
    <n v="298880400"/>
    <x v="0"/>
  </r>
  <r>
    <x v="3"/>
    <x v="11"/>
    <s v="Paper"/>
    <s v="Stationery"/>
    <x v="253"/>
    <n v="160"/>
    <s v="&lt;₹200"/>
    <n v="0.02"/>
    <x v="1"/>
    <x v="6"/>
    <x v="484"/>
    <n v="1378880"/>
    <x v="0"/>
  </r>
  <r>
    <x v="0"/>
    <x v="0"/>
    <s v="Keyboards,Mice&amp;InputDevices"/>
    <s v="Mice"/>
    <x v="23"/>
    <n v="899"/>
    <s v="&gt;₹500"/>
    <n v="0.33"/>
    <x v="1"/>
    <x v="1"/>
    <x v="485"/>
    <n v="3612182"/>
    <x v="0"/>
  </r>
  <r>
    <x v="1"/>
    <x v="10"/>
    <s v="RechargeableBatteries"/>
    <m/>
    <x v="254"/>
    <n v="599"/>
    <s v="&gt;₹500"/>
    <n v="0.2"/>
    <x v="1"/>
    <x v="4"/>
    <x v="486"/>
    <n v="7000513"/>
    <x v="0"/>
  </r>
  <r>
    <x v="1"/>
    <x v="7"/>
    <s v="Headphones"/>
    <s v="In-Ear"/>
    <x v="255"/>
    <n v="2990"/>
    <s v="&gt;₹500"/>
    <n v="0.47"/>
    <x v="1"/>
    <x v="11"/>
    <x v="487"/>
    <n v="32934850"/>
    <x v="0"/>
  </r>
  <r>
    <x v="0"/>
    <x v="1"/>
    <s v="NetworkAdapters"/>
    <s v="BluetoothAdapters"/>
    <x v="23"/>
    <n v="899"/>
    <s v="&gt;₹500"/>
    <n v="0.33"/>
    <x v="1"/>
    <x v="4"/>
    <x v="488"/>
    <n v="85509284"/>
    <x v="0"/>
  </r>
  <r>
    <x v="0"/>
    <x v="8"/>
    <s v="PenDrives"/>
    <m/>
    <x v="69"/>
    <n v="3000"/>
    <s v="&gt;₹500"/>
    <n v="0.56999999999999995"/>
    <x v="0"/>
    <x v="4"/>
    <x v="489"/>
    <n v="69066000"/>
    <x v="0"/>
  </r>
  <r>
    <x v="1"/>
    <x v="4"/>
    <s v="SmartWatches"/>
    <m/>
    <x v="44"/>
    <n v="4999"/>
    <s v="&gt;₹500"/>
    <n v="0.68"/>
    <x v="0"/>
    <x v="1"/>
    <x v="490"/>
    <n v="339687049"/>
    <x v="0"/>
  </r>
  <r>
    <x v="0"/>
    <x v="0"/>
    <s v="Adapters"/>
    <s v="USBtoUSBAdapters"/>
    <x v="256"/>
    <n v="4999"/>
    <s v="&gt;₹500"/>
    <n v="0.94"/>
    <x v="0"/>
    <x v="4"/>
    <x v="491"/>
    <n v="22125574"/>
    <x v="0"/>
  </r>
  <r>
    <x v="0"/>
    <x v="15"/>
    <s v="Inks,Toners&amp;Cartridges"/>
    <s v="InkjetInkCartridges"/>
    <x v="257"/>
    <n v="861"/>
    <s v="&gt;₹500"/>
    <n v="0.04"/>
    <x v="1"/>
    <x v="0"/>
    <x v="492"/>
    <n v="3932187"/>
    <x v="0"/>
  </r>
  <r>
    <x v="1"/>
    <x v="7"/>
    <s v="Headphones"/>
    <s v="On-Ear"/>
    <x v="258"/>
    <n v="795"/>
    <s v="&gt;₹500"/>
    <n v="0.06"/>
    <x v="1"/>
    <x v="1"/>
    <x v="493"/>
    <n v="10968615"/>
    <x v="0"/>
  </r>
  <r>
    <x v="1"/>
    <x v="13"/>
    <s v="Accessories"/>
    <s v="Tripods&amp;Monopods"/>
    <x v="259"/>
    <n v="2495"/>
    <s v="&gt;₹500"/>
    <n v="0.38"/>
    <x v="1"/>
    <x v="5"/>
    <x v="494"/>
    <n v="37766815"/>
    <x v="0"/>
  </r>
  <r>
    <x v="0"/>
    <x v="1"/>
    <s v="Repeaters&amp;Extenders"/>
    <m/>
    <x v="260"/>
    <n v="2499"/>
    <s v="&gt;₹500"/>
    <n v="0.41"/>
    <x v="1"/>
    <x v="0"/>
    <x v="495"/>
    <n v="391438362"/>
    <x v="0"/>
  </r>
  <r>
    <x v="3"/>
    <x v="11"/>
    <s v="Paper"/>
    <s v="Stationery"/>
    <x v="261"/>
    <n v="800"/>
    <s v="&gt;₹500"/>
    <n v="0.75"/>
    <x v="0"/>
    <x v="3"/>
    <x v="496"/>
    <n v="7475200"/>
    <x v="0"/>
  </r>
  <r>
    <x v="1"/>
    <x v="13"/>
    <s v="Accessories"/>
    <s v="Film"/>
    <x v="125"/>
    <n v="549"/>
    <s v="&gt;₹500"/>
    <n v="0"/>
    <x v="1"/>
    <x v="6"/>
    <x v="497"/>
    <n v="2676375"/>
    <x v="0"/>
  </r>
  <r>
    <x v="1"/>
    <x v="4"/>
    <s v="SmartWatches"/>
    <m/>
    <x v="194"/>
    <n v="9999"/>
    <s v="&gt;₹500"/>
    <n v="0.7"/>
    <x v="0"/>
    <x v="0"/>
    <x v="498"/>
    <n v="208789119"/>
    <x v="0"/>
  </r>
  <r>
    <x v="1"/>
    <x v="4"/>
    <s v="SmartWatches"/>
    <m/>
    <x v="262"/>
    <n v="29999"/>
    <s v="&gt;₹500"/>
    <n v="0.6"/>
    <x v="0"/>
    <x v="4"/>
    <x v="499"/>
    <n v="142315256"/>
    <x v="0"/>
  </r>
  <r>
    <x v="1"/>
    <x v="7"/>
    <s v="Headphones"/>
    <s v="In-Ear"/>
    <x v="69"/>
    <n v="3499"/>
    <s v="&gt;₹500"/>
    <n v="0.63"/>
    <x v="0"/>
    <x v="2"/>
    <x v="500"/>
    <n v="43569548"/>
    <x v="0"/>
  </r>
  <r>
    <x v="1"/>
    <x v="10"/>
    <s v="DisposableBatteries"/>
    <m/>
    <x v="54"/>
    <n v="315"/>
    <s v="₹200–₹500"/>
    <n v="0.15"/>
    <x v="1"/>
    <x v="6"/>
    <x v="501"/>
    <n v="5610150"/>
    <x v="0"/>
  </r>
  <r>
    <x v="1"/>
    <x v="7"/>
    <s v="Headphones"/>
    <s v="In-Ear"/>
    <x v="34"/>
    <n v="1499"/>
    <s v="&gt;₹500"/>
    <n v="0.47"/>
    <x v="1"/>
    <x v="3"/>
    <x v="502"/>
    <n v="80418352"/>
    <x v="0"/>
  </r>
  <r>
    <x v="0"/>
    <x v="16"/>
    <m/>
    <m/>
    <x v="263"/>
    <n v="13750"/>
    <s v="&gt;₹500"/>
    <n v="0.54"/>
    <x v="0"/>
    <x v="0"/>
    <x v="503"/>
    <n v="27692500"/>
    <x v="0"/>
  </r>
  <r>
    <x v="0"/>
    <x v="0"/>
    <s v="USBGadgets"/>
    <s v="Lamps"/>
    <x v="18"/>
    <n v="59"/>
    <s v="&lt;₹200"/>
    <n v="0"/>
    <x v="1"/>
    <x v="11"/>
    <x v="504"/>
    <n v="351522"/>
    <x v="0"/>
  </r>
  <r>
    <x v="1"/>
    <x v="5"/>
    <s v="MobileAccessories"/>
    <s v="Chargers"/>
    <x v="264"/>
    <n v="999"/>
    <s v="&gt;₹500"/>
    <n v="0.43"/>
    <x v="1"/>
    <x v="4"/>
    <x v="505"/>
    <n v="38182779"/>
    <x v="0"/>
  </r>
  <r>
    <x v="1"/>
    <x v="3"/>
    <s v="Speakers"/>
    <s v="BluetoothSpeakers"/>
    <x v="125"/>
    <n v="999"/>
    <s v="&gt;₹500"/>
    <n v="0.45"/>
    <x v="1"/>
    <x v="2"/>
    <x v="506"/>
    <n v="64640295"/>
    <x v="0"/>
  </r>
  <r>
    <x v="0"/>
    <x v="0"/>
    <s v="Keyboards,Mice&amp;InputDevices"/>
    <s v="Keyboard&amp;MouseSets"/>
    <x v="265"/>
    <n v="699"/>
    <s v="&gt;₹500"/>
    <n v="0.36"/>
    <x v="1"/>
    <x v="2"/>
    <x v="507"/>
    <n v="12126252"/>
    <x v="0"/>
  </r>
  <r>
    <x v="1"/>
    <x v="7"/>
    <s v="Headphones"/>
    <s v="In-Ear"/>
    <x v="72"/>
    <n v="2999"/>
    <s v="&gt;₹500"/>
    <n v="0.5"/>
    <x v="0"/>
    <x v="7"/>
    <x v="508"/>
    <n v="263306202"/>
    <x v="0"/>
  </r>
  <r>
    <x v="1"/>
    <x v="13"/>
    <s v="Accessories"/>
    <s v="Cleaners"/>
    <x v="8"/>
    <n v="499"/>
    <s v="₹200–₹500"/>
    <n v="0.4"/>
    <x v="1"/>
    <x v="0"/>
    <x v="509"/>
    <n v="12191568"/>
    <x v="0"/>
  </r>
  <r>
    <x v="0"/>
    <x v="8"/>
    <s v="PenDrives"/>
    <m/>
    <x v="266"/>
    <n v="1400"/>
    <s v="&gt;₹500"/>
    <n v="0.59"/>
    <x v="0"/>
    <x v="4"/>
    <x v="510"/>
    <n v="264745600"/>
    <x v="0"/>
  </r>
  <r>
    <x v="1"/>
    <x v="13"/>
    <s v="SecurityCameras"/>
    <s v="DomeCameras"/>
    <x v="209"/>
    <n v="3299"/>
    <s v="&gt;₹500"/>
    <n v="0.24"/>
    <x v="1"/>
    <x v="0"/>
    <x v="511"/>
    <n v="307176488"/>
    <x v="0"/>
  </r>
  <r>
    <x v="1"/>
    <x v="7"/>
    <s v="Headphones"/>
    <s v="In-Ear"/>
    <x v="33"/>
    <n v="5999"/>
    <s v="&gt;₹500"/>
    <n v="0.8"/>
    <x v="0"/>
    <x v="2"/>
    <x v="512"/>
    <n v="285078479"/>
    <x v="0"/>
  </r>
  <r>
    <x v="1"/>
    <x v="10"/>
    <s v="RechargeableBatteries"/>
    <m/>
    <x v="0"/>
    <n v="499"/>
    <s v="₹200–₹500"/>
    <n v="0.2"/>
    <x v="1"/>
    <x v="4"/>
    <x v="513"/>
    <n v="13573299"/>
    <x v="0"/>
  </r>
  <r>
    <x v="0"/>
    <x v="0"/>
    <s v="Keyboards,Mice&amp;InputDevices"/>
    <s v="Mice"/>
    <x v="17"/>
    <n v="375"/>
    <s v="₹200–₹500"/>
    <n v="0.26"/>
    <x v="1"/>
    <x v="4"/>
    <x v="514"/>
    <n v="11825250"/>
    <x v="0"/>
  </r>
  <r>
    <x v="1"/>
    <x v="4"/>
    <s v="SmartWatches"/>
    <m/>
    <x v="209"/>
    <n v="4999"/>
    <s v="&gt;₹500"/>
    <n v="0.5"/>
    <x v="0"/>
    <x v="2"/>
    <x v="345"/>
    <n v="37847429"/>
    <x v="0"/>
  </r>
  <r>
    <x v="3"/>
    <x v="11"/>
    <s v="Paper"/>
    <s v="Stationery"/>
    <x v="267"/>
    <n v="160"/>
    <s v="&lt;₹200"/>
    <n v="0.14000000000000001"/>
    <x v="1"/>
    <x v="5"/>
    <x v="515"/>
    <n v="1045920"/>
    <x v="0"/>
  </r>
  <r>
    <x v="0"/>
    <x v="0"/>
    <s v="HardDiskBags"/>
    <m/>
    <x v="8"/>
    <n v="499"/>
    <s v="₹200–₹500"/>
    <n v="0.4"/>
    <x v="1"/>
    <x v="6"/>
    <x v="516"/>
    <n v="10483990"/>
    <x v="0"/>
  </r>
  <r>
    <x v="1"/>
    <x v="7"/>
    <s v="Headphones"/>
    <s v="In-Ear"/>
    <x v="166"/>
    <n v="3999"/>
    <s v="&gt;₹500"/>
    <n v="0.55000000000000004"/>
    <x v="0"/>
    <x v="2"/>
    <x v="517"/>
    <n v="14064483"/>
    <x v="0"/>
  </r>
  <r>
    <x v="1"/>
    <x v="3"/>
    <s v="Speakers"/>
    <s v="BluetoothSpeakers"/>
    <x v="168"/>
    <n v="2999"/>
    <s v="&gt;₹500"/>
    <n v="0.33"/>
    <x v="1"/>
    <x v="4"/>
    <x v="518"/>
    <n v="191633101"/>
    <x v="0"/>
  </r>
  <r>
    <x v="0"/>
    <x v="0"/>
    <s v="TabletAccessories"/>
    <s v="ScreenProtectors"/>
    <x v="0"/>
    <n v="1499"/>
    <s v="&gt;₹500"/>
    <n v="0.73"/>
    <x v="0"/>
    <x v="3"/>
    <x v="519"/>
    <n v="8589270"/>
    <x v="0"/>
  </r>
  <r>
    <x v="0"/>
    <x v="0"/>
    <s v="PCGamingPeripherals"/>
    <s v="Gamepads"/>
    <x v="79"/>
    <n v="3999"/>
    <s v="&gt;₹500"/>
    <n v="0.57999999999999996"/>
    <x v="0"/>
    <x v="0"/>
    <x v="520"/>
    <n v="101926512"/>
    <x v="0"/>
  </r>
  <r>
    <x v="0"/>
    <x v="0"/>
    <s v="Keyboards,Mice&amp;InputDevices"/>
    <s v="Mice"/>
    <x v="154"/>
    <n v="995"/>
    <s v="&gt;₹500"/>
    <n v="0.3"/>
    <x v="1"/>
    <x v="6"/>
    <x v="521"/>
    <n v="54132975"/>
    <x v="0"/>
  </r>
  <r>
    <x v="0"/>
    <x v="1"/>
    <s v="Routers"/>
    <m/>
    <x v="176"/>
    <n v="1699"/>
    <s v="&gt;₹500"/>
    <n v="0.32"/>
    <x v="1"/>
    <x v="0"/>
    <x v="522"/>
    <n v="208090122"/>
    <x v="0"/>
  </r>
  <r>
    <x v="0"/>
    <x v="0"/>
    <s v="Keyboards,Mice&amp;InputDevices"/>
    <s v="Keyboard&amp;MouseSets"/>
    <x v="268"/>
    <n v="1995"/>
    <s v="&gt;₹500"/>
    <n v="0.25"/>
    <x v="1"/>
    <x v="4"/>
    <x v="523"/>
    <n v="14445795"/>
    <x v="0"/>
  </r>
  <r>
    <x v="0"/>
    <x v="0"/>
    <s v="LaptopAccessories"/>
    <s v="Lapdesks"/>
    <x v="61"/>
    <n v="4999"/>
    <s v="&gt;₹500"/>
    <n v="0.83"/>
    <x v="0"/>
    <x v="1"/>
    <x v="524"/>
    <n v="102264543"/>
    <x v="0"/>
  </r>
  <r>
    <x v="3"/>
    <x v="14"/>
    <s v="Calculators"/>
    <s v="Basic"/>
    <x v="269"/>
    <n v="440"/>
    <s v="₹200–₹500"/>
    <n v="0"/>
    <x v="1"/>
    <x v="6"/>
    <x v="525"/>
    <n v="3788400"/>
    <x v="0"/>
  </r>
  <r>
    <x v="0"/>
    <x v="0"/>
    <s v="LaptopAccessories"/>
    <s v="Lapdesks"/>
    <x v="23"/>
    <n v="3999"/>
    <s v="&gt;₹500"/>
    <n v="0.85"/>
    <x v="0"/>
    <x v="2"/>
    <x v="526"/>
    <n v="4346913"/>
    <x v="0"/>
  </r>
  <r>
    <x v="0"/>
    <x v="0"/>
    <s v="Adapters"/>
    <s v="USBtoUSBAdapters"/>
    <x v="4"/>
    <n v="399"/>
    <s v="₹200–₹500"/>
    <n v="0.63"/>
    <x v="0"/>
    <x v="1"/>
    <x v="527"/>
    <n v="614460"/>
    <x v="0"/>
  </r>
  <r>
    <x v="0"/>
    <x v="0"/>
    <s v="Keyboards,Mice&amp;InputDevices"/>
    <s v="GraphicTablets"/>
    <x v="227"/>
    <n v="999"/>
    <s v="&gt;₹500"/>
    <n v="0.71"/>
    <x v="0"/>
    <x v="3"/>
    <x v="528"/>
    <n v="400599"/>
    <x v="0"/>
  </r>
  <r>
    <x v="0"/>
    <x v="0"/>
    <s v="USBHubs"/>
    <m/>
    <x v="21"/>
    <n v="499"/>
    <s v="₹200–₹500"/>
    <n v="0.64"/>
    <x v="0"/>
    <x v="10"/>
    <x v="529"/>
    <n v="4683115"/>
    <x v="0"/>
  </r>
  <r>
    <x v="1"/>
    <x v="4"/>
    <s v="SmartWatches"/>
    <m/>
    <x v="72"/>
    <n v="4999"/>
    <s v="&gt;₹500"/>
    <n v="0.7"/>
    <x v="0"/>
    <x v="1"/>
    <x v="355"/>
    <n v="462847412"/>
    <x v="0"/>
  </r>
  <r>
    <x v="1"/>
    <x v="7"/>
    <s v="Headphones"/>
    <s v="In-Ear"/>
    <x v="0"/>
    <n v="699"/>
    <s v="&gt;₹500"/>
    <n v="0.43"/>
    <x v="1"/>
    <x v="10"/>
    <x v="530"/>
    <n v="2414346"/>
    <x v="0"/>
  </r>
  <r>
    <x v="0"/>
    <x v="0"/>
    <s v="PCGamingPeripherals"/>
    <s v="GamingMice"/>
    <x v="23"/>
    <n v="799"/>
    <s v="&gt;₹500"/>
    <n v="0.25"/>
    <x v="1"/>
    <x v="4"/>
    <x v="531"/>
    <n v="12616210"/>
    <x v="0"/>
  </r>
  <r>
    <x v="0"/>
    <x v="0"/>
    <s v="Audio&amp;VideoAccessories"/>
    <s v="PCMicrophones"/>
    <x v="96"/>
    <n v="2000"/>
    <s v="&gt;₹500"/>
    <n v="0.53"/>
    <x v="0"/>
    <x v="2"/>
    <x v="532"/>
    <n v="29938000"/>
    <x v="0"/>
  </r>
  <r>
    <x v="1"/>
    <x v="4"/>
    <s v="SmartWatches"/>
    <m/>
    <x v="209"/>
    <n v="9999"/>
    <s v="&gt;₹500"/>
    <n v="0.75"/>
    <x v="0"/>
    <x v="3"/>
    <x v="533"/>
    <n v="421347861"/>
    <x v="0"/>
  </r>
  <r>
    <x v="1"/>
    <x v="10"/>
    <s v="DisposableBatteries"/>
    <m/>
    <x v="11"/>
    <n v="180"/>
    <s v="&lt;₹200"/>
    <n v="0.12"/>
    <x v="1"/>
    <x v="4"/>
    <x v="534"/>
    <n v="178020"/>
    <x v="0"/>
  </r>
  <r>
    <x v="1"/>
    <x v="6"/>
    <s v="MemoryCards"/>
    <s v="MicroSD"/>
    <x v="270"/>
    <n v="2900"/>
    <s v="&gt;₹500"/>
    <n v="0.54"/>
    <x v="0"/>
    <x v="6"/>
    <x v="535"/>
    <n v="56909600"/>
    <x v="0"/>
  </r>
  <r>
    <x v="0"/>
    <x v="0"/>
    <s v="USBHubs"/>
    <m/>
    <x v="271"/>
    <n v="999"/>
    <s v="&gt;₹500"/>
    <n v="0.43"/>
    <x v="1"/>
    <x v="0"/>
    <x v="536"/>
    <n v="3197799"/>
    <x v="0"/>
  </r>
  <r>
    <x v="1"/>
    <x v="3"/>
    <s v="Speakers"/>
    <s v="OutdoorSpeakers"/>
    <x v="25"/>
    <n v="1999"/>
    <s v="&gt;₹500"/>
    <n v="0.55000000000000004"/>
    <x v="0"/>
    <x v="3"/>
    <x v="537"/>
    <n v="60907531"/>
    <x v="0"/>
  </r>
  <r>
    <x v="0"/>
    <x v="0"/>
    <s v="LaptopAccessories"/>
    <s v="Bags&amp;Sleeves"/>
    <x v="63"/>
    <n v="999"/>
    <s v="&gt;₹500"/>
    <n v="0.55000000000000004"/>
    <x v="0"/>
    <x v="5"/>
    <x v="538"/>
    <n v="9930060"/>
    <x v="0"/>
  </r>
  <r>
    <x v="0"/>
    <x v="8"/>
    <s v="ExternalMemoryCardReaders"/>
    <m/>
    <x v="125"/>
    <n v="999"/>
    <s v="&gt;₹500"/>
    <n v="0.45"/>
    <x v="1"/>
    <x v="4"/>
    <x v="539"/>
    <n v="7750242"/>
    <x v="0"/>
  </r>
  <r>
    <x v="0"/>
    <x v="1"/>
    <s v="Routers"/>
    <m/>
    <x v="272"/>
    <n v="2399"/>
    <s v="&gt;₹500"/>
    <n v="0.36"/>
    <x v="1"/>
    <x v="4"/>
    <x v="540"/>
    <n v="164113191"/>
    <x v="0"/>
  </r>
  <r>
    <x v="3"/>
    <x v="11"/>
    <s v="Paper"/>
    <s v="Stationery"/>
    <x v="248"/>
    <n v="100"/>
    <s v="&lt;₹200"/>
    <n v="0"/>
    <x v="1"/>
    <x v="4"/>
    <x v="541"/>
    <n v="309500"/>
    <x v="0"/>
  </r>
  <r>
    <x v="0"/>
    <x v="0"/>
    <s v="LaptopAccessories"/>
    <s v="NotebookComputerStands"/>
    <x v="8"/>
    <n v="1499"/>
    <s v="&gt;₹500"/>
    <n v="0.8"/>
    <x v="0"/>
    <x v="0"/>
    <x v="542"/>
    <n v="1353597"/>
    <x v="0"/>
  </r>
  <r>
    <x v="0"/>
    <x v="0"/>
    <s v="Keyboards,Mice&amp;InputDevices"/>
    <s v="Keyboard&amp;MouseSets"/>
    <x v="237"/>
    <n v="1795"/>
    <s v="&gt;₹500"/>
    <n v="0.28000000000000003"/>
    <x v="1"/>
    <x v="3"/>
    <x v="543"/>
    <n v="46258945"/>
    <x v="0"/>
  </r>
  <r>
    <x v="1"/>
    <x v="7"/>
    <s v="Headphones"/>
    <s v="In-Ear"/>
    <x v="154"/>
    <n v="999"/>
    <s v="&gt;₹500"/>
    <n v="0.3"/>
    <x v="1"/>
    <x v="3"/>
    <x v="544"/>
    <n v="272915811"/>
    <x v="0"/>
  </r>
  <r>
    <x v="3"/>
    <x v="11"/>
    <s v="Paper"/>
    <s v="Stationery"/>
    <x v="111"/>
    <n v="315"/>
    <s v="₹200–₹500"/>
    <n v="0.2"/>
    <x v="1"/>
    <x v="6"/>
    <x v="545"/>
    <n v="1192275"/>
    <x v="0"/>
  </r>
  <r>
    <x v="1"/>
    <x v="10"/>
    <s v="DisposableBatteries"/>
    <m/>
    <x v="273"/>
    <n v="220"/>
    <s v="₹200–₹500"/>
    <n v="0.14000000000000001"/>
    <x v="1"/>
    <x v="5"/>
    <x v="546"/>
    <n v="630520"/>
    <x v="0"/>
  </r>
  <r>
    <x v="0"/>
    <x v="0"/>
    <s v="Keyboards,Mice&amp;InputDevices"/>
    <s v="Keyboard&amp;MouseSets"/>
    <x v="69"/>
    <n v="1599"/>
    <s v="&gt;₹500"/>
    <n v="0.19"/>
    <x v="1"/>
    <x v="4"/>
    <x v="547"/>
    <n v="43529577"/>
    <x v="0"/>
  </r>
  <r>
    <x v="0"/>
    <x v="8"/>
    <s v="PenDrives"/>
    <m/>
    <x v="274"/>
    <n v="1650"/>
    <s v="&gt;₹500"/>
    <n v="0.56000000000000005"/>
    <x v="0"/>
    <x v="4"/>
    <x v="548"/>
    <n v="135887400"/>
    <x v="0"/>
  </r>
  <r>
    <x v="3"/>
    <x v="11"/>
    <s v="Paper"/>
    <s v="Stationery"/>
    <x v="275"/>
    <n v="600"/>
    <s v="&gt;₹500"/>
    <n v="0.2"/>
    <x v="1"/>
    <x v="4"/>
    <x v="549"/>
    <n v="3431400"/>
    <x v="0"/>
  </r>
  <r>
    <x v="0"/>
    <x v="0"/>
    <s v="LaptopAccessories"/>
    <s v="Lapdesks"/>
    <x v="29"/>
    <n v="2499"/>
    <s v="&gt;₹500"/>
    <n v="0.6"/>
    <x v="0"/>
    <x v="4"/>
    <x v="550"/>
    <n v="4223310"/>
    <x v="0"/>
  </r>
  <r>
    <x v="0"/>
    <x v="0"/>
    <s v="Cables&amp;Accessories"/>
    <s v="Cables"/>
    <x v="276"/>
    <n v="699"/>
    <s v="&gt;₹500"/>
    <n v="0.66"/>
    <x v="0"/>
    <x v="5"/>
    <x v="551"/>
    <n v="5852028"/>
    <x v="0"/>
  </r>
  <r>
    <x v="0"/>
    <x v="0"/>
    <s v="Keyboards,Mice&amp;InputDevices"/>
    <s v="Keyboard&amp;MouseSets"/>
    <x v="277"/>
    <n v="2198"/>
    <s v="&gt;₹500"/>
    <n v="0.39"/>
    <x v="1"/>
    <x v="1"/>
    <x v="552"/>
    <n v="15634374"/>
    <x v="0"/>
  </r>
  <r>
    <x v="0"/>
    <x v="0"/>
    <s v="Audio&amp;VideoAccessories"/>
    <s v="PCMicrophones"/>
    <x v="1"/>
    <n v="499"/>
    <s v="₹200–₹500"/>
    <n v="0.6"/>
    <x v="0"/>
    <x v="8"/>
    <x v="553"/>
    <n v="1399196"/>
    <x v="0"/>
  </r>
  <r>
    <x v="1"/>
    <x v="7"/>
    <s v="Headphones"/>
    <s v="In-Ear"/>
    <x v="168"/>
    <n v="9999"/>
    <s v="&gt;₹500"/>
    <n v="0.8"/>
    <x v="0"/>
    <x v="7"/>
    <x v="554"/>
    <n v="19858014"/>
    <x v="0"/>
  </r>
  <r>
    <x v="1"/>
    <x v="5"/>
    <s v="MobileAccessories"/>
    <s v="Stands"/>
    <x v="24"/>
    <n v="499"/>
    <s v="₹200–₹500"/>
    <n v="0.8"/>
    <x v="0"/>
    <x v="3"/>
    <x v="362"/>
    <n v="1223049"/>
    <x v="0"/>
  </r>
  <r>
    <x v="0"/>
    <x v="0"/>
    <s v="Keyboards,Mice&amp;InputDevices"/>
    <s v="Mice"/>
    <x v="7"/>
    <n v="1000"/>
    <s v="&gt;₹500"/>
    <n v="0.5"/>
    <x v="0"/>
    <x v="15"/>
    <x v="205"/>
    <n v="23000"/>
    <x v="0"/>
  </r>
  <r>
    <x v="0"/>
    <x v="17"/>
    <s v="Memory"/>
    <m/>
    <x v="278"/>
    <n v="3500"/>
    <s v="&gt;₹500"/>
    <n v="0.49"/>
    <x v="1"/>
    <x v="6"/>
    <x v="555"/>
    <n v="91679000"/>
    <x v="0"/>
  </r>
  <r>
    <x v="0"/>
    <x v="0"/>
    <s v="UninterruptedPowerSupplies"/>
    <m/>
    <x v="279"/>
    <n v="4100"/>
    <s v="&gt;₹500"/>
    <n v="0.2"/>
    <x v="1"/>
    <x v="2"/>
    <x v="556"/>
    <n v="64710300"/>
    <x v="0"/>
  </r>
  <r>
    <x v="3"/>
    <x v="11"/>
    <s v="Paper"/>
    <s v="Stationery"/>
    <x v="280"/>
    <n v="180"/>
    <s v="&lt;₹200"/>
    <n v="0.31"/>
    <x v="1"/>
    <x v="5"/>
    <x v="557"/>
    <n v="1449540"/>
    <x v="0"/>
  </r>
  <r>
    <x v="0"/>
    <x v="0"/>
    <s v="Keyboards,Mice&amp;InputDevices"/>
    <s v="Mice"/>
    <x v="0"/>
    <n v="1190"/>
    <s v="&gt;₹500"/>
    <n v="0.66"/>
    <x v="0"/>
    <x v="3"/>
    <x v="558"/>
    <n v="3342710"/>
    <x v="0"/>
  </r>
  <r>
    <x v="1"/>
    <x v="7"/>
    <s v="Headphones"/>
    <s v="In-Ear"/>
    <x v="33"/>
    <n v="7999"/>
    <s v="&gt;₹500"/>
    <n v="0.85"/>
    <x v="0"/>
    <x v="9"/>
    <x v="559"/>
    <n v="207254090"/>
    <x v="0"/>
  </r>
  <r>
    <x v="0"/>
    <x v="0"/>
    <s v="Keyboards,Mice&amp;InputDevices"/>
    <s v="GraphicTablets"/>
    <x v="114"/>
    <n v="1599"/>
    <s v="&gt;₹500"/>
    <n v="0.85"/>
    <x v="0"/>
    <x v="11"/>
    <x v="560"/>
    <n v="1875627"/>
    <x v="0"/>
  </r>
  <r>
    <x v="0"/>
    <x v="0"/>
    <s v="LaptopAccessories"/>
    <s v="Lapdesks"/>
    <x v="125"/>
    <n v="1999"/>
    <s v="&gt;₹500"/>
    <n v="0.73"/>
    <x v="0"/>
    <x v="9"/>
    <x v="561"/>
    <n v="12837578"/>
    <x v="0"/>
  </r>
  <r>
    <x v="0"/>
    <x v="0"/>
    <s v="USBGadgets"/>
    <s v="Lamps"/>
    <x v="124"/>
    <n v="99"/>
    <s v="&lt;₹200"/>
    <n v="0.1"/>
    <x v="1"/>
    <x v="0"/>
    <x v="562"/>
    <n v="23859"/>
    <x v="0"/>
  </r>
  <r>
    <x v="1"/>
    <x v="7"/>
    <s v="Headphones"/>
    <s v="In-Ear"/>
    <x v="69"/>
    <n v="2999"/>
    <s v="&gt;₹500"/>
    <n v="0.56999999999999995"/>
    <x v="0"/>
    <x v="11"/>
    <x v="563"/>
    <n v="43872371"/>
    <x v="0"/>
  </r>
  <r>
    <x v="0"/>
    <x v="0"/>
    <s v="Keyboards,Mice&amp;InputDevices"/>
    <s v="Keyboard&amp;MiceAccessories"/>
    <x v="36"/>
    <n v="999"/>
    <s v="&gt;₹500"/>
    <n v="0.77"/>
    <x v="0"/>
    <x v="0"/>
    <x v="564"/>
    <n v="1526472"/>
    <x v="0"/>
  </r>
  <r>
    <x v="1"/>
    <x v="7"/>
    <s v="Cases"/>
    <m/>
    <x v="141"/>
    <n v="499"/>
    <s v="₹200–₹500"/>
    <n v="0.76"/>
    <x v="0"/>
    <x v="4"/>
    <x v="565"/>
    <n v="7500968"/>
    <x v="0"/>
  </r>
  <r>
    <x v="1"/>
    <x v="6"/>
    <s v="MemoryCards"/>
    <s v="SecureDigitalCards"/>
    <x v="63"/>
    <n v="800"/>
    <s v="&gt;₹500"/>
    <n v="0.44"/>
    <x v="1"/>
    <x v="5"/>
    <x v="566"/>
    <n v="55668000"/>
    <x v="0"/>
  </r>
  <r>
    <x v="1"/>
    <x v="5"/>
    <s v="MobileAccessories"/>
    <s v="Photo&amp;VideoAccessories"/>
    <x v="79"/>
    <n v="3495"/>
    <s v="&gt;₹500"/>
    <n v="0.51"/>
    <x v="0"/>
    <x v="3"/>
    <x v="567"/>
    <n v="50226645"/>
    <x v="0"/>
  </r>
  <r>
    <x v="3"/>
    <x v="11"/>
    <s v="Paper"/>
    <s v="Stationery"/>
    <x v="281"/>
    <n v="720"/>
    <s v="&gt;₹500"/>
    <n v="0.22"/>
    <x v="1"/>
    <x v="5"/>
    <x v="568"/>
    <n v="2291040"/>
    <x v="0"/>
  </r>
  <r>
    <x v="0"/>
    <x v="0"/>
    <s v="Keyboards,Mice&amp;InputDevices"/>
    <s v="Mice"/>
    <x v="227"/>
    <n v="590"/>
    <s v="&gt;₹500"/>
    <n v="0.51"/>
    <x v="0"/>
    <x v="5"/>
    <x v="569"/>
    <n v="15272740"/>
    <x v="0"/>
  </r>
  <r>
    <x v="0"/>
    <x v="0"/>
    <s v="LaptopAccessories"/>
    <s v="NotebookComputerStands"/>
    <x v="23"/>
    <n v="1999"/>
    <s v="&gt;₹500"/>
    <n v="0.7"/>
    <x v="0"/>
    <x v="5"/>
    <x v="570"/>
    <n v="9467264"/>
    <x v="0"/>
  </r>
  <r>
    <x v="0"/>
    <x v="8"/>
    <s v="ExternalHardDisks"/>
    <m/>
    <x v="282"/>
    <n v="7350"/>
    <s v="&gt;₹500"/>
    <n v="0.24"/>
    <x v="1"/>
    <x v="5"/>
    <x v="571"/>
    <n v="536586750"/>
    <x v="0"/>
  </r>
  <r>
    <x v="0"/>
    <x v="0"/>
    <s v="Audio&amp;VideoAccessories"/>
    <s v="Webcams&amp;VoIPEquipment"/>
    <x v="135"/>
    <n v="2595"/>
    <s v="&gt;₹500"/>
    <n v="0.23"/>
    <x v="1"/>
    <x v="4"/>
    <x v="572"/>
    <n v="52932810"/>
    <x v="0"/>
  </r>
  <r>
    <x v="0"/>
    <x v="0"/>
    <s v="USBHubs"/>
    <m/>
    <x v="7"/>
    <n v="799"/>
    <s v="&gt;₹500"/>
    <n v="0.38"/>
    <x v="1"/>
    <x v="4"/>
    <x v="573"/>
    <n v="1697875"/>
    <x v="0"/>
  </r>
  <r>
    <x v="0"/>
    <x v="0"/>
    <s v="LaptopAccessories"/>
    <s v="Bags&amp;Sleeves"/>
    <x v="63"/>
    <n v="999"/>
    <s v="&gt;₹500"/>
    <n v="0.55000000000000004"/>
    <x v="0"/>
    <x v="4"/>
    <x v="574"/>
    <n v="11318670"/>
    <x v="0"/>
  </r>
  <r>
    <x v="0"/>
    <x v="0"/>
    <s v="LaptopAccessories"/>
    <s v="CoolingPads"/>
    <x v="29"/>
    <n v="1999"/>
    <s v="&gt;₹500"/>
    <n v="0.5"/>
    <x v="0"/>
    <x v="0"/>
    <x v="575"/>
    <n v="54854559"/>
    <x v="0"/>
  </r>
  <r>
    <x v="0"/>
    <x v="0"/>
    <s v="LaptopAccessories"/>
    <s v="CameraPrivacyCovers"/>
    <x v="283"/>
    <n v="299"/>
    <s v="₹200–₹500"/>
    <n v="0.77"/>
    <x v="0"/>
    <x v="4"/>
    <x v="576"/>
    <n v="76245"/>
    <x v="0"/>
  </r>
  <r>
    <x v="0"/>
    <x v="0"/>
    <s v="Keyboards,Mice&amp;InputDevices"/>
    <s v="Mice"/>
    <x v="25"/>
    <n v="1499"/>
    <s v="&gt;₹500"/>
    <n v="0.4"/>
    <x v="1"/>
    <x v="0"/>
    <x v="577"/>
    <n v="34737826"/>
    <x v="0"/>
  </r>
  <r>
    <x v="2"/>
    <x v="9"/>
    <s v="Condenser"/>
    <m/>
    <x v="284"/>
    <n v="699"/>
    <s v="&gt;₹500"/>
    <n v="0.32"/>
    <x v="1"/>
    <x v="11"/>
    <x v="578"/>
    <n v="14132382"/>
    <x v="0"/>
  </r>
  <r>
    <x v="0"/>
    <x v="0"/>
    <s v="LaptopAccessories"/>
    <m/>
    <x v="92"/>
    <n v="2490"/>
    <s v="&gt;₹500"/>
    <n v="0.44"/>
    <x v="1"/>
    <x v="4"/>
    <x v="579"/>
    <n v="27574260"/>
    <x v="0"/>
  </r>
  <r>
    <x v="0"/>
    <x v="0"/>
    <s v="TabletAccessories"/>
    <s v="Stands"/>
    <x v="4"/>
    <n v="499"/>
    <s v="₹200–₹500"/>
    <n v="0.7"/>
    <x v="0"/>
    <x v="3"/>
    <x v="580"/>
    <n v="12777893"/>
    <x v="0"/>
  </r>
  <r>
    <x v="1"/>
    <x v="3"/>
    <s v="Speakers"/>
    <s v="BluetoothSpeakers"/>
    <x v="166"/>
    <n v="4990"/>
    <s v="&gt;₹500"/>
    <n v="0.64"/>
    <x v="0"/>
    <x v="0"/>
    <x v="581"/>
    <n v="205717740"/>
    <x v="0"/>
  </r>
  <r>
    <x v="5"/>
    <x v="18"/>
    <s v="Adapters&amp;Multi-Outlets"/>
    <m/>
    <x v="285"/>
    <n v="999"/>
    <s v="&gt;₹500"/>
    <n v="0.56999999999999995"/>
    <x v="0"/>
    <x v="1"/>
    <x v="87"/>
    <n v="2578419"/>
    <x v="0"/>
  </r>
  <r>
    <x v="1"/>
    <x v="3"/>
    <s v="Speakers"/>
    <s v="OutdoorSpeakers"/>
    <x v="29"/>
    <n v="2490"/>
    <s v="&gt;₹500"/>
    <n v="0.6"/>
    <x v="0"/>
    <x v="3"/>
    <x v="582"/>
    <n v="45644190"/>
    <x v="0"/>
  </r>
  <r>
    <x v="0"/>
    <x v="0"/>
    <s v="Keyboards,Mice&amp;InputDevices"/>
    <s v="GraphicTablets"/>
    <x v="286"/>
    <n v="999"/>
    <s v="&gt;₹500"/>
    <n v="0.62"/>
    <x v="0"/>
    <x v="3"/>
    <x v="472"/>
    <n v="1777221"/>
    <x v="0"/>
  </r>
  <r>
    <x v="3"/>
    <x v="11"/>
    <s v="Paper"/>
    <s v="Copy&amp;PrintingPaper"/>
    <x v="24"/>
    <n v="99"/>
    <s v="&lt;₹200"/>
    <n v="0"/>
    <x v="1"/>
    <x v="4"/>
    <x v="583"/>
    <n v="38412"/>
    <x v="0"/>
  </r>
  <r>
    <x v="0"/>
    <x v="1"/>
    <s v="Routers"/>
    <m/>
    <x v="72"/>
    <n v="2999"/>
    <s v="&gt;₹500"/>
    <n v="0.5"/>
    <x v="0"/>
    <x v="6"/>
    <x v="584"/>
    <n v="25959344"/>
    <x v="0"/>
  </r>
  <r>
    <x v="0"/>
    <x v="17"/>
    <s v="InternalSolidStateDrives"/>
    <m/>
    <x v="287"/>
    <n v="3100"/>
    <s v="&gt;₹500"/>
    <n v="0.41"/>
    <x v="1"/>
    <x v="6"/>
    <x v="585"/>
    <n v="288067500"/>
    <x v="0"/>
  </r>
  <r>
    <x v="3"/>
    <x v="11"/>
    <s v="Paper"/>
    <s v="Stationery"/>
    <x v="288"/>
    <n v="75"/>
    <s v="&lt;₹200"/>
    <n v="0.11"/>
    <x v="1"/>
    <x v="3"/>
    <x v="100"/>
    <n v="95175"/>
    <x v="0"/>
  </r>
  <r>
    <x v="0"/>
    <x v="0"/>
    <s v="LaptopAccessories"/>
    <s v="Lapdesks"/>
    <x v="238"/>
    <n v="2699"/>
    <s v="&gt;₹500"/>
    <n v="0.3"/>
    <x v="1"/>
    <x v="4"/>
    <x v="586"/>
    <n v="46946406"/>
    <x v="0"/>
  </r>
  <r>
    <x v="1"/>
    <x v="7"/>
    <s v="Headphones"/>
    <s v="In-Ear"/>
    <x v="7"/>
    <n v="1499"/>
    <s v="&gt;₹500"/>
    <n v="0.67"/>
    <x v="0"/>
    <x v="9"/>
    <x v="587"/>
    <n v="13744331"/>
    <x v="0"/>
  </r>
  <r>
    <x v="0"/>
    <x v="0"/>
    <s v="Keyboards,Mice&amp;InputDevices"/>
    <s v="Keyboard&amp;MiceAccessories"/>
    <x v="7"/>
    <n v="999"/>
    <s v="&gt;₹500"/>
    <n v="0.5"/>
    <x v="0"/>
    <x v="5"/>
    <x v="588"/>
    <n v="1028970"/>
    <x v="0"/>
  </r>
  <r>
    <x v="0"/>
    <x v="8"/>
    <s v="ExternalHardDisks"/>
    <m/>
    <x v="289"/>
    <n v="7999"/>
    <s v="&gt;₹500"/>
    <n v="0.28000000000000003"/>
    <x v="1"/>
    <x v="6"/>
    <x v="589"/>
    <n v="402133727"/>
    <x v="0"/>
  </r>
  <r>
    <x v="1"/>
    <x v="3"/>
    <s v="Speakers"/>
    <s v="MultimediaSpeakerSystems"/>
    <x v="7"/>
    <n v="799"/>
    <s v="&gt;₹500"/>
    <n v="0.38"/>
    <x v="1"/>
    <x v="2"/>
    <x v="590"/>
    <n v="5386858"/>
    <x v="0"/>
  </r>
  <r>
    <x v="0"/>
    <x v="0"/>
    <s v="Keyboards,Mice&amp;InputDevices"/>
    <s v="GraphicTablets"/>
    <x v="14"/>
    <n v="600"/>
    <s v="&gt;₹500"/>
    <n v="0.59"/>
    <x v="0"/>
    <x v="1"/>
    <x v="591"/>
    <n v="724800"/>
    <x v="0"/>
  </r>
  <r>
    <x v="0"/>
    <x v="0"/>
    <s v="Cables&amp;Accessories"/>
    <s v="Cables"/>
    <x v="21"/>
    <n v="499"/>
    <s v="₹200–₹500"/>
    <n v="0.64"/>
    <x v="0"/>
    <x v="1"/>
    <x v="592"/>
    <n v="964567"/>
    <x v="0"/>
  </r>
  <r>
    <x v="0"/>
    <x v="8"/>
    <s v="ExternalHardDisks"/>
    <m/>
    <x v="290"/>
    <n v="5734"/>
    <s v="&gt;₹500"/>
    <n v="0.22"/>
    <x v="1"/>
    <x v="5"/>
    <x v="593"/>
    <n v="143384404"/>
    <x v="0"/>
  </r>
  <r>
    <x v="0"/>
    <x v="0"/>
    <s v="PCGamingPeripherals"/>
    <s v="Gamepads"/>
    <x v="8"/>
    <n v="550"/>
    <s v="&gt;₹500"/>
    <n v="0.46"/>
    <x v="1"/>
    <x v="13"/>
    <x v="594"/>
    <n v="18388700"/>
    <x v="0"/>
  </r>
  <r>
    <x v="0"/>
    <x v="0"/>
    <s v="Keyboards,Mice&amp;InputDevices"/>
    <s v="Mice"/>
    <x v="291"/>
    <n v="1390"/>
    <s v="&gt;₹500"/>
    <n v="0.55000000000000004"/>
    <x v="0"/>
    <x v="5"/>
    <x v="595"/>
    <n v="8758390"/>
    <x v="0"/>
  </r>
  <r>
    <x v="0"/>
    <x v="0"/>
    <s v="Keyboards,Mice&amp;InputDevices"/>
    <s v="Keyboards"/>
    <x v="292"/>
    <n v="3295"/>
    <s v="&gt;₹500"/>
    <n v="0.21"/>
    <x v="1"/>
    <x v="5"/>
    <x v="596"/>
    <n v="74526310"/>
    <x v="0"/>
  </r>
  <r>
    <x v="0"/>
    <x v="1"/>
    <s v="Routers"/>
    <m/>
    <x v="166"/>
    <n v="2911"/>
    <s v="&gt;₹500"/>
    <n v="0.38"/>
    <x v="1"/>
    <x v="4"/>
    <x v="597"/>
    <n v="59215562"/>
    <x v="0"/>
  </r>
  <r>
    <x v="3"/>
    <x v="11"/>
    <s v="Paper"/>
    <s v="Stationery"/>
    <x v="293"/>
    <n v="175"/>
    <s v="&lt;₹200"/>
    <n v="0.49"/>
    <x v="1"/>
    <x v="5"/>
    <x v="598"/>
    <n v="1300075"/>
    <x v="0"/>
  </r>
  <r>
    <x v="0"/>
    <x v="0"/>
    <s v="LaptopAccessories"/>
    <s v="Lapdesks"/>
    <x v="23"/>
    <n v="599"/>
    <s v="&gt;₹500"/>
    <n v="0"/>
    <x v="1"/>
    <x v="1"/>
    <x v="599"/>
    <n v="15827377"/>
    <x v="0"/>
  </r>
  <r>
    <x v="1"/>
    <x v="4"/>
    <s v="SmartWatches"/>
    <m/>
    <x v="168"/>
    <n v="7999"/>
    <s v="&gt;₹500"/>
    <n v="0.75"/>
    <x v="0"/>
    <x v="0"/>
    <x v="600"/>
    <n v="250408695"/>
    <x v="0"/>
  </r>
  <r>
    <x v="0"/>
    <x v="1"/>
    <s v="DataCards&amp;Dongles"/>
    <m/>
    <x v="202"/>
    <n v="3250"/>
    <s v="&gt;₹500"/>
    <n v="0.35"/>
    <x v="1"/>
    <x v="11"/>
    <x v="601"/>
    <n v="36442250"/>
    <x v="0"/>
  </r>
  <r>
    <x v="0"/>
    <x v="0"/>
    <s v="LaptopAccessories"/>
    <s v="LaptopChargers&amp;PowerSupplies"/>
    <x v="21"/>
    <n v="499"/>
    <s v="₹200–₹500"/>
    <n v="0.64"/>
    <x v="0"/>
    <x v="3"/>
    <x v="602"/>
    <n v="5076826"/>
    <x v="0"/>
  </r>
  <r>
    <x v="0"/>
    <x v="0"/>
    <s v="Keyboards,Mice&amp;InputDevices"/>
    <s v="Keyboard&amp;MouseSets"/>
    <x v="294"/>
    <n v="2295"/>
    <s v="&gt;₹500"/>
    <n v="0.41"/>
    <x v="1"/>
    <x v="0"/>
    <x v="603"/>
    <n v="39962835"/>
    <x v="0"/>
  </r>
  <r>
    <x v="1"/>
    <x v="13"/>
    <s v="Accessories"/>
    <s v="Tripods&amp;Monopods"/>
    <x v="12"/>
    <n v="995"/>
    <s v="&gt;₹500"/>
    <n v="0.65"/>
    <x v="0"/>
    <x v="0"/>
    <x v="604"/>
    <n v="6642620"/>
    <x v="0"/>
  </r>
  <r>
    <x v="0"/>
    <x v="0"/>
    <s v="Cables&amp;Accessories"/>
    <s v="Cables"/>
    <x v="295"/>
    <n v="499"/>
    <s v="₹200–₹500"/>
    <n v="0.42"/>
    <x v="1"/>
    <x v="5"/>
    <x v="605"/>
    <n v="4029924"/>
    <x v="0"/>
  </r>
  <r>
    <x v="0"/>
    <x v="8"/>
    <s v="PenDrives"/>
    <m/>
    <x v="12"/>
    <n v="450"/>
    <s v="₹200–₹500"/>
    <n v="0.22"/>
    <x v="1"/>
    <x v="3"/>
    <x v="606"/>
    <n v="8395200"/>
    <x v="0"/>
  </r>
  <r>
    <x v="1"/>
    <x v="10"/>
    <s v="DisposableBatteries"/>
    <m/>
    <x v="296"/>
    <n v="1109"/>
    <s v="&gt;₹500"/>
    <n v="0.21"/>
    <x v="1"/>
    <x v="5"/>
    <x v="607"/>
    <n v="35043291"/>
    <x v="0"/>
  </r>
  <r>
    <x v="1"/>
    <x v="10"/>
    <s v="RechargeableBatteries"/>
    <m/>
    <x v="297"/>
    <n v="250"/>
    <s v="₹200–₹500"/>
    <n v="0"/>
    <x v="1"/>
    <x v="2"/>
    <x v="608"/>
    <n v="3492750"/>
    <x v="0"/>
  </r>
  <r>
    <x v="1"/>
    <x v="7"/>
    <s v="Headphones"/>
    <s v="In-Ear"/>
    <x v="1"/>
    <n v="499"/>
    <s v="₹200–₹500"/>
    <n v="0.6"/>
    <x v="0"/>
    <x v="9"/>
    <x v="609"/>
    <n v="1243508"/>
    <x v="0"/>
  </r>
  <r>
    <x v="0"/>
    <x v="0"/>
    <s v="Cables&amp;Accessories"/>
    <s v="Cables"/>
    <x v="1"/>
    <n v="999"/>
    <s v="&gt;₹500"/>
    <n v="0.8"/>
    <x v="0"/>
    <x v="1"/>
    <x v="610"/>
    <n v="574425"/>
    <x v="0"/>
  </r>
  <r>
    <x v="0"/>
    <x v="0"/>
    <s v="LaptopAccessories"/>
    <s v="LaptopChargers&amp;PowerSupplies"/>
    <x v="4"/>
    <n v="999"/>
    <s v="&gt;₹500"/>
    <n v="0.85"/>
    <x v="0"/>
    <x v="12"/>
    <x v="611"/>
    <n v="2520477"/>
    <x v="0"/>
  </r>
  <r>
    <x v="0"/>
    <x v="0"/>
    <s v="Keyboards,Mice&amp;InputDevices"/>
    <s v="GraphicTablets"/>
    <x v="298"/>
    <n v="1499"/>
    <s v="&gt;₹500"/>
    <n v="0.69"/>
    <x v="0"/>
    <x v="3"/>
    <x v="612"/>
    <n v="527648"/>
    <x v="0"/>
  </r>
  <r>
    <x v="0"/>
    <x v="0"/>
    <s v="USBHubs"/>
    <m/>
    <x v="299"/>
    <n v="1929"/>
    <s v="&gt;₹500"/>
    <n v="0.38"/>
    <x v="1"/>
    <x v="3"/>
    <x v="613"/>
    <n v="3205998"/>
    <x v="0"/>
  </r>
  <r>
    <x v="0"/>
    <x v="0"/>
    <s v="Audio&amp;VideoAccessories"/>
    <s v="PCSpeakers"/>
    <x v="61"/>
    <n v="1499"/>
    <s v="&gt;₹500"/>
    <n v="0.43"/>
    <x v="1"/>
    <x v="1"/>
    <x v="614"/>
    <n v="11020648"/>
    <x v="0"/>
  </r>
  <r>
    <x v="0"/>
    <x v="0"/>
    <s v="Keyboards,Mice&amp;InputDevices"/>
    <s v="Mice"/>
    <x v="300"/>
    <n v="399"/>
    <s v="₹200–₹500"/>
    <n v="0.18"/>
    <x v="1"/>
    <x v="3"/>
    <x v="615"/>
    <n v="1372959"/>
    <x v="0"/>
  </r>
  <r>
    <x v="0"/>
    <x v="0"/>
    <s v="LaptopAccessories"/>
    <s v="Lapdesks"/>
    <x v="54"/>
    <n v="699"/>
    <s v="&gt;₹500"/>
    <n v="0.62"/>
    <x v="0"/>
    <x v="1"/>
    <x v="616"/>
    <n v="65007"/>
    <x v="0"/>
  </r>
  <r>
    <x v="1"/>
    <x v="13"/>
    <s v="Accessories"/>
    <s v="Batteries&amp;Chargers"/>
    <x v="8"/>
    <n v="400"/>
    <s v="₹200–₹500"/>
    <n v="0.25"/>
    <x v="1"/>
    <x v="11"/>
    <x v="617"/>
    <n v="16358000"/>
    <x v="0"/>
  </r>
  <r>
    <x v="0"/>
    <x v="0"/>
    <s v="TabletAccessories"/>
    <s v="Bags,Cases&amp;Sleeves"/>
    <x v="125"/>
    <n v="1499"/>
    <s v="&gt;₹500"/>
    <n v="0.63"/>
    <x v="0"/>
    <x v="4"/>
    <x v="618"/>
    <n v="16497994"/>
    <x v="0"/>
  </r>
  <r>
    <x v="3"/>
    <x v="11"/>
    <s v="Paper"/>
    <s v="Stationery"/>
    <x v="301"/>
    <n v="120"/>
    <s v="&lt;₹200"/>
    <n v="0.05"/>
    <x v="1"/>
    <x v="0"/>
    <x v="619"/>
    <n v="1072560"/>
    <x v="0"/>
  </r>
  <r>
    <x v="3"/>
    <x v="11"/>
    <s v="Paper"/>
    <s v="Stationery"/>
    <x v="218"/>
    <n v="120"/>
    <s v="&lt;₹200"/>
    <n v="0"/>
    <x v="1"/>
    <x v="3"/>
    <x v="620"/>
    <n v="516960"/>
    <x v="0"/>
  </r>
  <r>
    <x v="0"/>
    <x v="0"/>
    <s v="Cables&amp;Accessories"/>
    <s v="Cables"/>
    <x v="27"/>
    <n v="695"/>
    <s v="&gt;₹500"/>
    <n v="0.7"/>
    <x v="0"/>
    <x v="6"/>
    <x v="621"/>
    <n v="74841770"/>
    <x v="0"/>
  </r>
  <r>
    <x v="0"/>
    <x v="0"/>
    <s v="Keyboards,Mice&amp;InputDevices"/>
    <s v="Mice"/>
    <x v="302"/>
    <n v="2295"/>
    <s v="&gt;₹500"/>
    <n v="0.35"/>
    <x v="1"/>
    <x v="13"/>
    <x v="622"/>
    <n v="24446340"/>
    <x v="0"/>
  </r>
  <r>
    <x v="4"/>
    <x v="12"/>
    <s v="DrawingMaterials"/>
    <s v="DrawingMedia"/>
    <x v="24"/>
    <n v="99"/>
    <s v="&lt;₹200"/>
    <n v="0"/>
    <x v="1"/>
    <x v="4"/>
    <x v="623"/>
    <n v="498564"/>
    <x v="0"/>
  </r>
  <r>
    <x v="0"/>
    <x v="0"/>
    <s v="Keyboards,Mice&amp;InputDevices"/>
    <s v="Mice"/>
    <x v="4"/>
    <n v="249"/>
    <s v="₹200–₹500"/>
    <n v="0.4"/>
    <x v="1"/>
    <x v="1"/>
    <x v="624"/>
    <n v="1259193"/>
    <x v="0"/>
  </r>
  <r>
    <x v="0"/>
    <x v="0"/>
    <s v="PCGamingPeripherals"/>
    <s v="GamingMice"/>
    <x v="303"/>
    <n v="2799"/>
    <s v="&gt;₹500"/>
    <n v="0.79"/>
    <x v="0"/>
    <x v="0"/>
    <x v="625"/>
    <n v="23895063"/>
    <x v="0"/>
  </r>
  <r>
    <x v="3"/>
    <x v="11"/>
    <s v="Paper"/>
    <s v="Stationery"/>
    <x v="304"/>
    <n v="210"/>
    <s v="₹200–₹500"/>
    <n v="0.15"/>
    <x v="1"/>
    <x v="4"/>
    <x v="626"/>
    <n v="514500"/>
    <x v="0"/>
  </r>
  <r>
    <x v="1"/>
    <x v="7"/>
    <s v="Headphones"/>
    <s v="In-Ear"/>
    <x v="44"/>
    <n v="3490"/>
    <s v="&gt;₹500"/>
    <n v="0.54"/>
    <x v="0"/>
    <x v="7"/>
    <x v="627"/>
    <n v="2359240"/>
    <x v="0"/>
  </r>
  <r>
    <x v="1"/>
    <x v="7"/>
    <s v="Headphones"/>
    <s v="In-Ear"/>
    <x v="7"/>
    <n v="1299"/>
    <s v="&gt;₹500"/>
    <n v="0.62"/>
    <x v="0"/>
    <x v="2"/>
    <x v="560"/>
    <n v="1523727"/>
    <x v="0"/>
  </r>
  <r>
    <x v="0"/>
    <x v="0"/>
    <s v="Keyboards,Mice&amp;InputDevices"/>
    <s v="Keyboard&amp;MiceAccessories"/>
    <x v="1"/>
    <n v="499"/>
    <s v="₹200–₹500"/>
    <n v="0.6"/>
    <x v="0"/>
    <x v="4"/>
    <x v="628"/>
    <n v="4989002"/>
    <x v="0"/>
  </r>
  <r>
    <x v="1"/>
    <x v="4"/>
    <s v="SmartWatches"/>
    <m/>
    <x v="209"/>
    <n v="5999"/>
    <s v="&gt;₹500"/>
    <n v="0.57999999999999996"/>
    <x v="0"/>
    <x v="3"/>
    <x v="629"/>
    <n v="35106148"/>
    <x v="0"/>
  </r>
  <r>
    <x v="0"/>
    <x v="17"/>
    <s v="InternalHardDrives"/>
    <m/>
    <x v="1"/>
    <n v="999"/>
    <s v="&gt;₹500"/>
    <n v="0.8"/>
    <x v="0"/>
    <x v="0"/>
    <x v="630"/>
    <n v="361638"/>
    <x v="0"/>
  </r>
  <r>
    <x v="1"/>
    <x v="6"/>
    <s v="MemoryCards"/>
    <s v="MicroSD"/>
    <x v="305"/>
    <n v="1800"/>
    <s v="&gt;₹500"/>
    <n v="0.48"/>
    <x v="1"/>
    <x v="6"/>
    <x v="631"/>
    <n v="369093600"/>
    <x v="0"/>
  </r>
  <r>
    <x v="1"/>
    <x v="4"/>
    <s v="SmartWatches"/>
    <m/>
    <x v="209"/>
    <n v="9999"/>
    <s v="&gt;₹500"/>
    <n v="0.75"/>
    <x v="0"/>
    <x v="1"/>
    <x v="632"/>
    <n v="90890910"/>
    <x v="0"/>
  </r>
  <r>
    <x v="0"/>
    <x v="0"/>
    <s v="Keyboards,Mice&amp;InputDevices"/>
    <s v="Mice"/>
    <x v="306"/>
    <n v="2890"/>
    <s v="&gt;₹500"/>
    <n v="0.5"/>
    <x v="0"/>
    <x v="6"/>
    <x v="633"/>
    <n v="11846110"/>
    <x v="0"/>
  </r>
  <r>
    <x v="1"/>
    <x v="7"/>
    <s v="Headphones"/>
    <s v="In-Ear"/>
    <x v="59"/>
    <n v="5999"/>
    <s v="&gt;₹500"/>
    <n v="0.82"/>
    <x v="0"/>
    <x v="12"/>
    <x v="634"/>
    <n v="77783034"/>
    <x v="0"/>
  </r>
  <r>
    <x v="3"/>
    <x v="11"/>
    <s v="Paper"/>
    <s v="Stationery"/>
    <x v="253"/>
    <n v="160"/>
    <s v="&lt;₹200"/>
    <n v="0.02"/>
    <x v="1"/>
    <x v="6"/>
    <x v="635"/>
    <n v="708480"/>
    <x v="0"/>
  </r>
  <r>
    <x v="0"/>
    <x v="0"/>
    <s v="Keyboards,Mice&amp;InputDevices"/>
    <s v="Keyboard&amp;MiceAccessories"/>
    <x v="46"/>
    <n v="999"/>
    <s v="&gt;₹500"/>
    <n v="0.88"/>
    <x v="0"/>
    <x v="8"/>
    <x v="636"/>
    <n v="5686308"/>
    <x v="0"/>
  </r>
  <r>
    <x v="0"/>
    <x v="0"/>
    <s v="Keyboards,Mice&amp;InputDevices"/>
    <s v="GraphicTablets"/>
    <x v="307"/>
    <n v="499"/>
    <s v="₹200–₹500"/>
    <n v="0.65"/>
    <x v="0"/>
    <x v="3"/>
    <x v="637"/>
    <n v="10479"/>
    <x v="0"/>
  </r>
  <r>
    <x v="1"/>
    <x v="13"/>
    <s v="SecurityCameras"/>
    <s v="DomeCameras"/>
    <x v="168"/>
    <n v="4700"/>
    <s v="&gt;₹500"/>
    <n v="0.56999999999999995"/>
    <x v="0"/>
    <x v="11"/>
    <x v="638"/>
    <n v="8836000"/>
    <x v="0"/>
  </r>
  <r>
    <x v="0"/>
    <x v="15"/>
    <s v="Printers"/>
    <m/>
    <x v="183"/>
    <n v="4332.96"/>
    <s v="&gt;₹500"/>
    <n v="0.08"/>
    <x v="1"/>
    <x v="12"/>
    <x v="639"/>
    <n v="94293875.519999996"/>
    <x v="0"/>
  </r>
  <r>
    <x v="0"/>
    <x v="1"/>
    <s v="Routers"/>
    <m/>
    <x v="25"/>
    <n v="1800"/>
    <s v="&gt;₹500"/>
    <n v="0.5"/>
    <x v="0"/>
    <x v="3"/>
    <x v="640"/>
    <n v="40275000"/>
    <x v="0"/>
  </r>
  <r>
    <x v="0"/>
    <x v="0"/>
    <s v="Keyboards,Mice&amp;InputDevices"/>
    <s v="Keyboard&amp;MiceAccessories"/>
    <x v="8"/>
    <n v="990"/>
    <s v="&gt;₹500"/>
    <n v="0.7"/>
    <x v="0"/>
    <x v="6"/>
    <x v="641"/>
    <n v="2428470"/>
    <x v="0"/>
  </r>
  <r>
    <x v="0"/>
    <x v="0"/>
    <s v="Keyboards,Mice&amp;InputDevices"/>
    <s v="GraphicTablets"/>
    <x v="308"/>
    <n v="4699"/>
    <s v="&gt;₹500"/>
    <n v="0.3"/>
    <x v="1"/>
    <x v="5"/>
    <x v="642"/>
    <n v="63643256"/>
    <x v="0"/>
  </r>
  <r>
    <x v="0"/>
    <x v="0"/>
    <s v="Audio&amp;VideoAccessories"/>
    <s v="Webcams&amp;VoIPEquipment"/>
    <x v="309"/>
    <n v="5490"/>
    <s v="&gt;₹500"/>
    <n v="0.66"/>
    <x v="0"/>
    <x v="3"/>
    <x v="643"/>
    <n v="60258240"/>
    <x v="0"/>
  </r>
  <r>
    <x v="3"/>
    <x v="11"/>
    <s v="Paper"/>
    <s v="Stationery"/>
    <x v="293"/>
    <n v="100"/>
    <s v="&lt;₹200"/>
    <n v="0.1"/>
    <x v="1"/>
    <x v="4"/>
    <x v="644"/>
    <n v="306100"/>
    <x v="0"/>
  </r>
  <r>
    <x v="1"/>
    <x v="7"/>
    <s v="Headphones"/>
    <s v="In-Ear"/>
    <x v="44"/>
    <n v="2790"/>
    <s v="&gt;₹500"/>
    <n v="0.43"/>
    <x v="1"/>
    <x v="9"/>
    <x v="645"/>
    <n v="6338880"/>
    <x v="0"/>
  </r>
  <r>
    <x v="0"/>
    <x v="0"/>
    <s v="LaptopAccessories"/>
    <s v="CoolingPads"/>
    <x v="23"/>
    <n v="999"/>
    <s v="&gt;₹500"/>
    <n v="0.4"/>
    <x v="1"/>
    <x v="1"/>
    <x v="646"/>
    <n v="7593399"/>
    <x v="0"/>
  </r>
  <r>
    <x v="0"/>
    <x v="0"/>
    <s v="Keyboards,Mice&amp;InputDevices"/>
    <s v="Keyboard&amp;MiceAccessories"/>
    <x v="285"/>
    <n v="899"/>
    <s v="&gt;₹500"/>
    <n v="0.53"/>
    <x v="0"/>
    <x v="6"/>
    <x v="647"/>
    <n v="3792881"/>
    <x v="0"/>
  </r>
  <r>
    <x v="1"/>
    <x v="7"/>
    <s v="Headphones"/>
    <s v="On-Ear"/>
    <x v="72"/>
    <n v="3999"/>
    <s v="&gt;₹500"/>
    <n v="0.63"/>
    <x v="0"/>
    <x v="0"/>
    <x v="648"/>
    <n v="171057225"/>
    <x v="0"/>
  </r>
  <r>
    <x v="0"/>
    <x v="0"/>
    <s v="TabletAccessories"/>
    <s v="Bags,Cases&amp;Sleeves"/>
    <x v="125"/>
    <n v="2499"/>
    <s v="&gt;₹500"/>
    <n v="0.78"/>
    <x v="0"/>
    <x v="4"/>
    <x v="649"/>
    <n v="13884444"/>
    <x v="0"/>
  </r>
  <r>
    <x v="0"/>
    <x v="0"/>
    <s v="Keyboards,Mice&amp;InputDevices"/>
    <s v="Mice"/>
    <x v="237"/>
    <n v="1645"/>
    <s v="&gt;₹500"/>
    <n v="0.21"/>
    <x v="1"/>
    <x v="13"/>
    <x v="650"/>
    <n v="20356875"/>
    <x v="0"/>
  </r>
  <r>
    <x v="4"/>
    <x v="12"/>
    <s v="PaintingMaterials"/>
    <s v="Paints"/>
    <x v="310"/>
    <n v="310"/>
    <s v="₹200–₹500"/>
    <n v="0"/>
    <x v="1"/>
    <x v="6"/>
    <x v="651"/>
    <n v="1823420"/>
    <x v="0"/>
  </r>
  <r>
    <x v="0"/>
    <x v="0"/>
    <s v="Keyboards,Mice&amp;InputDevices"/>
    <s v="Keyboard&amp;MouseSets"/>
    <x v="176"/>
    <n v="1499"/>
    <s v="&gt;₹500"/>
    <n v="0.23"/>
    <x v="1"/>
    <x v="3"/>
    <x v="652"/>
    <n v="15654057"/>
    <x v="0"/>
  </r>
  <r>
    <x v="0"/>
    <x v="0"/>
    <s v="LaptopAccessories"/>
    <s v="Lapdesks"/>
    <x v="7"/>
    <n v="1299"/>
    <s v="&gt;₹500"/>
    <n v="0.62"/>
    <x v="0"/>
    <x v="6"/>
    <x v="653"/>
    <n v="563766"/>
    <x v="0"/>
  </r>
  <r>
    <x v="1"/>
    <x v="7"/>
    <s v="Headphones"/>
    <s v="In-Ear"/>
    <x v="29"/>
    <n v="4199"/>
    <s v="&gt;₹500"/>
    <n v="0.76"/>
    <x v="0"/>
    <x v="12"/>
    <x v="654"/>
    <n v="8032687"/>
    <x v="0"/>
  </r>
  <r>
    <x v="0"/>
    <x v="17"/>
    <s v="InternalSolidStateDrives"/>
    <m/>
    <x v="311"/>
    <n v="4000"/>
    <s v="&gt;₹500"/>
    <n v="0.56999999999999995"/>
    <x v="0"/>
    <x v="5"/>
    <x v="655"/>
    <n v="12116000"/>
    <x v="0"/>
  </r>
  <r>
    <x v="3"/>
    <x v="11"/>
    <s v="Paper"/>
    <s v="Stationery"/>
    <x v="297"/>
    <n v="250"/>
    <s v="₹200–₹500"/>
    <n v="0"/>
    <x v="1"/>
    <x v="0"/>
    <x v="656"/>
    <n v="657000"/>
    <x v="0"/>
  </r>
  <r>
    <x v="4"/>
    <x v="12"/>
    <s v="DrawingMaterials"/>
    <s v="DrawingMedia"/>
    <x v="293"/>
    <n v="100"/>
    <s v="&lt;₹200"/>
    <n v="0.1"/>
    <x v="1"/>
    <x v="5"/>
    <x v="657"/>
    <n v="1071800"/>
    <x v="0"/>
  </r>
  <r>
    <x v="1"/>
    <x v="5"/>
    <s v="MobileAccessories"/>
    <s v="StylusPens"/>
    <x v="312"/>
    <n v="5999"/>
    <s v="&gt;₹500"/>
    <n v="0.66"/>
    <x v="0"/>
    <x v="0"/>
    <x v="658"/>
    <n v="37391767"/>
    <x v="0"/>
  </r>
  <r>
    <x v="0"/>
    <x v="0"/>
    <s v="PCGamingPeripherals"/>
    <s v="GamingMice"/>
    <x v="268"/>
    <n v="1995"/>
    <s v="&gt;₹500"/>
    <n v="0.25"/>
    <x v="1"/>
    <x v="6"/>
    <x v="659"/>
    <n v="21029295"/>
    <x v="0"/>
  </r>
  <r>
    <x v="1"/>
    <x v="3"/>
    <s v="Speakers"/>
    <s v="BluetoothSpeakers"/>
    <x v="25"/>
    <n v="1199"/>
    <s v="&gt;₹500"/>
    <n v="0.25"/>
    <x v="1"/>
    <x v="11"/>
    <x v="660"/>
    <n v="12890449"/>
    <x v="0"/>
  </r>
  <r>
    <x v="0"/>
    <x v="0"/>
    <s v="Cables&amp;Accessories"/>
    <s v="Cables"/>
    <x v="12"/>
    <n v="999"/>
    <s v="&gt;₹500"/>
    <n v="0.65"/>
    <x v="0"/>
    <x v="2"/>
    <x v="661"/>
    <n v="816183"/>
    <x v="0"/>
  </r>
  <r>
    <x v="1"/>
    <x v="5"/>
    <s v="MobileAccessories"/>
    <s v="Chargers"/>
    <x v="313"/>
    <n v="2499"/>
    <s v="&gt;₹500"/>
    <n v="0.64"/>
    <x v="0"/>
    <x v="1"/>
    <x v="382"/>
    <n v="90923616"/>
    <x v="0"/>
  </r>
  <r>
    <x v="1"/>
    <x v="13"/>
    <s v="SecurityCameras"/>
    <s v="DomeCameras"/>
    <x v="314"/>
    <n v="3990"/>
    <s v="&gt;₹500"/>
    <n v="0.38"/>
    <x v="1"/>
    <x v="3"/>
    <x v="662"/>
    <n v="14387940"/>
    <x v="0"/>
  </r>
  <r>
    <x v="1"/>
    <x v="10"/>
    <m/>
    <m/>
    <x v="315"/>
    <n v="200"/>
    <s v="₹200–₹500"/>
    <n v="0.42"/>
    <x v="1"/>
    <x v="5"/>
    <x v="663"/>
    <n v="71400"/>
    <x v="0"/>
  </r>
  <r>
    <x v="4"/>
    <x v="12"/>
    <s v="PaintingMaterials"/>
    <s v="Paints"/>
    <x v="316"/>
    <n v="230"/>
    <s v="₹200–₹500"/>
    <n v="0.13"/>
    <x v="1"/>
    <x v="5"/>
    <x v="664"/>
    <n v="2339100"/>
    <x v="0"/>
  </r>
  <r>
    <x v="0"/>
    <x v="0"/>
    <s v="LaptopAccessories"/>
    <s v="LaptopChargers&amp;PowerSupplies"/>
    <x v="118"/>
    <n v="2796"/>
    <s v="&gt;₹500"/>
    <n v="0.55000000000000004"/>
    <x v="0"/>
    <x v="5"/>
    <x v="665"/>
    <n v="12856008"/>
    <x v="0"/>
  </r>
  <r>
    <x v="0"/>
    <x v="0"/>
    <s v="Audio&amp;VideoAccessories"/>
    <s v="PCHeadsets"/>
    <x v="37"/>
    <n v="999"/>
    <s v="&gt;₹500"/>
    <n v="0.35"/>
    <x v="1"/>
    <x v="12"/>
    <x v="301"/>
    <n v="7214778"/>
    <x v="0"/>
  </r>
  <r>
    <x v="0"/>
    <x v="0"/>
    <s v="PCGamingPeripherals"/>
    <s v="GamingKeyboards"/>
    <x v="317"/>
    <n v="3499"/>
    <s v="&gt;₹500"/>
    <n v="0.24"/>
    <x v="1"/>
    <x v="6"/>
    <x v="666"/>
    <n v="4447229"/>
    <x v="0"/>
  </r>
  <r>
    <x v="0"/>
    <x v="15"/>
    <s v="Inks,Toners&amp;Cartridges"/>
    <s v="InkjetInkCartridges"/>
    <x v="318"/>
    <n v="723"/>
    <s v="&gt;₹500"/>
    <n v="0.18"/>
    <x v="1"/>
    <x v="5"/>
    <x v="667"/>
    <n v="2327337"/>
    <x v="0"/>
  </r>
  <r>
    <x v="1"/>
    <x v="4"/>
    <s v="SmartWatches"/>
    <m/>
    <x v="209"/>
    <n v="5999"/>
    <s v="&gt;₹500"/>
    <n v="0.57999999999999996"/>
    <x v="0"/>
    <x v="3"/>
    <x v="369"/>
    <n v="233235121"/>
    <x v="0"/>
  </r>
  <r>
    <x v="1"/>
    <x v="3"/>
    <s v="Speakers"/>
    <s v="SoundbarSpeakers"/>
    <x v="208"/>
    <n v="12499"/>
    <s v="&gt;₹500"/>
    <n v="0.6"/>
    <x v="0"/>
    <x v="0"/>
    <x v="668"/>
    <n v="56757959"/>
    <x v="0"/>
  </r>
  <r>
    <x v="1"/>
    <x v="7"/>
    <s v="Headphones"/>
    <s v="In-Ear"/>
    <x v="0"/>
    <n v="1290"/>
    <s v="&gt;₹500"/>
    <n v="0.69"/>
    <x v="0"/>
    <x v="0"/>
    <x v="669"/>
    <n v="98094180"/>
    <x v="0"/>
  </r>
  <r>
    <x v="1"/>
    <x v="10"/>
    <m/>
    <m/>
    <x v="315"/>
    <n v="200"/>
    <s v="₹200–₹500"/>
    <n v="0.42"/>
    <x v="1"/>
    <x v="4"/>
    <x v="670"/>
    <n v="97000"/>
    <x v="0"/>
  </r>
  <r>
    <x v="1"/>
    <x v="13"/>
    <s v="SecurityCameras"/>
    <s v="DomeCameras"/>
    <x v="206"/>
    <n v="5999"/>
    <s v="&gt;₹500"/>
    <n v="0.25"/>
    <x v="1"/>
    <x v="4"/>
    <x v="671"/>
    <n v="268131304"/>
    <x v="0"/>
  </r>
  <r>
    <x v="0"/>
    <x v="0"/>
    <s v="USBHubs"/>
    <m/>
    <x v="319"/>
    <n v="499"/>
    <s v="₹200–₹500"/>
    <n v="0.34"/>
    <x v="1"/>
    <x v="7"/>
    <x v="672"/>
    <n v="4274434"/>
    <x v="0"/>
  </r>
  <r>
    <x v="1"/>
    <x v="7"/>
    <s v="Headphones"/>
    <s v="Over-Ear"/>
    <x v="37"/>
    <n v="2499"/>
    <s v="&gt;₹500"/>
    <n v="0.74"/>
    <x v="0"/>
    <x v="2"/>
    <x v="673"/>
    <n v="32609451"/>
    <x v="0"/>
  </r>
  <r>
    <x v="0"/>
    <x v="0"/>
    <s v="TabletAccessories"/>
    <s v="ScreenProtectors"/>
    <x v="320"/>
    <n v="1599"/>
    <s v="&gt;₹500"/>
    <n v="0.23"/>
    <x v="1"/>
    <x v="6"/>
    <x v="674"/>
    <n v="26671320"/>
    <x v="0"/>
  </r>
  <r>
    <x v="1"/>
    <x v="7"/>
    <s v="Headphones"/>
    <s v="On-Ear"/>
    <x v="92"/>
    <n v="2990"/>
    <s v="&gt;₹500"/>
    <n v="0.53"/>
    <x v="0"/>
    <x v="3"/>
    <x v="675"/>
    <n v="290550260"/>
    <x v="0"/>
  </r>
  <r>
    <x v="3"/>
    <x v="11"/>
    <s v="Paper"/>
    <s v="Stationery"/>
    <x v="321"/>
    <n v="320"/>
    <s v="₹200–₹500"/>
    <n v="0.15"/>
    <x v="1"/>
    <x v="1"/>
    <x v="676"/>
    <n v="1179520"/>
    <x v="0"/>
  </r>
  <r>
    <x v="1"/>
    <x v="7"/>
    <s v="Earpads"/>
    <m/>
    <x v="24"/>
    <n v="999"/>
    <s v="&gt;₹500"/>
    <n v="0.9"/>
    <x v="0"/>
    <x v="11"/>
    <x v="677"/>
    <n v="593406"/>
    <x v="0"/>
  </r>
  <r>
    <x v="0"/>
    <x v="15"/>
    <s v="Printers"/>
    <s v="InkjetPrinters"/>
    <x v="322"/>
    <n v="3875"/>
    <s v="&gt;₹500"/>
    <n v="0.1"/>
    <x v="1"/>
    <x v="10"/>
    <x v="678"/>
    <n v="47216875"/>
    <x v="0"/>
  </r>
  <r>
    <x v="0"/>
    <x v="16"/>
    <m/>
    <m/>
    <x v="323"/>
    <n v="19110"/>
    <s v="&gt;₹500"/>
    <n v="0.47"/>
    <x v="1"/>
    <x v="4"/>
    <x v="679"/>
    <n v="50125530"/>
    <x v="0"/>
  </r>
  <r>
    <x v="0"/>
    <x v="0"/>
    <s v="LaptopAccessories"/>
    <s v="Bags&amp;Sleeves"/>
    <x v="63"/>
    <n v="999"/>
    <s v="&gt;₹500"/>
    <n v="0.55000000000000004"/>
    <x v="0"/>
    <x v="4"/>
    <x v="680"/>
    <n v="9691299"/>
    <x v="0"/>
  </r>
  <r>
    <x v="6"/>
    <x v="19"/>
    <s v="Drawing&amp;PaintingSupplies"/>
    <s v="ColouringPens&amp;Markers"/>
    <x v="221"/>
    <n v="150"/>
    <s v="&lt;₹200"/>
    <n v="0"/>
    <x v="1"/>
    <x v="4"/>
    <x v="681"/>
    <n v="2380050"/>
    <x v="0"/>
  </r>
  <r>
    <x v="0"/>
    <x v="1"/>
    <s v="Routers"/>
    <m/>
    <x v="33"/>
    <n v="2999"/>
    <s v="&gt;₹500"/>
    <n v="0.6"/>
    <x v="0"/>
    <x v="3"/>
    <x v="682"/>
    <n v="32164275"/>
    <x v="0"/>
  </r>
  <r>
    <x v="0"/>
    <x v="0"/>
    <s v="HardDiskBags"/>
    <m/>
    <x v="324"/>
    <n v="899"/>
    <s v="&gt;₹500"/>
    <n v="0.56000000000000005"/>
    <x v="0"/>
    <x v="1"/>
    <x v="683"/>
    <n v="2719475"/>
    <x v="0"/>
  </r>
  <r>
    <x v="0"/>
    <x v="0"/>
    <s v="PCGamingPeripherals"/>
    <s v="Gamepads"/>
    <x v="154"/>
    <n v="1490"/>
    <s v="&gt;₹500"/>
    <n v="0.53"/>
    <x v="0"/>
    <x v="1"/>
    <x v="684"/>
    <n v="8546640"/>
    <x v="0"/>
  </r>
  <r>
    <x v="1"/>
    <x v="7"/>
    <s v="Headphones"/>
    <s v="In-Ear"/>
    <x v="325"/>
    <n v="1999"/>
    <s v="&gt;₹500"/>
    <n v="0.16"/>
    <x v="1"/>
    <x v="3"/>
    <x v="685"/>
    <n v="145053437"/>
    <x v="0"/>
  </r>
  <r>
    <x v="0"/>
    <x v="0"/>
    <s v="Keyboards,Mice&amp;InputDevices"/>
    <s v="GraphicTablets"/>
    <x v="326"/>
    <n v="1500"/>
    <s v="&gt;₹500"/>
    <n v="0.76"/>
    <x v="0"/>
    <x v="1"/>
    <x v="686"/>
    <n v="1539000"/>
    <x v="0"/>
  </r>
  <r>
    <x v="0"/>
    <x v="0"/>
    <s v="PCGamingPeripherals"/>
    <s v="Headsets"/>
    <x v="33"/>
    <n v="5499"/>
    <s v="&gt;₹500"/>
    <n v="0.78"/>
    <x v="0"/>
    <x v="11"/>
    <x v="687"/>
    <n v="11234457"/>
    <x v="0"/>
  </r>
  <r>
    <x v="0"/>
    <x v="0"/>
    <s v="TabletAccessories"/>
    <s v="ScreenProtectors"/>
    <x v="97"/>
    <n v="1499"/>
    <s v="&gt;₹500"/>
    <n v="0.75"/>
    <x v="0"/>
    <x v="0"/>
    <x v="688"/>
    <n v="6219351"/>
    <x v="0"/>
  </r>
  <r>
    <x v="0"/>
    <x v="8"/>
    <s v="ExternalHardDisks"/>
    <m/>
    <x v="7"/>
    <n v="775"/>
    <s v="&gt;₹500"/>
    <n v="0.36"/>
    <x v="1"/>
    <x v="4"/>
    <x v="689"/>
    <n v="57350"/>
    <x v="0"/>
  </r>
  <r>
    <x v="0"/>
    <x v="8"/>
    <s v="ExternalSolidStateDrives"/>
    <m/>
    <x v="327"/>
    <n v="32000"/>
    <s v="&gt;₹500"/>
    <n v="0.68"/>
    <x v="0"/>
    <x v="5"/>
    <x v="690"/>
    <n v="1324736000"/>
    <x v="0"/>
  </r>
  <r>
    <x v="0"/>
    <x v="0"/>
    <s v="Audio&amp;VideoAccessories"/>
    <s v="PCSpeakers"/>
    <x v="37"/>
    <n v="1300"/>
    <s v="&gt;₹500"/>
    <n v="0.5"/>
    <x v="0"/>
    <x v="3"/>
    <x v="691"/>
    <n v="6753500"/>
    <x v="0"/>
  </r>
  <r>
    <x v="0"/>
    <x v="1"/>
    <s v="NetworkAdapters"/>
    <s v="PowerLANAdapters"/>
    <x v="33"/>
    <n v="1999"/>
    <s v="&gt;₹500"/>
    <n v="0.4"/>
    <x v="1"/>
    <x v="6"/>
    <x v="78"/>
    <n v="44817580"/>
    <x v="0"/>
  </r>
  <r>
    <x v="1"/>
    <x v="7"/>
    <s v="Headphones"/>
    <s v="In-Ear"/>
    <x v="243"/>
    <n v="1999"/>
    <s v="&gt;₹500"/>
    <n v="0.56000000000000005"/>
    <x v="0"/>
    <x v="0"/>
    <x v="692"/>
    <n v="4565716"/>
    <x v="0"/>
  </r>
  <r>
    <x v="0"/>
    <x v="0"/>
    <s v="Keyboards,Mice&amp;InputDevices"/>
    <s v="Keyboard&amp;MouseSets"/>
    <x v="328"/>
    <n v="2199"/>
    <s v="&gt;₹500"/>
    <n v="0.36"/>
    <x v="1"/>
    <x v="2"/>
    <x v="693"/>
    <n v="938973"/>
    <x v="0"/>
  </r>
  <r>
    <x v="0"/>
    <x v="15"/>
    <s v="Inks,Toners&amp;Cartridges"/>
    <s v="InkjetInkRefills&amp;Kits"/>
    <x v="125"/>
    <n v="1999"/>
    <s v="&gt;₹500"/>
    <n v="0.73"/>
    <x v="0"/>
    <x v="4"/>
    <x v="694"/>
    <n v="2732633"/>
    <x v="0"/>
  </r>
  <r>
    <x v="0"/>
    <x v="0"/>
    <s v="PCGamingPeripherals"/>
    <s v="Headsets"/>
    <x v="81"/>
    <n v="1799"/>
    <s v="&gt;₹500"/>
    <n v="0.57999999999999996"/>
    <x v="0"/>
    <x v="1"/>
    <x v="695"/>
    <n v="23745001"/>
    <x v="0"/>
  </r>
  <r>
    <x v="0"/>
    <x v="0"/>
    <s v="Cables&amp;Accessories"/>
    <s v="Cables"/>
    <x v="97"/>
    <n v="1099"/>
    <s v="&gt;₹500"/>
    <n v="0.66"/>
    <x v="0"/>
    <x v="4"/>
    <x v="84"/>
    <n v="3083794"/>
    <x v="0"/>
  </r>
  <r>
    <x v="1"/>
    <x v="4"/>
    <s v="SmartWatches"/>
    <m/>
    <x v="329"/>
    <n v="7999"/>
    <s v="&gt;₹500"/>
    <n v="0.25"/>
    <x v="1"/>
    <x v="0"/>
    <x v="696"/>
    <n v="242809645"/>
    <x v="0"/>
  </r>
  <r>
    <x v="0"/>
    <x v="0"/>
    <s v="LaptopAccessories"/>
    <s v="Bags&amp;Sleeves"/>
    <x v="8"/>
    <n v="1499"/>
    <s v="&gt;₹500"/>
    <n v="0.8"/>
    <x v="0"/>
    <x v="0"/>
    <x v="697"/>
    <n v="4299132"/>
    <x v="0"/>
  </r>
  <r>
    <x v="0"/>
    <x v="0"/>
    <s v="TabletAccessories"/>
    <s v="ScreenProtectors"/>
    <x v="97"/>
    <n v="1499"/>
    <s v="&gt;₹500"/>
    <n v="0.75"/>
    <x v="0"/>
    <x v="3"/>
    <x v="698"/>
    <n v="1004330"/>
    <x v="0"/>
  </r>
  <r>
    <x v="3"/>
    <x v="11"/>
    <s v="Paper"/>
    <s v="Stationery"/>
    <x v="92"/>
    <n v="2999"/>
    <s v="&gt;₹500"/>
    <n v="0.53"/>
    <x v="0"/>
    <x v="4"/>
    <x v="699"/>
    <n v="10586470"/>
    <x v="0"/>
  </r>
  <r>
    <x v="1"/>
    <x v="13"/>
    <s v="Accessories"/>
    <s v="PhotoStudio&amp;Lighting"/>
    <x v="154"/>
    <n v="1299"/>
    <s v="&gt;₹500"/>
    <n v="0.46"/>
    <x v="1"/>
    <x v="4"/>
    <x v="700"/>
    <n v="8031717"/>
    <x v="0"/>
  </r>
  <r>
    <x v="3"/>
    <x v="11"/>
    <s v="Paper"/>
    <s v="Stationery"/>
    <x v="330"/>
    <n v="300"/>
    <s v="₹200–₹500"/>
    <n v="0"/>
    <x v="1"/>
    <x v="0"/>
    <x v="701"/>
    <n v="125700"/>
    <x v="0"/>
  </r>
  <r>
    <x v="0"/>
    <x v="0"/>
    <s v="Keyboards,Mice&amp;InputDevices"/>
    <s v="Keyboard&amp;MiceAccessories"/>
    <x v="29"/>
    <n v="1995"/>
    <s v="&gt;₹500"/>
    <n v="0.5"/>
    <x v="0"/>
    <x v="6"/>
    <x v="702"/>
    <n v="14597415"/>
    <x v="0"/>
  </r>
  <r>
    <x v="3"/>
    <x v="14"/>
    <s v="Calculators"/>
    <s v="Financial&amp;Business"/>
    <x v="331"/>
    <n v="535"/>
    <s v="&gt;₹500"/>
    <n v="0"/>
    <x v="1"/>
    <x v="5"/>
    <x v="491"/>
    <n v="2367910"/>
    <x v="0"/>
  </r>
  <r>
    <x v="1"/>
    <x v="2"/>
    <s v="Televisions"/>
    <s v="SmartTelevisions"/>
    <x v="13"/>
    <n v="24999"/>
    <s v="&gt;₹500"/>
    <n v="0.44"/>
    <x v="1"/>
    <x v="0"/>
    <x v="703"/>
    <n v="1130879763"/>
    <x v="0"/>
  </r>
  <r>
    <x v="0"/>
    <x v="0"/>
    <s v="LaptopAccessories"/>
    <s v="Bags&amp;Sleeves"/>
    <x v="54"/>
    <n v="1099"/>
    <s v="&gt;₹500"/>
    <n v="0.76"/>
    <x v="0"/>
    <x v="3"/>
    <x v="704"/>
    <n v="1200108"/>
    <x v="0"/>
  </r>
  <r>
    <x v="3"/>
    <x v="11"/>
    <s v="Paper"/>
    <s v="Stationery"/>
    <x v="332"/>
    <n v="450"/>
    <s v="₹200–₹500"/>
    <n v="0.24"/>
    <x v="1"/>
    <x v="4"/>
    <x v="705"/>
    <n v="1121850"/>
    <x v="0"/>
  </r>
  <r>
    <x v="0"/>
    <x v="1"/>
    <s v="Routers"/>
    <m/>
    <x v="209"/>
    <n v="3999"/>
    <s v="&gt;₹500"/>
    <n v="0.38"/>
    <x v="1"/>
    <x v="5"/>
    <x v="706"/>
    <n v="50703321"/>
    <x v="0"/>
  </r>
  <r>
    <x v="0"/>
    <x v="15"/>
    <s v="Printers"/>
    <m/>
    <x v="333"/>
    <n v="7005"/>
    <s v="&gt;₹500"/>
    <n v="0.16"/>
    <x v="1"/>
    <x v="9"/>
    <x v="707"/>
    <n v="29413995"/>
    <x v="0"/>
  </r>
  <r>
    <x v="1"/>
    <x v="5"/>
    <s v="MobileAccessories"/>
    <s v="Chargers"/>
    <x v="154"/>
    <n v="1199"/>
    <s v="&gt;₹500"/>
    <n v="0.42"/>
    <x v="1"/>
    <x v="1"/>
    <x v="708"/>
    <n v="17269197"/>
    <x v="0"/>
  </r>
  <r>
    <x v="0"/>
    <x v="1"/>
    <s v="Routers"/>
    <m/>
    <x v="334"/>
    <n v="2999"/>
    <s v="&gt;₹500"/>
    <n v="0.48"/>
    <x v="1"/>
    <x v="1"/>
    <x v="709"/>
    <n v="33327887"/>
    <x v="0"/>
  </r>
  <r>
    <x v="1"/>
    <x v="13"/>
    <s v="Accessories"/>
    <s v="Tripods&amp;Monopods"/>
    <x v="335"/>
    <n v="799"/>
    <s v="&gt;₹500"/>
    <n v="0.59"/>
    <x v="0"/>
    <x v="5"/>
    <x v="710"/>
    <n v="8607627"/>
    <x v="0"/>
  </r>
  <r>
    <x v="0"/>
    <x v="8"/>
    <s v="ExternalHardDisks"/>
    <m/>
    <x v="336"/>
    <n v="999"/>
    <s v="&gt;₹500"/>
    <n v="0.34"/>
    <x v="1"/>
    <x v="4"/>
    <x v="711"/>
    <n v="13930056"/>
    <x v="0"/>
  </r>
  <r>
    <x v="0"/>
    <x v="0"/>
    <s v="PCGamingPeripherals"/>
    <s v="GamingMice"/>
    <x v="337"/>
    <n v="2895"/>
    <s v="&gt;₹500"/>
    <n v="0.31"/>
    <x v="1"/>
    <x v="13"/>
    <x v="712"/>
    <n v="31150200"/>
    <x v="0"/>
  </r>
  <r>
    <x v="1"/>
    <x v="10"/>
    <m/>
    <m/>
    <x v="338"/>
    <n v="1500"/>
    <s v="&gt;₹500"/>
    <n v="0"/>
    <x v="1"/>
    <x v="5"/>
    <x v="713"/>
    <n v="38994000"/>
    <x v="0"/>
  </r>
  <r>
    <x v="0"/>
    <x v="0"/>
    <s v="Keyboards,Mice&amp;InputDevices"/>
    <s v="Keyboards"/>
    <x v="339"/>
    <n v="3195"/>
    <s v="&gt;₹500"/>
    <n v="0.17"/>
    <x v="1"/>
    <x v="6"/>
    <x v="714"/>
    <n v="51586470"/>
    <x v="0"/>
  </r>
  <r>
    <x v="0"/>
    <x v="15"/>
    <s v="Printers"/>
    <m/>
    <x v="340"/>
    <n v="6355"/>
    <s v="&gt;₹500"/>
    <n v="0.17"/>
    <x v="1"/>
    <x v="2"/>
    <x v="715"/>
    <n v="52619400"/>
    <x v="0"/>
  </r>
  <r>
    <x v="0"/>
    <x v="0"/>
    <s v="PCGamingPeripherals"/>
    <s v="Headsets"/>
    <x v="135"/>
    <n v="2999"/>
    <s v="&gt;₹500"/>
    <n v="0.34"/>
    <x v="1"/>
    <x v="4"/>
    <x v="716"/>
    <n v="42696763"/>
    <x v="0"/>
  </r>
  <r>
    <x v="1"/>
    <x v="20"/>
    <s v="SurgeProtectors"/>
    <m/>
    <x v="145"/>
    <n v="1499"/>
    <s v="&gt;₹500"/>
    <n v="0.14000000000000001"/>
    <x v="1"/>
    <x v="6"/>
    <x v="717"/>
    <n v="30981332"/>
    <x v="0"/>
  </r>
  <r>
    <x v="3"/>
    <x v="11"/>
    <s v="Paper"/>
    <s v="Stationery"/>
    <x v="341"/>
    <n v="165"/>
    <s v="&lt;₹200"/>
    <n v="0"/>
    <x v="1"/>
    <x v="6"/>
    <x v="718"/>
    <n v="276210"/>
    <x v="0"/>
  </r>
  <r>
    <x v="0"/>
    <x v="0"/>
    <s v="LaptopAccessories"/>
    <s v="LaptopChargers&amp;PowerSupplies"/>
    <x v="79"/>
    <n v="3499"/>
    <s v="&gt;₹500"/>
    <n v="0.51"/>
    <x v="0"/>
    <x v="9"/>
    <x v="719"/>
    <n v="26903811"/>
    <x v="0"/>
  </r>
  <r>
    <x v="1"/>
    <x v="13"/>
    <s v="SecurityCameras"/>
    <s v="DomeCameras"/>
    <x v="136"/>
    <n v="7500"/>
    <s v="&gt;₹500"/>
    <n v="0.69"/>
    <x v="0"/>
    <x v="3"/>
    <x v="720"/>
    <n v="41655000"/>
    <x v="0"/>
  </r>
  <r>
    <x v="0"/>
    <x v="0"/>
    <s v="USBGadgets"/>
    <s v="Lamps"/>
    <x v="242"/>
    <n v="39"/>
    <s v="&lt;₹200"/>
    <n v="0"/>
    <x v="1"/>
    <x v="11"/>
    <x v="721"/>
    <n v="130416"/>
    <x v="0"/>
  </r>
  <r>
    <x v="0"/>
    <x v="21"/>
    <m/>
    <m/>
    <x v="45"/>
    <n v="37999"/>
    <s v="&gt;₹500"/>
    <n v="0.28999999999999998"/>
    <x v="1"/>
    <x v="13"/>
    <x v="722"/>
    <n v="109665114"/>
    <x v="0"/>
  </r>
  <r>
    <x v="1"/>
    <x v="7"/>
    <s v="Headphones"/>
    <s v="In-Ear"/>
    <x v="302"/>
    <n v="1990"/>
    <s v="&gt;₹500"/>
    <n v="0.25"/>
    <x v="1"/>
    <x v="3"/>
    <x v="723"/>
    <n v="195517500"/>
    <x v="0"/>
  </r>
  <r>
    <x v="0"/>
    <x v="0"/>
    <s v="LaptopAccessories"/>
    <s v="Lapdesks"/>
    <x v="342"/>
    <n v="1949"/>
    <s v="&gt;₹500"/>
    <n v="0.8"/>
    <x v="0"/>
    <x v="1"/>
    <x v="724"/>
    <n v="146175"/>
    <x v="0"/>
  </r>
  <r>
    <x v="0"/>
    <x v="0"/>
    <s v="LaptopAccessories"/>
    <s v="LaptopChargers&amp;PowerSupplies"/>
    <x v="343"/>
    <n v="1547"/>
    <s v="&gt;₹500"/>
    <n v="0.5"/>
    <x v="0"/>
    <x v="4"/>
    <x v="725"/>
    <n v="3998995"/>
    <x v="0"/>
  </r>
  <r>
    <x v="1"/>
    <x v="5"/>
    <s v="MobileAccessories"/>
    <s v="Stands"/>
    <x v="17"/>
    <n v="1299"/>
    <s v="&gt;₹500"/>
    <n v="0.79"/>
    <x v="0"/>
    <x v="1"/>
    <x v="726"/>
    <n v="6588528"/>
    <x v="0"/>
  </r>
  <r>
    <x v="5"/>
    <x v="18"/>
    <s v="CordManagement"/>
    <m/>
    <x v="14"/>
    <n v="599"/>
    <s v="&gt;₹500"/>
    <n v="0.57999999999999996"/>
    <x v="0"/>
    <x v="6"/>
    <x v="727"/>
    <n v="3585015"/>
    <x v="0"/>
  </r>
  <r>
    <x v="4"/>
    <x v="12"/>
    <s v="PaintingMaterials"/>
    <m/>
    <x v="36"/>
    <n v="230"/>
    <s v="₹200–₹500"/>
    <n v="0"/>
    <x v="1"/>
    <x v="6"/>
    <x v="728"/>
    <n v="2168210"/>
    <x v="0"/>
  </r>
  <r>
    <x v="0"/>
    <x v="0"/>
    <s v="PCGamingPeripherals"/>
    <s v="GamingMice"/>
    <x v="23"/>
    <n v="700"/>
    <s v="&gt;₹500"/>
    <n v="0.14000000000000001"/>
    <x v="1"/>
    <x v="4"/>
    <x v="729"/>
    <n v="1610700"/>
    <x v="0"/>
  </r>
  <r>
    <x v="0"/>
    <x v="15"/>
    <s v="Inks,Toners&amp;Cartridges"/>
    <s v="TonerCartridges"/>
    <x v="120"/>
    <n v="1150"/>
    <s v="&gt;₹500"/>
    <n v="0.48"/>
    <x v="1"/>
    <x v="3"/>
    <x v="730"/>
    <n v="2915250"/>
    <x v="0"/>
  </r>
  <r>
    <x v="0"/>
    <x v="0"/>
    <s v="TabletAccessories"/>
    <s v="ScreenProtectors"/>
    <x v="0"/>
    <n v="1499"/>
    <s v="&gt;₹500"/>
    <n v="0.73"/>
    <x v="0"/>
    <x v="1"/>
    <x v="731"/>
    <n v="1035809"/>
    <x v="0"/>
  </r>
  <r>
    <x v="0"/>
    <x v="0"/>
    <s v="LaptopAccessories"/>
    <s v="Lapdesks"/>
    <x v="7"/>
    <n v="1299"/>
    <s v="&gt;₹500"/>
    <n v="0.62"/>
    <x v="0"/>
    <x v="3"/>
    <x v="732"/>
    <n v="3559260"/>
    <x v="0"/>
  </r>
  <r>
    <x v="0"/>
    <x v="0"/>
    <s v="Keyboards,Mice&amp;InputDevices"/>
    <s v="Mice"/>
    <x v="266"/>
    <n v="1090"/>
    <s v="&gt;₹500"/>
    <n v="0.47"/>
    <x v="1"/>
    <x v="5"/>
    <x v="733"/>
    <n v="3795380"/>
    <x v="0"/>
  </r>
  <r>
    <x v="3"/>
    <x v="11"/>
    <s v="Paper"/>
    <s v="Stationery"/>
    <x v="293"/>
    <n v="100"/>
    <s v="&lt;₹200"/>
    <n v="0.1"/>
    <x v="1"/>
    <x v="3"/>
    <x v="734"/>
    <n v="619900"/>
    <x v="0"/>
  </r>
  <r>
    <x v="0"/>
    <x v="0"/>
    <s v="LaptopAccessories"/>
    <s v="Lapdesks"/>
    <x v="25"/>
    <n v="1999"/>
    <s v="&gt;₹500"/>
    <n v="0.55000000000000004"/>
    <x v="0"/>
    <x v="5"/>
    <x v="735"/>
    <n v="3332333"/>
    <x v="0"/>
  </r>
  <r>
    <x v="0"/>
    <x v="0"/>
    <s v="PCGamingPeripherals"/>
    <s v="GamingKeyboards"/>
    <x v="176"/>
    <n v="1800"/>
    <s v="&gt;₹500"/>
    <n v="0.36"/>
    <x v="1"/>
    <x v="4"/>
    <x v="736"/>
    <n v="8501400"/>
    <x v="0"/>
  </r>
  <r>
    <x v="0"/>
    <x v="0"/>
    <s v="LaptopAccessories"/>
    <s v="Bags&amp;Sleeves"/>
    <x v="14"/>
    <n v="499"/>
    <s v="₹200–₹500"/>
    <n v="0.5"/>
    <x v="0"/>
    <x v="0"/>
    <x v="737"/>
    <n v="11407140"/>
    <x v="0"/>
  </r>
  <r>
    <x v="0"/>
    <x v="0"/>
    <s v="USBGadgets"/>
    <s v="Lamps"/>
    <x v="242"/>
    <n v="39"/>
    <s v="&lt;₹200"/>
    <n v="0"/>
    <x v="1"/>
    <x v="9"/>
    <x v="738"/>
    <n v="529308"/>
    <x v="0"/>
  </r>
  <r>
    <x v="0"/>
    <x v="1"/>
    <s v="Repeaters&amp;Extenders"/>
    <m/>
    <x v="44"/>
    <n v="3599"/>
    <s v="&gt;₹500"/>
    <n v="0.56000000000000005"/>
    <x v="0"/>
    <x v="0"/>
    <x v="739"/>
    <n v="58239018"/>
    <x v="0"/>
  </r>
  <r>
    <x v="1"/>
    <x v="3"/>
    <s v="Speakers"/>
    <s v="BluetoothSpeakers"/>
    <x v="33"/>
    <n v="3990"/>
    <s v="&gt;₹500"/>
    <n v="0.7"/>
    <x v="0"/>
    <x v="0"/>
    <x v="740"/>
    <n v="11602920"/>
    <x v="0"/>
  </r>
  <r>
    <x v="0"/>
    <x v="0"/>
    <s v="Keyboards,Mice&amp;InputDevices"/>
    <s v="Mice"/>
    <x v="59"/>
    <n v="1499"/>
    <s v="&gt;₹500"/>
    <n v="0.27"/>
    <x v="1"/>
    <x v="0"/>
    <x v="741"/>
    <n v="3560125"/>
    <x v="0"/>
  </r>
  <r>
    <x v="3"/>
    <x v="11"/>
    <s v="Paper"/>
    <s v="Stationery"/>
    <x v="218"/>
    <n v="120"/>
    <s v="&lt;₹200"/>
    <n v="0"/>
    <x v="1"/>
    <x v="6"/>
    <x v="742"/>
    <n v="594120"/>
    <x v="0"/>
  </r>
  <r>
    <x v="0"/>
    <x v="0"/>
    <s v="PCGamingPeripherals"/>
    <s v="GamingKeyboards"/>
    <x v="164"/>
    <n v="3499"/>
    <s v="&gt;₹500"/>
    <n v="0.56999999999999995"/>
    <x v="0"/>
    <x v="4"/>
    <x v="743"/>
    <n v="1427592"/>
    <x v="0"/>
  </r>
  <r>
    <x v="3"/>
    <x v="11"/>
    <s v="Paper"/>
    <s v="Stationery"/>
    <x v="344"/>
    <n v="420"/>
    <s v="₹200–₹500"/>
    <n v="0"/>
    <x v="1"/>
    <x v="0"/>
    <x v="744"/>
    <n v="808920"/>
    <x v="0"/>
  </r>
  <r>
    <x v="3"/>
    <x v="11"/>
    <s v="Paper"/>
    <s v="Stationery"/>
    <x v="105"/>
    <n v="225"/>
    <s v="₹200–₹500"/>
    <n v="0"/>
    <x v="1"/>
    <x v="3"/>
    <x v="745"/>
    <n v="1079550"/>
    <x v="0"/>
  </r>
  <r>
    <x v="0"/>
    <x v="0"/>
    <s v="HardDriveAccessories"/>
    <s v="Caddies"/>
    <x v="1"/>
    <n v="799"/>
    <s v="&gt;₹500"/>
    <n v="0.75"/>
    <x v="0"/>
    <x v="3"/>
    <x v="746"/>
    <n v="5859067"/>
    <x v="0"/>
  </r>
  <r>
    <x v="0"/>
    <x v="15"/>
    <s v="Printers"/>
    <s v="InkjetPrinters"/>
    <x v="345"/>
    <n v="9625"/>
    <s v="&gt;₹500"/>
    <n v="0.13"/>
    <x v="1"/>
    <x v="11"/>
    <x v="747"/>
    <n v="35150500"/>
    <x v="0"/>
  </r>
  <r>
    <x v="0"/>
    <x v="17"/>
    <s v="InternalSolidStateDrives"/>
    <m/>
    <x v="346"/>
    <n v="6100"/>
    <s v="&gt;₹500"/>
    <n v="0.46"/>
    <x v="1"/>
    <x v="4"/>
    <x v="748"/>
    <n v="15341500"/>
    <x v="0"/>
  </r>
  <r>
    <x v="0"/>
    <x v="8"/>
    <s v="PenDrives"/>
    <m/>
    <x v="63"/>
    <n v="1300"/>
    <s v="&gt;₹500"/>
    <n v="0.65"/>
    <x v="0"/>
    <x v="0"/>
    <x v="749"/>
    <n v="6446700"/>
    <x v="0"/>
  </r>
  <r>
    <x v="1"/>
    <x v="10"/>
    <s v="DisposableBatteries"/>
    <m/>
    <x v="347"/>
    <n v="400"/>
    <s v="₹200–₹500"/>
    <n v="0.05"/>
    <x v="1"/>
    <x v="5"/>
    <x v="750"/>
    <n v="844400"/>
    <x v="0"/>
  </r>
  <r>
    <x v="0"/>
    <x v="0"/>
    <s v="Keyboards,Mice&amp;InputDevices"/>
    <s v="GraphicTablets"/>
    <x v="7"/>
    <n v="1399"/>
    <s v="&gt;₹500"/>
    <n v="0.64"/>
    <x v="0"/>
    <x v="2"/>
    <x v="751"/>
    <n v="2045338"/>
    <x v="0"/>
  </r>
  <r>
    <x v="0"/>
    <x v="22"/>
    <s v="TraditionalLaptops"/>
    <m/>
    <x v="348"/>
    <n v="59890"/>
    <s v="&gt;₹500"/>
    <n v="0.38"/>
    <x v="1"/>
    <x v="1"/>
    <x v="188"/>
    <n v="19344470"/>
    <x v="0"/>
  </r>
  <r>
    <x v="1"/>
    <x v="7"/>
    <s v="Headphones"/>
    <s v="On-Ear"/>
    <x v="61"/>
    <n v="2490"/>
    <s v="&gt;₹500"/>
    <n v="0.66"/>
    <x v="0"/>
    <x v="0"/>
    <x v="752"/>
    <n v="227058120"/>
    <x v="0"/>
  </r>
  <r>
    <x v="1"/>
    <x v="3"/>
    <s v="Speakers"/>
    <s v="OutdoorSpeakers"/>
    <x v="34"/>
    <n v="1999"/>
    <s v="&gt;₹500"/>
    <n v="0.6"/>
    <x v="0"/>
    <x v="7"/>
    <x v="753"/>
    <n v="835582"/>
    <x v="0"/>
  </r>
  <r>
    <x v="0"/>
    <x v="0"/>
    <s v="USBGadgets"/>
    <s v="Lamps"/>
    <x v="349"/>
    <n v="999"/>
    <s v="&gt;₹500"/>
    <n v="0.7"/>
    <x v="0"/>
    <x v="4"/>
    <x v="754"/>
    <n v="1550448"/>
    <x v="0"/>
  </r>
  <r>
    <x v="1"/>
    <x v="3"/>
    <s v="Speakers"/>
    <s v="OutdoorSpeakers"/>
    <x v="72"/>
    <n v="2999"/>
    <s v="&gt;₹500"/>
    <n v="0.5"/>
    <x v="0"/>
    <x v="3"/>
    <x v="755"/>
    <n v="75760738"/>
    <x v="0"/>
  </r>
  <r>
    <x v="4"/>
    <x v="23"/>
    <s v="SmallKitchenAppliances"/>
    <s v="Kettles&amp;HotWaterDispensers"/>
    <x v="37"/>
    <n v="1245"/>
    <s v="&gt;₹500"/>
    <n v="0.48"/>
    <x v="1"/>
    <x v="2"/>
    <x v="756"/>
    <n v="153589425"/>
    <x v="0"/>
  </r>
  <r>
    <x v="4"/>
    <x v="24"/>
    <s v="RoomHeaters"/>
    <s v="ElectricHeaters"/>
    <x v="33"/>
    <n v="1695"/>
    <s v="&gt;₹500"/>
    <n v="0.28999999999999998"/>
    <x v="1"/>
    <x v="9"/>
    <x v="757"/>
    <n v="22543500"/>
    <x v="0"/>
  </r>
  <r>
    <x v="4"/>
    <x v="24"/>
    <s v="RoomHeaters"/>
    <s v="FanHeaters"/>
    <x v="33"/>
    <n v="2000"/>
    <s v="&gt;₹500"/>
    <n v="0.4"/>
    <x v="1"/>
    <x v="1"/>
    <x v="758"/>
    <n v="37086000"/>
    <x v="0"/>
  </r>
  <r>
    <x v="4"/>
    <x v="23"/>
    <s v="Vacuum,Cleaning&amp;Ironing"/>
    <s v="Irons,Steamers&amp;Accessories"/>
    <x v="239"/>
    <n v="999"/>
    <s v="&gt;₹500"/>
    <n v="0.54"/>
    <x v="0"/>
    <x v="3"/>
    <x v="759"/>
    <n v="3574422"/>
    <x v="0"/>
  </r>
  <r>
    <x v="4"/>
    <x v="23"/>
    <s v="SmallKitchenAppliances"/>
    <s v="DigitalKitchenScales"/>
    <x v="1"/>
    <n v="1999"/>
    <s v="&gt;₹500"/>
    <n v="0.9"/>
    <x v="0"/>
    <x v="7"/>
    <x v="760"/>
    <n v="4059969"/>
    <x v="0"/>
  </r>
  <r>
    <x v="4"/>
    <x v="23"/>
    <s v="SmallKitchenAppliances"/>
    <s v="DigitalKitchenScales"/>
    <x v="350"/>
    <n v="499"/>
    <s v="₹200–₹500"/>
    <n v="0.41"/>
    <x v="1"/>
    <x v="2"/>
    <x v="761"/>
    <n v="22452006"/>
    <x v="0"/>
  </r>
  <r>
    <x v="4"/>
    <x v="25"/>
    <s v="KitchenTools"/>
    <s v="ManualChoppers&amp;Chippers"/>
    <x v="1"/>
    <n v="495"/>
    <s v="₹200–₹500"/>
    <n v="0.6"/>
    <x v="0"/>
    <x v="3"/>
    <x v="762"/>
    <n v="133928685"/>
    <x v="0"/>
  </r>
  <r>
    <x v="4"/>
    <x v="23"/>
    <s v="SmallKitchenAppliances"/>
    <s v="Kettles&amp;HotWaterDispensers"/>
    <x v="81"/>
    <n v="1245"/>
    <s v="&gt;₹500"/>
    <n v="0.4"/>
    <x v="1"/>
    <x v="2"/>
    <x v="763"/>
    <n v="39569835"/>
    <x v="0"/>
  </r>
  <r>
    <x v="4"/>
    <x v="24"/>
    <s v="RoomHeaters"/>
    <s v="ElectricHeaters"/>
    <x v="92"/>
    <n v="1549"/>
    <s v="&gt;₹500"/>
    <n v="0.1"/>
    <x v="1"/>
    <x v="2"/>
    <x v="764"/>
    <n v="4030498"/>
    <x v="0"/>
  </r>
  <r>
    <x v="4"/>
    <x v="23"/>
    <s v="SmallKitchenAppliances"/>
    <s v="Kettles&amp;HotWaterDispensers"/>
    <x v="81"/>
    <n v="1445"/>
    <s v="&gt;₹500"/>
    <n v="0.48"/>
    <x v="1"/>
    <x v="2"/>
    <x v="765"/>
    <n v="91540750"/>
    <x v="0"/>
  </r>
  <r>
    <x v="4"/>
    <x v="23"/>
    <s v="SmallKitchenAppliances"/>
    <s v="InductionCooktop"/>
    <x v="79"/>
    <n v="3193"/>
    <s v="&gt;₹500"/>
    <n v="0.47"/>
    <x v="1"/>
    <x v="11"/>
    <x v="766"/>
    <n v="172524176"/>
    <x v="0"/>
  </r>
  <r>
    <x v="4"/>
    <x v="23"/>
    <s v="SmallKitchenAppliances"/>
    <s v="Kettles&amp;HotWaterDispensers"/>
    <x v="351"/>
    <n v="1345"/>
    <s v="&gt;₹500"/>
    <n v="0.22"/>
    <x v="1"/>
    <x v="11"/>
    <x v="767"/>
    <n v="20971240"/>
    <x v="0"/>
  </r>
  <r>
    <x v="4"/>
    <x v="23"/>
    <s v="Vacuum,Cleaning&amp;Ironing"/>
    <s v="Irons,Steamers&amp;Accessories"/>
    <x v="7"/>
    <n v="999"/>
    <s v="&gt;₹500"/>
    <n v="0.5"/>
    <x v="0"/>
    <x v="3"/>
    <x v="768"/>
    <n v="4854141"/>
    <x v="0"/>
  </r>
  <r>
    <x v="4"/>
    <x v="24"/>
    <s v="RoomHeaters"/>
    <s v="FanHeaters"/>
    <x v="352"/>
    <n v="1650"/>
    <s v="&gt;₹500"/>
    <n v="0.11"/>
    <x v="1"/>
    <x v="3"/>
    <x v="769"/>
    <n v="23298000"/>
    <x v="0"/>
  </r>
  <r>
    <x v="4"/>
    <x v="23"/>
    <s v="SmallKitchenAppliances"/>
    <s v="HandBlenders"/>
    <x v="14"/>
    <n v="499"/>
    <s v="₹200–₹500"/>
    <n v="0.5"/>
    <x v="0"/>
    <x v="8"/>
    <x v="770"/>
    <n v="4205073"/>
    <x v="0"/>
  </r>
  <r>
    <x v="4"/>
    <x v="23"/>
    <s v="Vacuum,Cleaning&amp;Ironing"/>
    <s v="Irons,Steamers&amp;Accessories"/>
    <x v="353"/>
    <n v="1400"/>
    <s v="&gt;₹500"/>
    <n v="0.55000000000000004"/>
    <x v="0"/>
    <x v="0"/>
    <x v="771"/>
    <n v="32642400"/>
    <x v="0"/>
  </r>
  <r>
    <x v="4"/>
    <x v="23"/>
    <s v="SmallKitchenAppliances"/>
    <s v="MixerGrinders"/>
    <x v="354"/>
    <n v="2500"/>
    <s v="&gt;₹500"/>
    <n v="0.48"/>
    <x v="1"/>
    <x v="1"/>
    <x v="772"/>
    <n v="16325000"/>
    <x v="0"/>
  </r>
  <r>
    <x v="4"/>
    <x v="24"/>
    <s v="WaterHeaters&amp;Geysers"/>
    <s v="InstantWaterHeaters"/>
    <x v="355"/>
    <n v="6190"/>
    <s v="&gt;₹500"/>
    <n v="0.42"/>
    <x v="1"/>
    <x v="4"/>
    <x v="773"/>
    <n v="73809560"/>
    <x v="0"/>
  </r>
  <r>
    <x v="4"/>
    <x v="24"/>
    <s v="RoomHeaters"/>
    <m/>
    <x v="356"/>
    <n v="13999"/>
    <s v="&gt;₹500"/>
    <n v="0.53"/>
    <x v="0"/>
    <x v="1"/>
    <x v="774"/>
    <n v="41451039"/>
    <x v="0"/>
  </r>
  <r>
    <x v="4"/>
    <x v="23"/>
    <s v="SmallKitchenAppliances"/>
    <s v="Kettles&amp;HotWaterDispensers"/>
    <x v="357"/>
    <n v="2995"/>
    <s v="&gt;₹500"/>
    <n v="0.46"/>
    <x v="1"/>
    <x v="6"/>
    <x v="775"/>
    <n v="70334580"/>
    <x v="0"/>
  </r>
  <r>
    <x v="4"/>
    <x v="24"/>
    <s v="WaterHeaters&amp;Geysers"/>
    <s v="InstantWaterHeaters"/>
    <x v="213"/>
    <n v="5890"/>
    <s v="&gt;₹500"/>
    <n v="0.56000000000000005"/>
    <x v="0"/>
    <x v="3"/>
    <x v="776"/>
    <n v="128301870"/>
    <x v="0"/>
  </r>
  <r>
    <x v="4"/>
    <x v="23"/>
    <s v="SmallKitchenAppliances"/>
    <s v="Kettles&amp;HotWaterDispensers"/>
    <x v="33"/>
    <n v="2000"/>
    <s v="&gt;₹500"/>
    <n v="0.4"/>
    <x v="1"/>
    <x v="1"/>
    <x v="777"/>
    <n v="28060000"/>
    <x v="0"/>
  </r>
  <r>
    <x v="4"/>
    <x v="24"/>
    <s v="WaterHeaters&amp;Geysers"/>
    <s v="StorageWaterHeaters"/>
    <x v="358"/>
    <n v="13150"/>
    <s v="&gt;₹500"/>
    <n v="0.57999999999999996"/>
    <x v="0"/>
    <x v="0"/>
    <x v="778"/>
    <n v="84133700"/>
    <x v="0"/>
  </r>
  <r>
    <x v="4"/>
    <x v="23"/>
    <s v="SmallKitchenAppliances"/>
    <s v="MixerGrinders"/>
    <x v="69"/>
    <n v="3500"/>
    <s v="&gt;₹500"/>
    <n v="0.63"/>
    <x v="0"/>
    <x v="11"/>
    <x v="779"/>
    <n v="154175000"/>
    <x v="0"/>
  </r>
  <r>
    <x v="4"/>
    <x v="23"/>
    <s v="Vacuum,Cleaning&amp;Ironing"/>
    <s v="Irons,Steamers&amp;Accessories"/>
    <x v="23"/>
    <n v="785"/>
    <s v="&gt;₹500"/>
    <n v="0.24"/>
    <x v="1"/>
    <x v="0"/>
    <x v="780"/>
    <n v="19033895"/>
    <x v="0"/>
  </r>
  <r>
    <x v="4"/>
    <x v="23"/>
    <s v="SmallKitchenAppliances"/>
    <s v="MixerGrinders"/>
    <x v="168"/>
    <n v="3210"/>
    <s v="&gt;₹500"/>
    <n v="0.38"/>
    <x v="1"/>
    <x v="0"/>
    <x v="781"/>
    <n v="132730290"/>
    <x v="0"/>
  </r>
  <r>
    <x v="4"/>
    <x v="23"/>
    <s v="SmallKitchenAppliances"/>
    <s v="Kettles&amp;HotWaterDispensers"/>
    <x v="125"/>
    <n v="1000"/>
    <s v="&gt;₹500"/>
    <n v="0.45"/>
    <x v="1"/>
    <x v="9"/>
    <x v="782"/>
    <n v="1074000"/>
    <x v="0"/>
  </r>
  <r>
    <x v="4"/>
    <x v="24"/>
    <s v="RoomHeaters"/>
    <s v="ElectricHeaters"/>
    <x v="29"/>
    <n v="2000"/>
    <s v="&gt;₹500"/>
    <n v="0.5"/>
    <x v="0"/>
    <x v="11"/>
    <x v="783"/>
    <n v="2326000"/>
    <x v="0"/>
  </r>
  <r>
    <x v="4"/>
    <x v="23"/>
    <s v="Vacuum,Cleaning&amp;Ironing"/>
    <s v="Irons,Steamers&amp;Accessories"/>
    <x v="342"/>
    <n v="1999"/>
    <s v="&gt;₹500"/>
    <n v="0.8"/>
    <x v="0"/>
    <x v="3"/>
    <x v="784"/>
    <n v="513743"/>
    <x v="0"/>
  </r>
  <r>
    <x v="4"/>
    <x v="24"/>
    <s v="WaterHeaters&amp;Geysers"/>
    <s v="ImmersionRods"/>
    <x v="187"/>
    <n v="720"/>
    <s v="&gt;₹500"/>
    <n v="0.25"/>
    <x v="1"/>
    <x v="3"/>
    <x v="785"/>
    <n v="25932240"/>
    <x v="0"/>
  </r>
  <r>
    <x v="4"/>
    <x v="23"/>
    <s v="SmallKitchenAppliances"/>
    <s v="Kettles&amp;HotWaterDispensers"/>
    <x v="154"/>
    <n v="1595"/>
    <s v="&gt;₹500"/>
    <n v="0.56000000000000005"/>
    <x v="0"/>
    <x v="3"/>
    <x v="786"/>
    <n v="12903550"/>
    <x v="0"/>
  </r>
  <r>
    <x v="4"/>
    <x v="23"/>
    <s v="SmallKitchenAppliances"/>
    <s v="InductionCooktop"/>
    <x v="359"/>
    <n v="3645"/>
    <s v="&gt;₹500"/>
    <n v="0.41"/>
    <x v="1"/>
    <x v="3"/>
    <x v="787"/>
    <n v="114409260"/>
    <x v="0"/>
  </r>
  <r>
    <x v="4"/>
    <x v="23"/>
    <s v="SmallKitchenAppliances"/>
    <s v="DeepFatFryers"/>
    <x v="360"/>
    <n v="7950"/>
    <s v="&gt;₹500"/>
    <n v="0.55000000000000004"/>
    <x v="0"/>
    <x v="0"/>
    <x v="246"/>
    <n v="1081200"/>
    <x v="0"/>
  </r>
  <r>
    <x v="4"/>
    <x v="26"/>
    <s v="LaundryOrganization"/>
    <s v="LaundryBaskets"/>
    <x v="361"/>
    <n v="999"/>
    <s v="&gt;₹500"/>
    <n v="0.65"/>
    <x v="0"/>
    <x v="1"/>
    <x v="788"/>
    <n v="5374620"/>
    <x v="0"/>
  </r>
  <r>
    <x v="4"/>
    <x v="23"/>
    <s v="Vacuum,Cleaning&amp;Ironing"/>
    <s v="Irons,Steamers&amp;Accessories"/>
    <x v="362"/>
    <n v="1745"/>
    <s v="&gt;₹500"/>
    <n v="0.08"/>
    <x v="1"/>
    <x v="4"/>
    <x v="789"/>
    <n v="66264630"/>
    <x v="0"/>
  </r>
  <r>
    <x v="4"/>
    <x v="24"/>
    <s v="WaterHeaters&amp;Geysers"/>
    <s v="ImmersionRods"/>
    <x v="60"/>
    <n v="1295"/>
    <s v="&gt;₹500"/>
    <n v="0.44"/>
    <x v="1"/>
    <x v="0"/>
    <x v="790"/>
    <n v="22297310"/>
    <x v="0"/>
  </r>
  <r>
    <x v="4"/>
    <x v="23"/>
    <s v="Vacuum,Cleaning&amp;Ironing"/>
    <s v="Irons,Steamers&amp;Accessories"/>
    <x v="363"/>
    <n v="1499"/>
    <s v="&gt;₹500"/>
    <n v="0.55000000000000004"/>
    <x v="0"/>
    <x v="0"/>
    <x v="791"/>
    <n v="1349100"/>
    <x v="0"/>
  </r>
  <r>
    <x v="4"/>
    <x v="23"/>
    <s v="SmallKitchenAppliances"/>
    <s v="Kettles&amp;HotWaterDispensers"/>
    <x v="364"/>
    <n v="1545"/>
    <s v="&gt;₹500"/>
    <n v="0.48"/>
    <x v="1"/>
    <x v="7"/>
    <x v="792"/>
    <n v="1507920"/>
    <x v="0"/>
  </r>
  <r>
    <x v="4"/>
    <x v="23"/>
    <s v="SmallKitchenAppliances"/>
    <s v="JuicerMixerGrinders"/>
    <x v="365"/>
    <n v="5000"/>
    <s v="&gt;₹500"/>
    <n v="0.61"/>
    <x v="0"/>
    <x v="3"/>
    <x v="793"/>
    <n v="24635000"/>
    <x v="0"/>
  </r>
  <r>
    <x v="4"/>
    <x v="23"/>
    <s v="Vacuum,Cleaning&amp;Ironing"/>
    <s v="Irons,Steamers&amp;Accessories"/>
    <x v="302"/>
    <n v="1695"/>
    <s v="&gt;₹500"/>
    <n v="0.12"/>
    <x v="1"/>
    <x v="5"/>
    <x v="794"/>
    <n v="6005385"/>
    <x v="0"/>
  </r>
  <r>
    <x v="4"/>
    <x v="24"/>
    <s v="RoomHeaters"/>
    <s v="ElectricHeaters"/>
    <x v="209"/>
    <n v="3945"/>
    <s v="&gt;₹500"/>
    <n v="0.37"/>
    <x v="1"/>
    <x v="11"/>
    <x v="795"/>
    <n v="10777740"/>
    <x v="0"/>
  </r>
  <r>
    <x v="4"/>
    <x v="23"/>
    <s v="Vacuum,Cleaning&amp;Ironing"/>
    <s v="Vacuums&amp;FloorCare"/>
    <x v="366"/>
    <n v="2099"/>
    <s v="&gt;₹500"/>
    <n v="0.21"/>
    <x v="1"/>
    <x v="1"/>
    <x v="796"/>
    <n v="30158432"/>
    <x v="0"/>
  </r>
  <r>
    <x v="4"/>
    <x v="23"/>
    <s v="SmallKitchenAppliances"/>
    <s v="InductionCooktop"/>
    <x v="367"/>
    <n v="5295"/>
    <s v="&gt;₹500"/>
    <n v="0.39"/>
    <x v="1"/>
    <x v="0"/>
    <x v="797"/>
    <n v="210338580"/>
    <x v="0"/>
  </r>
  <r>
    <x v="4"/>
    <x v="23"/>
    <s v="SmallKitchenAppliances"/>
    <s v="InductionCooktop"/>
    <x v="166"/>
    <n v="3595"/>
    <s v="&gt;₹500"/>
    <n v="0.5"/>
    <x v="0"/>
    <x v="11"/>
    <x v="798"/>
    <n v="35198645"/>
    <x v="0"/>
  </r>
  <r>
    <x v="4"/>
    <x v="23"/>
    <s v="SmallKitchenAppliances"/>
    <s v="Kettles&amp;HotWaterDispensers"/>
    <x v="368"/>
    <n v="1699"/>
    <s v="&gt;₹500"/>
    <n v="0.26"/>
    <x v="1"/>
    <x v="0"/>
    <x v="799"/>
    <n v="4911809"/>
    <x v="0"/>
  </r>
  <r>
    <x v="4"/>
    <x v="24"/>
    <s v="RoomHeaters"/>
    <s v="ElectricHeaters"/>
    <x v="81"/>
    <n v="1129"/>
    <s v="&gt;₹500"/>
    <n v="0.34"/>
    <x v="1"/>
    <x v="1"/>
    <x v="800"/>
    <n v="2761534"/>
    <x v="0"/>
  </r>
  <r>
    <x v="4"/>
    <x v="23"/>
    <s v="SmallKitchenAppliances"/>
    <s v="MixerGrinders"/>
    <x v="369"/>
    <n v="5795"/>
    <s v="&gt;₹500"/>
    <n v="0.4"/>
    <x v="1"/>
    <x v="2"/>
    <x v="801"/>
    <n v="146845300"/>
    <x v="0"/>
  </r>
  <r>
    <x v="4"/>
    <x v="23"/>
    <s v="SmallKitchenAppliances"/>
    <s v="EggBoilers"/>
    <x v="97"/>
    <n v="999"/>
    <s v="&gt;₹500"/>
    <n v="0.62"/>
    <x v="0"/>
    <x v="4"/>
    <x v="802"/>
    <n v="3092904"/>
    <x v="0"/>
  </r>
  <r>
    <x v="4"/>
    <x v="24"/>
    <s v="RoomHeaters"/>
    <s v="ElectricHeaters"/>
    <x v="59"/>
    <n v="2400"/>
    <s v="&gt;₹500"/>
    <n v="0.54"/>
    <x v="0"/>
    <x v="11"/>
    <x v="803"/>
    <n v="9600"/>
    <x v="0"/>
  </r>
  <r>
    <x v="4"/>
    <x v="23"/>
    <s v="SmallKitchenAppliances"/>
    <s v="Kettles&amp;HotWaterDispensers"/>
    <x v="81"/>
    <n v="1299"/>
    <s v="&gt;₹500"/>
    <n v="0.42"/>
    <x v="1"/>
    <x v="1"/>
    <x v="371"/>
    <n v="154581"/>
    <x v="0"/>
  </r>
  <r>
    <x v="4"/>
    <x v="23"/>
    <s v="SmallKitchenAppliances"/>
    <s v="SandwichMakers"/>
    <x v="69"/>
    <n v="1299"/>
    <s v="&gt;₹500"/>
    <n v="0"/>
    <x v="1"/>
    <x v="0"/>
    <x v="804"/>
    <n v="52097694"/>
    <x v="0"/>
  </r>
  <r>
    <x v="4"/>
    <x v="23"/>
    <s v="Vacuum,Cleaning&amp;Ironing"/>
    <s v="Irons,Steamers&amp;Accessories"/>
    <x v="125"/>
    <n v="1090"/>
    <s v="&gt;₹500"/>
    <n v="0.5"/>
    <x v="0"/>
    <x v="0"/>
    <x v="805"/>
    <n v="14201610"/>
    <x v="0"/>
  </r>
  <r>
    <x v="4"/>
    <x v="24"/>
    <s v="RoomHeaters"/>
    <s v="FanHeaters"/>
    <x v="25"/>
    <n v="2000"/>
    <s v="&gt;₹500"/>
    <n v="0.55000000000000004"/>
    <x v="0"/>
    <x v="9"/>
    <x v="806"/>
    <n v="582000"/>
    <x v="0"/>
  </r>
  <r>
    <x v="4"/>
    <x v="23"/>
    <s v="Vacuum,Cleaning&amp;Ironing"/>
    <s v="Irons,Steamers&amp;Accessories"/>
    <x v="370"/>
    <n v="1545"/>
    <s v="&gt;₹500"/>
    <n v="0.14000000000000001"/>
    <x v="1"/>
    <x v="4"/>
    <x v="807"/>
    <n v="23874885"/>
    <x v="0"/>
  </r>
  <r>
    <x v="4"/>
    <x v="23"/>
    <s v="Vacuum,Cleaning&amp;Ironing"/>
    <s v="Irons,Steamers&amp;Accessories"/>
    <x v="59"/>
    <n v="1999"/>
    <s v="&gt;₹500"/>
    <n v="0.45"/>
    <x v="1"/>
    <x v="1"/>
    <x v="808"/>
    <n v="1207396"/>
    <x v="0"/>
  </r>
  <r>
    <x v="4"/>
    <x v="23"/>
    <s v="Vacuum,Cleaning&amp;Ironing"/>
    <s v="Irons,Steamers&amp;Accessories"/>
    <x v="371"/>
    <n v="875"/>
    <s v="&gt;₹500"/>
    <n v="0.11"/>
    <x v="1"/>
    <x v="0"/>
    <x v="809"/>
    <n v="40816125"/>
    <x v="0"/>
  </r>
  <r>
    <x v="4"/>
    <x v="24"/>
    <s v="WaterHeaters&amp;Geysers"/>
    <s v="StorageWaterHeaters"/>
    <x v="263"/>
    <n v="15270"/>
    <s v="&gt;₹500"/>
    <n v="0.59"/>
    <x v="0"/>
    <x v="3"/>
    <x v="810"/>
    <n v="49367910"/>
    <x v="0"/>
  </r>
  <r>
    <x v="4"/>
    <x v="23"/>
    <s v="Vacuum,Cleaning&amp;Ironing"/>
    <s v="Irons,Steamers&amp;Accessories"/>
    <x v="372"/>
    <n v="4195"/>
    <s v="&gt;₹500"/>
    <n v="0.24"/>
    <x v="1"/>
    <x v="1"/>
    <x v="811"/>
    <n v="5377990"/>
    <x v="0"/>
  </r>
  <r>
    <x v="4"/>
    <x v="24"/>
    <s v="RoomHeaters"/>
    <s v="ElectricHeaters"/>
    <x v="34"/>
    <n v="1989"/>
    <s v="&gt;₹500"/>
    <n v="0.6"/>
    <x v="0"/>
    <x v="4"/>
    <x v="812"/>
    <n v="139230"/>
    <x v="0"/>
  </r>
  <r>
    <x v="4"/>
    <x v="23"/>
    <s v="SmallKitchenAppliances"/>
    <s v="JuicerMixerGrinders"/>
    <x v="155"/>
    <n v="5000"/>
    <s v="&gt;₹500"/>
    <n v="0.46"/>
    <x v="1"/>
    <x v="1"/>
    <x v="813"/>
    <n v="130820000"/>
    <x v="0"/>
  </r>
  <r>
    <x v="4"/>
    <x v="23"/>
    <s v="Vacuum,Cleaning&amp;Ironing"/>
    <s v="Irons,Steamers&amp;Accessories"/>
    <x v="23"/>
    <n v="990"/>
    <s v="&gt;₹500"/>
    <n v="0.39"/>
    <x v="1"/>
    <x v="2"/>
    <x v="814"/>
    <n v="16004340"/>
    <x v="0"/>
  </r>
  <r>
    <x v="4"/>
    <x v="23"/>
    <s v="SmallKitchenAppliances"/>
    <s v="Kettles&amp;HotWaterDispensers"/>
    <x v="81"/>
    <n v="1111"/>
    <s v="&gt;₹500"/>
    <n v="0.33"/>
    <x v="1"/>
    <x v="0"/>
    <x v="815"/>
    <n v="39654923"/>
    <x v="0"/>
  </r>
  <r>
    <x v="4"/>
    <x v="24"/>
    <s v="WaterHeaters&amp;Geysers"/>
    <s v="StorageWaterHeaters"/>
    <x v="373"/>
    <n v="10400"/>
    <s v="&gt;₹500"/>
    <n v="0.4"/>
    <x v="1"/>
    <x v="3"/>
    <x v="816"/>
    <n v="149666400"/>
    <x v="0"/>
  </r>
  <r>
    <x v="4"/>
    <x v="23"/>
    <s v="SmallKitchenAppliances"/>
    <s v="MiniFoodProcessors&amp;Choppers"/>
    <x v="374"/>
    <n v="2490"/>
    <s v="&gt;₹500"/>
    <n v="0.27"/>
    <x v="1"/>
    <x v="5"/>
    <x v="817"/>
    <n v="19785540"/>
    <x v="0"/>
  </r>
  <r>
    <x v="4"/>
    <x v="23"/>
    <s v="SmallKitchenAppliances"/>
    <s v="Kettles&amp;HotWaterDispensers"/>
    <x v="33"/>
    <n v="1900"/>
    <s v="&gt;₹500"/>
    <n v="0.37"/>
    <x v="1"/>
    <x v="1"/>
    <x v="818"/>
    <n v="3353500"/>
    <x v="0"/>
  </r>
  <r>
    <x v="4"/>
    <x v="23"/>
    <s v="SmallKitchenAppliances"/>
    <s v="MixerGrinders"/>
    <x v="375"/>
    <n v="6295"/>
    <s v="&gt;₹500"/>
    <n v="0.48"/>
    <x v="1"/>
    <x v="11"/>
    <x v="819"/>
    <n v="88520290"/>
    <x v="0"/>
  </r>
  <r>
    <x v="4"/>
    <x v="23"/>
    <s v="SmallKitchenAppliances"/>
    <s v="EggBoilers"/>
    <x v="12"/>
    <n v="999"/>
    <s v="&gt;₹500"/>
    <n v="0.65"/>
    <x v="0"/>
    <x v="1"/>
    <x v="820"/>
    <n v="15630354"/>
    <x v="0"/>
  </r>
  <r>
    <x v="4"/>
    <x v="24"/>
    <s v="RoomHeaters"/>
    <s v="FanHeaters"/>
    <x v="249"/>
    <n v="1699"/>
    <s v="&gt;₹500"/>
    <n v="0.38"/>
    <x v="1"/>
    <x v="19"/>
    <x v="821"/>
    <n v="188589"/>
    <x v="0"/>
  </r>
  <r>
    <x v="4"/>
    <x v="23"/>
    <s v="SmallKitchenAppliances"/>
    <s v="DigitalKitchenScales"/>
    <x v="34"/>
    <n v="1500"/>
    <s v="&gt;₹500"/>
    <n v="0.47"/>
    <x v="1"/>
    <x v="4"/>
    <x v="822"/>
    <n v="14542500"/>
    <x v="0"/>
  </r>
  <r>
    <x v="4"/>
    <x v="24"/>
    <s v="WaterHeaters&amp;Geysers"/>
    <s v="StorageWaterHeaters"/>
    <x v="208"/>
    <n v="9650"/>
    <s v="&gt;₹500"/>
    <n v="0.48"/>
    <x v="1"/>
    <x v="0"/>
    <x v="823"/>
    <n v="17099800"/>
    <x v="0"/>
  </r>
  <r>
    <x v="4"/>
    <x v="23"/>
    <s v="SmallKitchenAppliances"/>
    <s v="MixerGrinders"/>
    <x v="35"/>
    <n v="10590"/>
    <s v="&gt;₹500"/>
    <n v="0.34"/>
    <x v="1"/>
    <x v="5"/>
    <x v="824"/>
    <n v="121774410"/>
    <x v="0"/>
  </r>
  <r>
    <x v="4"/>
    <x v="23"/>
    <s v="SmallKitchenAppliances"/>
    <s v="DigitalKitchenScales"/>
    <x v="34"/>
    <n v="1999"/>
    <s v="&gt;₹500"/>
    <n v="0.6"/>
    <x v="0"/>
    <x v="3"/>
    <x v="825"/>
    <n v="4321838"/>
    <x v="0"/>
  </r>
  <r>
    <x v="4"/>
    <x v="23"/>
    <s v="SmallKitchenAppliances"/>
    <s v="VacuumSealers"/>
    <x v="124"/>
    <n v="89"/>
    <s v="&lt;₹200"/>
    <n v="0"/>
    <x v="1"/>
    <x v="0"/>
    <x v="826"/>
    <n v="1746269"/>
    <x v="0"/>
  </r>
  <r>
    <x v="4"/>
    <x v="24"/>
    <s v="Fans"/>
    <s v="CeilingFans"/>
    <x v="376"/>
    <n v="2485"/>
    <s v="&gt;₹500"/>
    <n v="0.44"/>
    <x v="1"/>
    <x v="3"/>
    <x v="827"/>
    <n v="49695030"/>
    <x v="0"/>
  </r>
  <r>
    <x v="4"/>
    <x v="26"/>
    <s v="LaundryOrganization"/>
    <s v="LaundryBaskets"/>
    <x v="377"/>
    <n v="899"/>
    <s v="&gt;₹500"/>
    <n v="0.61"/>
    <x v="0"/>
    <x v="3"/>
    <x v="828"/>
    <n v="944849"/>
    <x v="0"/>
  </r>
  <r>
    <x v="4"/>
    <x v="24"/>
    <s v="RoomHeaters"/>
    <s v="ElectricHeaters"/>
    <x v="378"/>
    <n v="3279"/>
    <s v="&gt;₹500"/>
    <n v="0.34"/>
    <x v="1"/>
    <x v="3"/>
    <x v="829"/>
    <n v="5626764"/>
    <x v="0"/>
  </r>
  <r>
    <x v="4"/>
    <x v="23"/>
    <s v="Vacuum,Cleaning&amp;Ironing"/>
    <s v="Vacuums&amp;FloorCare"/>
    <x v="214"/>
    <n v="3799"/>
    <s v="&gt;₹500"/>
    <n v="0.26"/>
    <x v="1"/>
    <x v="2"/>
    <x v="830"/>
    <n v="125104869"/>
    <x v="0"/>
  </r>
  <r>
    <x v="4"/>
    <x v="23"/>
    <s v="SmallKitchenAppliances"/>
    <s v="Kettles&amp;HotWaterDispensers"/>
    <x v="25"/>
    <n v="1249"/>
    <s v="&gt;₹500"/>
    <n v="0.28000000000000003"/>
    <x v="1"/>
    <x v="2"/>
    <x v="831"/>
    <n v="21762576"/>
    <x v="0"/>
  </r>
  <r>
    <x v="4"/>
    <x v="24"/>
    <s v="RoomHeaters"/>
    <m/>
    <x v="209"/>
    <n v="5000"/>
    <s v="&gt;₹500"/>
    <n v="0.5"/>
    <x v="0"/>
    <x v="11"/>
    <x v="832"/>
    <n v="9445000"/>
    <x v="0"/>
  </r>
  <r>
    <x v="4"/>
    <x v="24"/>
    <s v="WaterHeaters&amp;Geysers"/>
    <s v="InstantWaterHeaters"/>
    <x v="360"/>
    <n v="7299"/>
    <s v="&gt;₹500"/>
    <n v="0.51"/>
    <x v="0"/>
    <x v="1"/>
    <x v="833"/>
    <n v="75354876"/>
    <x v="0"/>
  </r>
  <r>
    <x v="4"/>
    <x v="23"/>
    <s v="Vacuum,Cleaning&amp;Ironing"/>
    <s v="Irons,Steamers&amp;Accessories"/>
    <x v="7"/>
    <n v="625"/>
    <s v="&gt;₹500"/>
    <n v="0.2"/>
    <x v="1"/>
    <x v="0"/>
    <x v="834"/>
    <n v="3346875"/>
    <x v="0"/>
  </r>
  <r>
    <x v="4"/>
    <x v="24"/>
    <s v="WaterHeaters&amp;Geysers"/>
    <s v="ImmersionRods"/>
    <x v="379"/>
    <n v="1020"/>
    <s v="&gt;₹500"/>
    <n v="0.36"/>
    <x v="1"/>
    <x v="3"/>
    <x v="835"/>
    <n v="3433320"/>
    <x v="0"/>
  </r>
  <r>
    <x v="4"/>
    <x v="23"/>
    <s v="Vacuum,Cleaning&amp;Ironing"/>
    <s v="PressureWashers,Steam&amp;WindowCleaners"/>
    <x v="380"/>
    <n v="8990"/>
    <s v="&gt;₹500"/>
    <n v="0.47"/>
    <x v="1"/>
    <x v="4"/>
    <x v="836"/>
    <n v="9142830"/>
    <x v="0"/>
  </r>
  <r>
    <x v="4"/>
    <x v="24"/>
    <s v="RoomHeaters"/>
    <s v="HalogenHeaters"/>
    <x v="328"/>
    <n v="1639"/>
    <s v="&gt;₹500"/>
    <n v="0.14000000000000001"/>
    <x v="1"/>
    <x v="7"/>
    <x v="837"/>
    <n v="1289893"/>
    <x v="0"/>
  </r>
  <r>
    <x v="4"/>
    <x v="23"/>
    <s v="SmallKitchenAppliances"/>
    <s v="HandBlenders"/>
    <x v="381"/>
    <n v="899"/>
    <s v="&gt;₹500"/>
    <n v="0.16"/>
    <x v="1"/>
    <x v="0"/>
    <x v="838"/>
    <n v="16597338"/>
    <x v="0"/>
  </r>
  <r>
    <x v="4"/>
    <x v="23"/>
    <s v="SmallKitchenAppliances"/>
    <s v="EggBoilers"/>
    <x v="382"/>
    <n v="1199"/>
    <s v="&gt;₹500"/>
    <n v="0.71"/>
    <x v="0"/>
    <x v="4"/>
    <x v="839"/>
    <n v="754171"/>
    <x v="0"/>
  </r>
  <r>
    <x v="4"/>
    <x v="23"/>
    <s v="SmallKitchenAppliances"/>
    <s v="DigitalKitchenScales"/>
    <x v="59"/>
    <n v="1899"/>
    <s v="&gt;₹500"/>
    <n v="0.42"/>
    <x v="1"/>
    <x v="4"/>
    <x v="840"/>
    <n v="29009124"/>
    <x v="0"/>
  </r>
  <r>
    <x v="4"/>
    <x v="23"/>
    <s v="SmallKitchenAppliances"/>
    <s v="DeepFatFryers"/>
    <x v="383"/>
    <n v="11595"/>
    <s v="&gt;₹500"/>
    <n v="0.24"/>
    <x v="1"/>
    <x v="5"/>
    <x v="841"/>
    <n v="34564695"/>
    <x v="0"/>
  </r>
  <r>
    <x v="4"/>
    <x v="23"/>
    <s v="SmallKitchenAppliances"/>
    <s v="Kettles&amp;HotWaterDispensers"/>
    <x v="294"/>
    <n v="1750"/>
    <s v="&gt;₹500"/>
    <n v="0.23"/>
    <x v="1"/>
    <x v="11"/>
    <x v="842"/>
    <n v="4315500"/>
    <x v="0"/>
  </r>
  <r>
    <x v="4"/>
    <x v="23"/>
    <s v="SmallKitchenAppliances"/>
    <s v="Pop-upToasters"/>
    <x v="384"/>
    <n v="2095"/>
    <s v="&gt;₹500"/>
    <n v="0"/>
    <x v="1"/>
    <x v="6"/>
    <x v="843"/>
    <n v="16653155"/>
    <x v="0"/>
  </r>
  <r>
    <x v="4"/>
    <x v="24"/>
    <s v="RoomHeaters"/>
    <s v="ElectricHeaters"/>
    <x v="385"/>
    <n v="2300"/>
    <s v="&gt;₹500"/>
    <n v="0.35"/>
    <x v="1"/>
    <x v="11"/>
    <x v="844"/>
    <n v="218500"/>
    <x v="0"/>
  </r>
  <r>
    <x v="4"/>
    <x v="24"/>
    <s v="RoomHeaters"/>
    <s v="HeatConvectors"/>
    <x v="181"/>
    <n v="2990"/>
    <s v="&gt;₹500"/>
    <n v="0.26"/>
    <x v="1"/>
    <x v="11"/>
    <x v="845"/>
    <n v="4658420"/>
    <x v="0"/>
  </r>
  <r>
    <x v="4"/>
    <x v="23"/>
    <s v="SmallKitchenAppliances"/>
    <s v="MixerGrinders"/>
    <x v="386"/>
    <n v="4295"/>
    <s v="&gt;₹500"/>
    <n v="0.14000000000000001"/>
    <x v="1"/>
    <x v="3"/>
    <x v="846"/>
    <n v="114002185"/>
    <x v="0"/>
  </r>
  <r>
    <x v="4"/>
    <x v="26"/>
    <s v="LaundryOrganization"/>
    <s v="LaundryBaskets"/>
    <x v="387"/>
    <n v="199"/>
    <s v="&lt;₹200"/>
    <n v="0.11"/>
    <x v="1"/>
    <x v="3"/>
    <x v="847"/>
    <n v="733912"/>
    <x v="0"/>
  </r>
  <r>
    <x v="4"/>
    <x v="23"/>
    <s v="SmallKitchenAppliances"/>
    <s v="MixerGrinders"/>
    <x v="176"/>
    <n v="2499"/>
    <s v="&gt;₹500"/>
    <n v="0.54"/>
    <x v="0"/>
    <x v="11"/>
    <x v="848"/>
    <n v="10953117"/>
    <x v="0"/>
  </r>
  <r>
    <x v="4"/>
    <x v="23"/>
    <s v="Coffee,Tea&amp;Espresso"/>
    <s v="CoffeeGrinders"/>
    <x v="388"/>
    <n v="499"/>
    <s v="₹200–₹500"/>
    <n v="0.51"/>
    <x v="0"/>
    <x v="8"/>
    <x v="849"/>
    <n v="238522"/>
    <x v="0"/>
  </r>
  <r>
    <x v="4"/>
    <x v="24"/>
    <s v="RoomHeaters"/>
    <s v="ElectricHeaters"/>
    <x v="389"/>
    <n v="2400"/>
    <s v="&gt;₹500"/>
    <n v="0.18"/>
    <x v="1"/>
    <x v="1"/>
    <x v="850"/>
    <n v="568800"/>
    <x v="0"/>
  </r>
  <r>
    <x v="4"/>
    <x v="23"/>
    <s v="Vacuum,Cleaning&amp;Ironing"/>
    <s v="Irons,Steamers&amp;Accessories"/>
    <x v="390"/>
    <n v="749"/>
    <s v="&gt;₹500"/>
    <n v="0.56999999999999995"/>
    <x v="0"/>
    <x v="13"/>
    <x v="851"/>
    <n v="92876"/>
    <x v="0"/>
  </r>
  <r>
    <x v="4"/>
    <x v="23"/>
    <s v="SmallKitchenAppliances"/>
    <s v="Kettles&amp;HotWaterDispensers"/>
    <x v="72"/>
    <n v="1775"/>
    <s v="&gt;₹500"/>
    <n v="0.16"/>
    <x v="1"/>
    <x v="2"/>
    <x v="852"/>
    <n v="26033925"/>
    <x v="0"/>
  </r>
  <r>
    <x v="4"/>
    <x v="23"/>
    <s v="Vacuum,Cleaning&amp;Ironing"/>
    <s v="Irons,Steamers&amp;Accessories"/>
    <x v="298"/>
    <n v="1599"/>
    <s v="&gt;₹500"/>
    <n v="0.71"/>
    <x v="0"/>
    <x v="7"/>
    <x v="853"/>
    <n v="9594"/>
    <x v="0"/>
  </r>
  <r>
    <x v="4"/>
    <x v="23"/>
    <s v="SmallKitchenAppliances"/>
    <s v="Pop-upToasters"/>
    <x v="59"/>
    <n v="1795"/>
    <s v="&gt;₹500"/>
    <n v="0.39"/>
    <x v="1"/>
    <x v="0"/>
    <x v="854"/>
    <n v="7617980"/>
    <x v="0"/>
  </r>
  <r>
    <x v="4"/>
    <x v="24"/>
    <s v="RoomHeaters"/>
    <s v="FanHeaters"/>
    <x v="391"/>
    <n v="15999"/>
    <s v="&gt;₹500"/>
    <n v="0.4"/>
    <x v="1"/>
    <x v="3"/>
    <x v="836"/>
    <n v="16270983"/>
    <x v="0"/>
  </r>
  <r>
    <x v="4"/>
    <x v="24"/>
    <s v="Fans"/>
    <s v="ExhaustFans"/>
    <x v="29"/>
    <n v="1490"/>
    <s v="&gt;₹500"/>
    <n v="0.33"/>
    <x v="1"/>
    <x v="3"/>
    <x v="855"/>
    <n v="19368510"/>
    <x v="0"/>
  </r>
  <r>
    <x v="4"/>
    <x v="23"/>
    <s v="SmallKitchenAppliances"/>
    <s v="Kettles&amp;HotWaterDispensers"/>
    <x v="69"/>
    <n v="1999"/>
    <s v="&gt;₹500"/>
    <n v="0.35"/>
    <x v="1"/>
    <x v="11"/>
    <x v="856"/>
    <n v="621689"/>
    <x v="0"/>
  </r>
  <r>
    <x v="4"/>
    <x v="23"/>
    <s v="Coffee,Tea&amp;Espresso"/>
    <s v="DripCoffeeMachines"/>
    <x v="392"/>
    <n v="499"/>
    <s v="₹200–₹500"/>
    <n v="0.41"/>
    <x v="1"/>
    <x v="3"/>
    <x v="857"/>
    <n v="2114762"/>
    <x v="0"/>
  </r>
  <r>
    <x v="4"/>
    <x v="23"/>
    <s v="SmallKitchenAppliances"/>
    <s v="VacuumSealers"/>
    <x v="393"/>
    <n v="299"/>
    <s v="₹200–₹500"/>
    <n v="0.46"/>
    <x v="1"/>
    <x v="13"/>
    <x v="858"/>
    <n v="831519"/>
    <x v="0"/>
  </r>
  <r>
    <x v="4"/>
    <x v="23"/>
    <s v="WaterPurifiers&amp;Accessories"/>
    <s v="WaterPurifierAccessories"/>
    <x v="394"/>
    <n v="600"/>
    <s v="&gt;₹500"/>
    <n v="0"/>
    <x v="1"/>
    <x v="3"/>
    <x v="859"/>
    <n v="6544200"/>
    <x v="0"/>
  </r>
  <r>
    <x v="4"/>
    <x v="23"/>
    <s v="WaterPurifiers&amp;Accessories"/>
    <s v="WaterCartridges"/>
    <x v="395"/>
    <n v="1130"/>
    <s v="&gt;₹500"/>
    <n v="0"/>
    <x v="1"/>
    <x v="0"/>
    <x v="860"/>
    <n v="14972500"/>
    <x v="0"/>
  </r>
  <r>
    <x v="4"/>
    <x v="23"/>
    <s v="SmallKitchenAppliances"/>
    <s v="MixerGrinders"/>
    <x v="375"/>
    <n v="6295"/>
    <s v="&gt;₹500"/>
    <n v="0.48"/>
    <x v="1"/>
    <x v="2"/>
    <x v="861"/>
    <n v="271125650"/>
    <x v="0"/>
  </r>
  <r>
    <x v="4"/>
    <x v="23"/>
    <s v="SmallKitchenAppliances"/>
    <s v="MixerGrinders"/>
    <x v="360"/>
    <n v="9455"/>
    <s v="&gt;₹500"/>
    <n v="0.62"/>
    <x v="0"/>
    <x v="3"/>
    <x v="862"/>
    <n v="111833740"/>
    <x v="0"/>
  </r>
  <r>
    <x v="4"/>
    <x v="23"/>
    <s v="SmallKitchenAppliances"/>
    <s v="EggBoilers"/>
    <x v="84"/>
    <n v="699"/>
    <s v="&gt;₹500"/>
    <n v="0.47"/>
    <x v="1"/>
    <x v="3"/>
    <x v="863"/>
    <n v="866760"/>
    <x v="0"/>
  </r>
  <r>
    <x v="4"/>
    <x v="23"/>
    <s v="SmallKitchenAppliances"/>
    <s v="MixerGrinders"/>
    <x v="396"/>
    <n v="4999"/>
    <s v="&gt;₹500"/>
    <n v="0.36"/>
    <x v="1"/>
    <x v="1"/>
    <x v="864"/>
    <n v="104324131"/>
    <x v="0"/>
  </r>
  <r>
    <x v="4"/>
    <x v="23"/>
    <s v="SmallKitchenAppliances"/>
    <s v="Rice&amp;PastaCookers"/>
    <x v="44"/>
    <n v="2900"/>
    <s v="&gt;₹500"/>
    <n v="0.45"/>
    <x v="1"/>
    <x v="7"/>
    <x v="865"/>
    <n v="1278900"/>
    <x v="0"/>
  </r>
  <r>
    <x v="4"/>
    <x v="23"/>
    <s v="SmallKitchenAppliances"/>
    <s v="HandBlenders"/>
    <x v="168"/>
    <n v="2499"/>
    <s v="&gt;₹500"/>
    <n v="0.2"/>
    <x v="1"/>
    <x v="3"/>
    <x v="866"/>
    <n v="2583966"/>
    <x v="0"/>
  </r>
  <r>
    <x v="4"/>
    <x v="23"/>
    <s v="Vacuum,Cleaning&amp;Ironing"/>
    <s v="Irons,Steamers&amp;Accessories"/>
    <x v="397"/>
    <n v="1190"/>
    <s v="&gt;₹500"/>
    <n v="0.48"/>
    <x v="1"/>
    <x v="3"/>
    <x v="867"/>
    <n v="44179940"/>
    <x v="0"/>
  </r>
  <r>
    <x v="4"/>
    <x v="23"/>
    <s v="SmallKitchenAppliances"/>
    <s v="HandBlenders"/>
    <x v="72"/>
    <n v="2100"/>
    <s v="&gt;₹500"/>
    <n v="0.28999999999999998"/>
    <x v="1"/>
    <x v="3"/>
    <x v="868"/>
    <n v="13345500"/>
    <x v="0"/>
  </r>
  <r>
    <x v="4"/>
    <x v="23"/>
    <s v="SmallKitchenAppliances"/>
    <s v="VacuumSealers"/>
    <x v="1"/>
    <n v="499"/>
    <s v="₹200–₹500"/>
    <n v="0.6"/>
    <x v="0"/>
    <x v="8"/>
    <x v="119"/>
    <n v="5988"/>
    <x v="0"/>
  </r>
  <r>
    <x v="4"/>
    <x v="24"/>
    <s v="WaterHeaters&amp;Geysers"/>
    <s v="ImmersionRods"/>
    <x v="398"/>
    <n v="825"/>
    <s v="&gt;₹500"/>
    <n v="0.26"/>
    <x v="1"/>
    <x v="3"/>
    <x v="869"/>
    <n v="10861125"/>
    <x v="0"/>
  </r>
  <r>
    <x v="4"/>
    <x v="23"/>
    <s v="SmallKitchenAppliances"/>
    <s v="MiniFoodProcessors&amp;Choppers"/>
    <x v="29"/>
    <n v="1499"/>
    <s v="&gt;₹500"/>
    <n v="0.33"/>
    <x v="1"/>
    <x v="3"/>
    <x v="870"/>
    <n v="2467354"/>
    <x v="0"/>
  </r>
  <r>
    <x v="4"/>
    <x v="23"/>
    <s v="Vacuum,Cleaning&amp;Ironing"/>
    <s v="Vacuums&amp;FloorCare"/>
    <x v="138"/>
    <n v="9995"/>
    <s v="&gt;₹500"/>
    <n v="0.1"/>
    <x v="1"/>
    <x v="5"/>
    <x v="871"/>
    <n v="179850030"/>
    <x v="0"/>
  </r>
  <r>
    <x v="4"/>
    <x v="23"/>
    <s v="Vacuum,Cleaning&amp;Ironing"/>
    <s v="Irons,Steamers&amp;Accessories"/>
    <x v="399"/>
    <n v="999"/>
    <s v="&gt;₹500"/>
    <n v="0.55000000000000004"/>
    <x v="0"/>
    <x v="4"/>
    <x v="872"/>
    <n v="609390"/>
    <x v="0"/>
  </r>
  <r>
    <x v="4"/>
    <x v="23"/>
    <s v="SmallKitchenAppliances"/>
    <s v="MixerGrinders"/>
    <x v="400"/>
    <n v="6000"/>
    <s v="&gt;₹500"/>
    <n v="0.59"/>
    <x v="0"/>
    <x v="3"/>
    <x v="375"/>
    <n v="53196000"/>
    <x v="0"/>
  </r>
  <r>
    <x v="4"/>
    <x v="23"/>
    <s v="SmallKitchenAppliances"/>
    <s v="Rice&amp;PastaCookers"/>
    <x v="401"/>
    <n v="3945"/>
    <s v="&gt;₹500"/>
    <n v="0.31"/>
    <x v="1"/>
    <x v="7"/>
    <x v="873"/>
    <n v="52886670"/>
    <x v="0"/>
  </r>
  <r>
    <x v="4"/>
    <x v="24"/>
    <s v="WaterHeaters&amp;Geysers"/>
    <s v="InstantWaterHeaters"/>
    <x v="306"/>
    <n v="1999"/>
    <s v="&gt;₹500"/>
    <n v="0.28000000000000003"/>
    <x v="1"/>
    <x v="20"/>
    <x v="874"/>
    <n v="107552197"/>
    <x v="0"/>
  </r>
  <r>
    <x v="4"/>
    <x v="23"/>
    <s v="SmallKitchenAppliances"/>
    <s v="HandBlenders"/>
    <x v="214"/>
    <n v="3499"/>
    <s v="&gt;₹500"/>
    <n v="0.2"/>
    <x v="1"/>
    <x v="6"/>
    <x v="875"/>
    <n v="1910454"/>
    <x v="0"/>
  </r>
  <r>
    <x v="4"/>
    <x v="24"/>
    <s v="WaterHeaters&amp;Geysers"/>
    <s v="InstantWaterHeaters"/>
    <x v="402"/>
    <n v="5550"/>
    <s v="&gt;₹500"/>
    <n v="0.62"/>
    <x v="0"/>
    <x v="1"/>
    <x v="876"/>
    <n v="29370600"/>
    <x v="0"/>
  </r>
  <r>
    <x v="4"/>
    <x v="24"/>
    <s v="WaterHeaters&amp;Geysers"/>
    <s v="InstantWaterHeaters"/>
    <x v="403"/>
    <n v="4590"/>
    <s v="&gt;₹500"/>
    <n v="0.48"/>
    <x v="1"/>
    <x v="3"/>
    <x v="877"/>
    <n v="2037960"/>
    <x v="0"/>
  </r>
  <r>
    <x v="4"/>
    <x v="23"/>
    <s v="SmallKitchenAppliances"/>
    <s v="DigitalKitchenScales"/>
    <x v="404"/>
    <n v="499"/>
    <s v="₹200–₹500"/>
    <n v="0.38"/>
    <x v="1"/>
    <x v="2"/>
    <x v="878"/>
    <n v="2287416"/>
    <x v="0"/>
  </r>
  <r>
    <x v="4"/>
    <x v="24"/>
    <s v="WaterHeaters&amp;Geysers"/>
    <s v="InstantWaterHeaters"/>
    <x v="213"/>
    <n v="4400"/>
    <s v="&gt;₹500"/>
    <n v="0.41"/>
    <x v="1"/>
    <x v="3"/>
    <x v="879"/>
    <n v="65766800"/>
    <x v="0"/>
  </r>
  <r>
    <x v="4"/>
    <x v="23"/>
    <s v="Vacuum,Cleaning&amp;Ironing"/>
    <s v="Irons,Steamers&amp;Accessories"/>
    <x v="254"/>
    <n v="1000"/>
    <s v="&gt;₹500"/>
    <n v="0.52"/>
    <x v="0"/>
    <x v="0"/>
    <x v="880"/>
    <n v="1559000"/>
    <x v="0"/>
  </r>
  <r>
    <x v="4"/>
    <x v="23"/>
    <s v="Vacuum,Cleaning&amp;Ironing"/>
    <s v="Irons,Steamers&amp;Accessories"/>
    <x v="405"/>
    <n v="299"/>
    <s v="₹200–₹500"/>
    <n v="0.18"/>
    <x v="1"/>
    <x v="3"/>
    <x v="881"/>
    <n v="496340"/>
    <x v="0"/>
  </r>
  <r>
    <x v="4"/>
    <x v="23"/>
    <s v="Vacuum,Cleaning&amp;Ironing"/>
    <s v="Irons,Steamers&amp;Accessories"/>
    <x v="21"/>
    <n v="799"/>
    <s v="&gt;₹500"/>
    <n v="0.78"/>
    <x v="0"/>
    <x v="12"/>
    <x v="93"/>
    <n v="105468"/>
    <x v="0"/>
  </r>
  <r>
    <x v="4"/>
    <x v="24"/>
    <s v="Fans"/>
    <s v="CeilingFans"/>
    <x v="406"/>
    <n v="5190"/>
    <s v="&gt;₹500"/>
    <n v="0.31"/>
    <x v="1"/>
    <x v="4"/>
    <x v="882"/>
    <n v="148584510"/>
    <x v="0"/>
  </r>
  <r>
    <x v="4"/>
    <x v="23"/>
    <s v="SmallKitchenAppliances"/>
    <s v="Kettles&amp;HotWaterDispensers"/>
    <x v="154"/>
    <n v="1345"/>
    <s v="&gt;₹500"/>
    <n v="0.48"/>
    <x v="1"/>
    <x v="2"/>
    <x v="883"/>
    <n v="11359870"/>
    <x v="0"/>
  </r>
  <r>
    <x v="4"/>
    <x v="23"/>
    <s v="SmallKitchenAppliances"/>
    <s v="InductionCooktop"/>
    <x v="407"/>
    <n v="4000"/>
    <s v="&gt;₹500"/>
    <n v="0.48"/>
    <x v="1"/>
    <x v="0"/>
    <x v="884"/>
    <n v="44796000"/>
    <x v="0"/>
  </r>
  <r>
    <x v="7"/>
    <x v="27"/>
    <s v="InteriorAccessories"/>
    <s v="AirPurifiers&amp;Ionizers"/>
    <x v="408"/>
    <n v="4000"/>
    <s v="&gt;₹500"/>
    <n v="0.42"/>
    <x v="1"/>
    <x v="11"/>
    <x v="885"/>
    <n v="4472000"/>
    <x v="0"/>
  </r>
  <r>
    <x v="4"/>
    <x v="24"/>
    <s v="RoomHeaters"/>
    <s v="FanHeaters"/>
    <x v="409"/>
    <n v="1599"/>
    <s v="&gt;₹500"/>
    <n v="0.51"/>
    <x v="0"/>
    <x v="6"/>
    <x v="886"/>
    <n v="17589"/>
    <x v="0"/>
  </r>
  <r>
    <x v="4"/>
    <x v="23"/>
    <s v="Vacuum,Cleaning&amp;Ironing"/>
    <s v="Vacuums&amp;FloorCare"/>
    <x v="358"/>
    <n v="9999"/>
    <s v="&gt;₹500"/>
    <n v="0.45"/>
    <x v="1"/>
    <x v="11"/>
    <x v="887"/>
    <n v="43525647"/>
    <x v="0"/>
  </r>
  <r>
    <x v="4"/>
    <x v="24"/>
    <s v="RoomHeaters"/>
    <s v="FanHeaters"/>
    <x v="25"/>
    <n v="1990"/>
    <s v="&gt;₹500"/>
    <n v="0.55000000000000004"/>
    <x v="0"/>
    <x v="3"/>
    <x v="189"/>
    <n v="368150"/>
    <x v="0"/>
  </r>
  <r>
    <x v="4"/>
    <x v="23"/>
    <s v="SmallKitchenAppliances"/>
    <s v="HandBlenders"/>
    <x v="410"/>
    <n v="1695"/>
    <s v="&gt;₹500"/>
    <n v="0"/>
    <x v="1"/>
    <x v="0"/>
    <x v="888"/>
    <n v="24221550"/>
    <x v="0"/>
  </r>
  <r>
    <x v="4"/>
    <x v="23"/>
    <s v="Vacuum,Cleaning&amp;Ironing"/>
    <s v="Irons,Steamers&amp;Accessories"/>
    <x v="7"/>
    <n v="940"/>
    <s v="&gt;₹500"/>
    <n v="0.47"/>
    <x v="1"/>
    <x v="3"/>
    <x v="889"/>
    <n v="2853840"/>
    <x v="0"/>
  </r>
  <r>
    <x v="4"/>
    <x v="24"/>
    <s v="WaterHeaters&amp;Geysers"/>
    <s v="InstantWaterHeaters"/>
    <x v="155"/>
    <n v="4700"/>
    <s v="&gt;₹500"/>
    <n v="0.43"/>
    <x v="1"/>
    <x v="0"/>
    <x v="890"/>
    <n v="6091200"/>
    <x v="0"/>
  </r>
  <r>
    <x v="4"/>
    <x v="24"/>
    <s v="WaterHeaters&amp;Geysers"/>
    <s v="InstantWaterHeaters"/>
    <x v="411"/>
    <n v="2999"/>
    <s v="&gt;₹500"/>
    <n v="0.52"/>
    <x v="0"/>
    <x v="6"/>
    <x v="891"/>
    <n v="56981"/>
    <x v="0"/>
  </r>
  <r>
    <x v="4"/>
    <x v="23"/>
    <s v="SmallKitchenAppliances"/>
    <s v="VacuumSealers"/>
    <x v="210"/>
    <n v="79"/>
    <s v="&lt;₹200"/>
    <n v="0"/>
    <x v="1"/>
    <x v="1"/>
    <x v="892"/>
    <n v="7663"/>
    <x v="0"/>
  </r>
  <r>
    <x v="4"/>
    <x v="24"/>
    <s v="WaterHeaters&amp;Geysers"/>
    <s v="StorageWaterHeaters"/>
    <x v="412"/>
    <n v="14290"/>
    <s v="&gt;₹500"/>
    <n v="0.51"/>
    <x v="0"/>
    <x v="5"/>
    <x v="893"/>
    <n v="25307590"/>
    <x v="0"/>
  </r>
  <r>
    <x v="4"/>
    <x v="23"/>
    <s v="SmallKitchenAppliances"/>
    <s v="InductionCooktop"/>
    <x v="413"/>
    <n v="3945"/>
    <s v="&gt;₹500"/>
    <n v="0.32"/>
    <x v="1"/>
    <x v="1"/>
    <x v="894"/>
    <n v="59309130"/>
    <x v="0"/>
  </r>
  <r>
    <x v="4"/>
    <x v="23"/>
    <s v="Vacuum,Cleaning&amp;Ironing"/>
    <s v="Vacuums&amp;FloorCare"/>
    <x v="396"/>
    <n v="5999"/>
    <s v="&gt;₹500"/>
    <n v="0.47"/>
    <x v="1"/>
    <x v="1"/>
    <x v="895"/>
    <n v="19448758"/>
    <x v="0"/>
  </r>
  <r>
    <x v="4"/>
    <x v="23"/>
    <s v="SmallKitchenAppliances"/>
    <s v="Kettles&amp;HotWaterDispensers"/>
    <x v="33"/>
    <n v="1950"/>
    <s v="&gt;₹500"/>
    <n v="0.39"/>
    <x v="1"/>
    <x v="2"/>
    <x v="896"/>
    <n v="5522400"/>
    <x v="0"/>
  </r>
  <r>
    <x v="4"/>
    <x v="23"/>
    <s v="SmallKitchenAppliances"/>
    <s v="MiniFoodProcessors&amp;Choppers"/>
    <x v="414"/>
    <n v="2799"/>
    <s v="&gt;₹500"/>
    <n v="0.49"/>
    <x v="1"/>
    <x v="1"/>
    <x v="897"/>
    <n v="4192902"/>
    <x v="0"/>
  </r>
  <r>
    <x v="4"/>
    <x v="23"/>
    <s v="SmallKitchenAppliances"/>
    <s v="Kettles&amp;HotWaterDispensers"/>
    <x v="29"/>
    <n v="1950"/>
    <s v="&gt;₹500"/>
    <n v="0.49"/>
    <x v="1"/>
    <x v="11"/>
    <x v="386"/>
    <n v="594750"/>
    <x v="0"/>
  </r>
  <r>
    <x v="4"/>
    <x v="23"/>
    <s v="Vacuum,Cleaning&amp;Ironing"/>
    <s v="Vacuums&amp;FloorCare"/>
    <x v="415"/>
    <n v="9999"/>
    <s v="&gt;₹500"/>
    <n v="0.4"/>
    <x v="1"/>
    <x v="0"/>
    <x v="898"/>
    <n v="11908809"/>
    <x v="0"/>
  </r>
  <r>
    <x v="4"/>
    <x v="24"/>
    <s v="AirPurifiers"/>
    <s v="HEPAAirPurifiers"/>
    <x v="416"/>
    <n v="12999"/>
    <s v="&gt;₹500"/>
    <n v="0.23"/>
    <x v="1"/>
    <x v="4"/>
    <x v="899"/>
    <n v="52632951"/>
    <x v="0"/>
  </r>
  <r>
    <x v="4"/>
    <x v="23"/>
    <s v="WaterPurifiers&amp;Accessories"/>
    <s v="WaterFilters&amp;Purifiers"/>
    <x v="417"/>
    <n v="699"/>
    <s v="&gt;₹500"/>
    <n v="0"/>
    <x v="1"/>
    <x v="0"/>
    <x v="900"/>
    <n v="2208840"/>
    <x v="0"/>
  </r>
  <r>
    <x v="4"/>
    <x v="24"/>
    <s v="Fans"/>
    <s v="CeilingFans"/>
    <x v="181"/>
    <n v="3190"/>
    <s v="&gt;₹500"/>
    <n v="0.31"/>
    <x v="1"/>
    <x v="4"/>
    <x v="901"/>
    <n v="30783500"/>
    <x v="0"/>
  </r>
  <r>
    <x v="4"/>
    <x v="26"/>
    <s v="LaundryOrganization"/>
    <s v="LaundryBags"/>
    <x v="103"/>
    <n v="799"/>
    <s v="&gt;₹500"/>
    <n v="0.6"/>
    <x v="0"/>
    <x v="0"/>
    <x v="902"/>
    <n v="3072954"/>
    <x v="0"/>
  </r>
  <r>
    <x v="4"/>
    <x v="23"/>
    <s v="Vacuum,Cleaning&amp;Ironing"/>
    <s v="Irons,Steamers&amp;Accessories"/>
    <x v="349"/>
    <n v="499"/>
    <s v="₹200–₹500"/>
    <n v="0.4"/>
    <x v="1"/>
    <x v="5"/>
    <x v="903"/>
    <n v="144710"/>
    <x v="0"/>
  </r>
  <r>
    <x v="4"/>
    <x v="23"/>
    <s v="SmallKitchenAppliances"/>
    <s v="JuicerMixerGrinders"/>
    <x v="33"/>
    <n v="1499"/>
    <s v="&gt;₹500"/>
    <n v="0.2"/>
    <x v="1"/>
    <x v="11"/>
    <x v="904"/>
    <n v="3306794"/>
    <x v="0"/>
  </r>
  <r>
    <x v="4"/>
    <x v="24"/>
    <s v="Fans"/>
    <s v="CeilingFans"/>
    <x v="92"/>
    <n v="2660"/>
    <s v="&gt;₹500"/>
    <n v="0.47"/>
    <x v="1"/>
    <x v="3"/>
    <x v="905"/>
    <n v="24868340"/>
    <x v="0"/>
  </r>
  <r>
    <x v="4"/>
    <x v="23"/>
    <s v="SmallKitchenAppliances"/>
    <s v="DigitalKitchenScales"/>
    <x v="23"/>
    <n v="2799"/>
    <s v="&gt;₹500"/>
    <n v="0.79"/>
    <x v="0"/>
    <x v="2"/>
    <x v="906"/>
    <n v="1617822"/>
    <x v="0"/>
  </r>
  <r>
    <x v="4"/>
    <x v="23"/>
    <s v="SmallKitchenAppliances"/>
    <s v="Pop-upToasters"/>
    <x v="72"/>
    <n v="1499"/>
    <s v="&gt;₹500"/>
    <n v="0"/>
    <x v="1"/>
    <x v="4"/>
    <x v="907"/>
    <n v="13987169"/>
    <x v="0"/>
  </r>
  <r>
    <x v="4"/>
    <x v="24"/>
    <s v="AirPurifiers"/>
    <s v="HEPAAirPurifiers"/>
    <x v="418"/>
    <n v="59900"/>
    <s v="&gt;₹500"/>
    <n v="0.76"/>
    <x v="0"/>
    <x v="5"/>
    <x v="908"/>
    <n v="229836300"/>
    <x v="0"/>
  </r>
  <r>
    <x v="4"/>
    <x v="23"/>
    <s v="WaterPurifiers&amp;Accessories"/>
    <s v="WaterFilters&amp;Purifiers"/>
    <x v="79"/>
    <n v="1900"/>
    <s v="&gt;₹500"/>
    <n v="0.11"/>
    <x v="1"/>
    <x v="9"/>
    <x v="909"/>
    <n v="21766400"/>
    <x v="0"/>
  </r>
  <r>
    <x v="4"/>
    <x v="24"/>
    <s v="RoomHeaters"/>
    <s v="ElectricHeaters"/>
    <x v="37"/>
    <n v="999"/>
    <s v="&gt;₹500"/>
    <n v="0.35"/>
    <x v="1"/>
    <x v="11"/>
    <x v="910"/>
    <n v="48951"/>
    <x v="0"/>
  </r>
  <r>
    <x v="4"/>
    <x v="23"/>
    <s v="SmallKitchenAppliances"/>
    <s v="MixerGrinders"/>
    <x v="375"/>
    <n v="6375"/>
    <s v="&gt;₹500"/>
    <n v="0.49"/>
    <x v="1"/>
    <x v="1"/>
    <x v="911"/>
    <n v="31734750"/>
    <x v="0"/>
  </r>
  <r>
    <x v="4"/>
    <x v="26"/>
    <s v="LaundryOrganization"/>
    <s v="LaundryBaskets"/>
    <x v="1"/>
    <n v="499"/>
    <s v="₹200–₹500"/>
    <n v="0.6"/>
    <x v="0"/>
    <x v="3"/>
    <x v="912"/>
    <n v="996004"/>
    <x v="0"/>
  </r>
  <r>
    <x v="4"/>
    <x v="23"/>
    <s v="SmallKitchenAppliances"/>
    <s v="EggBoilers"/>
    <x v="59"/>
    <n v="1899"/>
    <s v="&gt;₹500"/>
    <n v="0.42"/>
    <x v="1"/>
    <x v="4"/>
    <x v="913"/>
    <n v="3439089"/>
    <x v="0"/>
  </r>
  <r>
    <x v="4"/>
    <x v="23"/>
    <s v="SmallKitchenAppliances"/>
    <s v="Kettles&amp;HotWaterDispensers"/>
    <x v="419"/>
    <n v="1490"/>
    <s v="&gt;₹500"/>
    <n v="0.55000000000000004"/>
    <x v="0"/>
    <x v="1"/>
    <x v="914"/>
    <n v="3275020"/>
    <x v="0"/>
  </r>
  <r>
    <x v="4"/>
    <x v="23"/>
    <s v="SmallKitchenAppliances"/>
    <s v="SandwichMakers"/>
    <x v="420"/>
    <n v="350"/>
    <s v="₹200–₹500"/>
    <n v="0.26"/>
    <x v="1"/>
    <x v="2"/>
    <x v="915"/>
    <n v="4594450"/>
    <x v="0"/>
  </r>
  <r>
    <x v="4"/>
    <x v="24"/>
    <s v="WaterHeaters&amp;Geysers"/>
    <s v="StorageWaterHeaters"/>
    <x v="170"/>
    <n v="8500"/>
    <s v="&gt;₹500"/>
    <n v="0.24"/>
    <x v="1"/>
    <x v="5"/>
    <x v="916"/>
    <n v="49852500"/>
    <x v="0"/>
  </r>
  <r>
    <x v="4"/>
    <x v="23"/>
    <s v="SewingMachines&amp;Accessories"/>
    <s v="Sewing&amp;EmbroideryMachines"/>
    <x v="421"/>
    <n v="2499"/>
    <s v="&gt;₹500"/>
    <n v="0.41"/>
    <x v="1"/>
    <x v="7"/>
    <x v="917"/>
    <n v="2666433"/>
    <x v="0"/>
  </r>
  <r>
    <x v="4"/>
    <x v="23"/>
    <s v="Vacuum,Cleaning&amp;Ironing"/>
    <s v="Irons,Steamers&amp;Accessories"/>
    <x v="29"/>
    <n v="1560"/>
    <s v="&gt;₹500"/>
    <n v="0.36"/>
    <x v="1"/>
    <x v="9"/>
    <x v="918"/>
    <n v="7614360"/>
    <x v="0"/>
  </r>
  <r>
    <x v="4"/>
    <x v="23"/>
    <s v="SmallKitchenAppliances"/>
    <s v="JuicerMixerGrinders"/>
    <x v="279"/>
    <n v="6500"/>
    <s v="&gt;₹500"/>
    <n v="0.49"/>
    <x v="1"/>
    <x v="7"/>
    <x v="919"/>
    <n v="72910500"/>
    <x v="0"/>
  </r>
  <r>
    <x v="4"/>
    <x v="23"/>
    <s v="SmallKitchenAppliances"/>
    <s v="HandBlenders"/>
    <x v="107"/>
    <n v="999"/>
    <s v="&gt;₹500"/>
    <n v="0.74"/>
    <x v="0"/>
    <x v="1"/>
    <x v="920"/>
    <n v="42957"/>
    <x v="0"/>
  </r>
  <r>
    <x v="4"/>
    <x v="23"/>
    <s v="SmallKitchenAppliances"/>
    <s v="MixerGrinders"/>
    <x v="375"/>
    <n v="7795"/>
    <s v="&gt;₹500"/>
    <n v="0.57999999999999996"/>
    <x v="0"/>
    <x v="0"/>
    <x v="921"/>
    <n v="36355880"/>
    <x v="0"/>
  </r>
  <r>
    <x v="4"/>
    <x v="23"/>
    <s v="Vacuum,Cleaning&amp;Ironing"/>
    <s v="Irons,Steamers&amp;Accessories"/>
    <x v="422"/>
    <n v="5995"/>
    <s v="&gt;₹500"/>
    <n v="0.28999999999999998"/>
    <x v="1"/>
    <x v="11"/>
    <x v="922"/>
    <n v="12661440"/>
    <x v="0"/>
  </r>
  <r>
    <x v="4"/>
    <x v="26"/>
    <s v="LaundryOrganization"/>
    <s v="IroningAccessories"/>
    <x v="423"/>
    <n v="299"/>
    <s v="₹200–₹500"/>
    <n v="0.37"/>
    <x v="1"/>
    <x v="0"/>
    <x v="923"/>
    <n v="818363"/>
    <x v="0"/>
  </r>
  <r>
    <x v="4"/>
    <x v="24"/>
    <s v="Fans"/>
    <s v="CeilingFans"/>
    <x v="424"/>
    <n v="2349"/>
    <s v="&gt;₹500"/>
    <n v="0.38"/>
    <x v="1"/>
    <x v="2"/>
    <x v="924"/>
    <n v="21185631"/>
    <x v="0"/>
  </r>
  <r>
    <x v="4"/>
    <x v="26"/>
    <s v="LaundryOrganization"/>
    <s v="LaundryBaskets"/>
    <x v="1"/>
    <n v="499"/>
    <s v="₹200–₹500"/>
    <n v="0.6"/>
    <x v="0"/>
    <x v="1"/>
    <x v="925"/>
    <n v="5106766"/>
    <x v="0"/>
  </r>
  <r>
    <x v="4"/>
    <x v="23"/>
    <s v="SmallKitchenAppliances"/>
    <s v="HandMixers"/>
    <x v="222"/>
    <n v="1299"/>
    <s v="&gt;₹500"/>
    <n v="0.64"/>
    <x v="0"/>
    <x v="3"/>
    <x v="926"/>
    <n v="714450"/>
    <x v="0"/>
  </r>
  <r>
    <x v="4"/>
    <x v="23"/>
    <s v="SmallKitchenAppliances"/>
    <s v="HandBlenders"/>
    <x v="17"/>
    <n v="499"/>
    <s v="₹200–₹500"/>
    <n v="0.44"/>
    <x v="1"/>
    <x v="20"/>
    <x v="927"/>
    <n v="13972"/>
    <x v="0"/>
  </r>
  <r>
    <x v="4"/>
    <x v="24"/>
    <s v="Fans"/>
    <s v="CeilingFans"/>
    <x v="168"/>
    <n v="4775"/>
    <s v="&gt;₹500"/>
    <n v="0.57999999999999996"/>
    <x v="0"/>
    <x v="0"/>
    <x v="928"/>
    <n v="6460575"/>
    <x v="0"/>
  </r>
  <r>
    <x v="4"/>
    <x v="23"/>
    <s v="Vacuum,Cleaning&amp;Ironing"/>
    <s v="Irons,Steamers&amp;Accessories"/>
    <x v="34"/>
    <n v="1230"/>
    <s v="&gt;₹500"/>
    <n v="0.35"/>
    <x v="1"/>
    <x v="3"/>
    <x v="929"/>
    <n v="2629740"/>
    <x v="0"/>
  </r>
  <r>
    <x v="4"/>
    <x v="23"/>
    <s v="SmallKitchenAppliances"/>
    <s v="MiniFoodProcessors&amp;Choppers"/>
    <x v="96"/>
    <n v="1999"/>
    <s v="&gt;₹500"/>
    <n v="0.53"/>
    <x v="0"/>
    <x v="1"/>
    <x v="930"/>
    <n v="3356321"/>
    <x v="0"/>
  </r>
  <r>
    <x v="4"/>
    <x v="23"/>
    <s v="SmallKitchenAppliances"/>
    <s v="Mills&amp;Grinders"/>
    <x v="425"/>
    <n v="5156"/>
    <s v="&gt;₹500"/>
    <n v="0.28999999999999998"/>
    <x v="1"/>
    <x v="2"/>
    <x v="931"/>
    <n v="66187572"/>
    <x v="0"/>
  </r>
  <r>
    <x v="4"/>
    <x v="23"/>
    <s v="SmallKitchenAppliances"/>
    <s v="OvenToasterGrills"/>
    <x v="79"/>
    <n v="1999"/>
    <s v="&gt;₹500"/>
    <n v="0.15"/>
    <x v="1"/>
    <x v="3"/>
    <x v="932"/>
    <n v="17737127"/>
    <x v="0"/>
  </r>
  <r>
    <x v="4"/>
    <x v="23"/>
    <s v="Vacuum,Cleaning&amp;Ironing"/>
    <s v="Irons,Steamers&amp;Accessories"/>
    <x v="426"/>
    <n v="2095"/>
    <s v="&gt;₹500"/>
    <n v="0.12"/>
    <x v="1"/>
    <x v="4"/>
    <x v="933"/>
    <n v="16091695"/>
    <x v="0"/>
  </r>
  <r>
    <x v="4"/>
    <x v="24"/>
    <s v="RoomHeaters"/>
    <s v="FanHeaters"/>
    <x v="91"/>
    <n v="19825"/>
    <s v="&gt;₹500"/>
    <n v="0.37"/>
    <x v="1"/>
    <x v="3"/>
    <x v="934"/>
    <n v="6383650"/>
    <x v="0"/>
  </r>
  <r>
    <x v="4"/>
    <x v="23"/>
    <s v="Vacuum,Cleaning&amp;Ironing"/>
    <s v="Irons,Steamers&amp;Accessories"/>
    <x v="59"/>
    <n v="1920"/>
    <s v="&gt;₹500"/>
    <n v="0.43"/>
    <x v="1"/>
    <x v="0"/>
    <x v="935"/>
    <n v="18762240"/>
    <x v="0"/>
  </r>
  <r>
    <x v="4"/>
    <x v="23"/>
    <s v="WaterPurifiers&amp;Accessories"/>
    <s v="WaterFilters&amp;Purifiers"/>
    <x v="427"/>
    <n v="16000"/>
    <s v="&gt;₹500"/>
    <n v="0.49"/>
    <x v="1"/>
    <x v="2"/>
    <x v="936"/>
    <n v="295952000"/>
    <x v="0"/>
  </r>
  <r>
    <x v="4"/>
    <x v="23"/>
    <s v="SmallKitchenAppliances"/>
    <s v="JuicerMixerGrinders"/>
    <x v="7"/>
    <n v="2199"/>
    <s v="&gt;₹500"/>
    <n v="0.77"/>
    <x v="0"/>
    <x v="7"/>
    <x v="937"/>
    <n v="116547"/>
    <x v="0"/>
  </r>
  <r>
    <x v="4"/>
    <x v="23"/>
    <s v="Vacuum,Cleaning&amp;Ironing"/>
    <s v="Vacuums&amp;FloorCare"/>
    <x v="35"/>
    <n v="14999"/>
    <s v="&gt;₹500"/>
    <n v="0.53"/>
    <x v="0"/>
    <x v="3"/>
    <x v="938"/>
    <n v="25918272"/>
    <x v="0"/>
  </r>
  <r>
    <x v="4"/>
    <x v="23"/>
    <s v="SmallKitchenAppliances"/>
    <s v="VacuumSealers"/>
    <x v="428"/>
    <n v="1799"/>
    <s v="&gt;₹500"/>
    <n v="0.11"/>
    <x v="1"/>
    <x v="1"/>
    <x v="939"/>
    <n v="5175723"/>
    <x v="0"/>
  </r>
  <r>
    <x v="4"/>
    <x v="23"/>
    <s v="Vacuum,Cleaning&amp;Ironing"/>
    <s v="Irons,Steamers&amp;Accessories"/>
    <x v="249"/>
    <n v="1950"/>
    <s v="&gt;₹500"/>
    <n v="0.46"/>
    <x v="1"/>
    <x v="11"/>
    <x v="940"/>
    <n v="487500"/>
    <x v="0"/>
  </r>
  <r>
    <x v="4"/>
    <x v="23"/>
    <s v="SmallKitchenAppliances"/>
    <s v="Kettles&amp;HotWaterDispensers"/>
    <x v="429"/>
    <n v="2995"/>
    <s v="&gt;₹500"/>
    <n v="0.61"/>
    <x v="0"/>
    <x v="0"/>
    <x v="941"/>
    <n v="15508110"/>
    <x v="0"/>
  </r>
  <r>
    <x v="4"/>
    <x v="23"/>
    <s v="Vacuum,Cleaning&amp;Ironing"/>
    <s v="Irons,Steamers&amp;Accessories"/>
    <x v="7"/>
    <n v="999"/>
    <s v="&gt;₹500"/>
    <n v="0.5"/>
    <x v="0"/>
    <x v="13"/>
    <x v="942"/>
    <n v="78921"/>
    <x v="0"/>
  </r>
  <r>
    <x v="4"/>
    <x v="24"/>
    <s v="AirPurifiers"/>
    <s v="HEPAAirPurifiers"/>
    <x v="383"/>
    <n v="11995"/>
    <s v="&gt;₹500"/>
    <n v="0.27"/>
    <x v="1"/>
    <x v="3"/>
    <x v="943"/>
    <n v="49863215"/>
    <x v="0"/>
  </r>
  <r>
    <x v="4"/>
    <x v="24"/>
    <s v="RoomHeaters"/>
    <s v="ElectricHeaters"/>
    <x v="272"/>
    <n v="2999"/>
    <s v="&gt;₹500"/>
    <n v="0.49"/>
    <x v="1"/>
    <x v="8"/>
    <x v="944"/>
    <n v="86971"/>
    <x v="0"/>
  </r>
  <r>
    <x v="4"/>
    <x v="23"/>
    <s v="Vacuum,Cleaning&amp;Ironing"/>
    <s v="Irons,Steamers&amp;Accessories"/>
    <x v="33"/>
    <n v="1690"/>
    <s v="&gt;₹500"/>
    <n v="0.28999999999999998"/>
    <x v="1"/>
    <x v="0"/>
    <x v="945"/>
    <n v="7740200"/>
    <x v="0"/>
  </r>
  <r>
    <x v="4"/>
    <x v="23"/>
    <s v="SmallKitchenAppliances"/>
    <s v="EggBoilers"/>
    <x v="430"/>
    <n v="1790"/>
    <s v="&gt;₹500"/>
    <n v="0.41"/>
    <x v="1"/>
    <x v="4"/>
    <x v="946"/>
    <n v="2513160"/>
    <x v="0"/>
  </r>
  <r>
    <x v="4"/>
    <x v="23"/>
    <s v="SmallKitchenAppliances"/>
    <s v="Juicers"/>
    <x v="170"/>
    <n v="8995"/>
    <s v="&gt;₹500"/>
    <n v="0.28000000000000003"/>
    <x v="1"/>
    <x v="4"/>
    <x v="947"/>
    <n v="25275950"/>
    <x v="0"/>
  </r>
  <r>
    <x v="4"/>
    <x v="23"/>
    <s v="SmallKitchenAppliances"/>
    <s v="DigitalKitchenScales"/>
    <x v="108"/>
    <n v="239"/>
    <s v="₹200–₹500"/>
    <n v="0"/>
    <x v="1"/>
    <x v="4"/>
    <x v="222"/>
    <n v="1673"/>
    <x v="0"/>
  </r>
  <r>
    <x v="4"/>
    <x v="23"/>
    <s v="SmallKitchenAppliances"/>
    <s v="HandBlenders"/>
    <x v="154"/>
    <n v="1599"/>
    <s v="&gt;₹500"/>
    <n v="0.56000000000000005"/>
    <x v="0"/>
    <x v="16"/>
    <x v="948"/>
    <n v="2764671"/>
    <x v="0"/>
  </r>
  <r>
    <x v="4"/>
    <x v="23"/>
    <s v="SmallKitchenAppliances"/>
    <m/>
    <x v="213"/>
    <n v="4290"/>
    <s v="&gt;₹500"/>
    <n v="0.39"/>
    <x v="1"/>
    <x v="5"/>
    <x v="949"/>
    <n v="9077640"/>
    <x v="0"/>
  </r>
  <r>
    <x v="4"/>
    <x v="23"/>
    <s v="Vacuum,Cleaning&amp;Ironing"/>
    <s v="Vacuums&amp;FloorCare"/>
    <x v="431"/>
    <n v="2890"/>
    <s v="&gt;₹500"/>
    <n v="0.46"/>
    <x v="1"/>
    <x v="2"/>
    <x v="950"/>
    <n v="1338070"/>
    <x v="0"/>
  </r>
  <r>
    <x v="4"/>
    <x v="23"/>
    <s v="SmallKitchenAppliances"/>
    <s v="HandBlenders"/>
    <x v="7"/>
    <n v="1299"/>
    <s v="&gt;₹500"/>
    <n v="0.62"/>
    <x v="0"/>
    <x v="16"/>
    <x v="951"/>
    <n v="70146"/>
    <x v="0"/>
  </r>
  <r>
    <x v="4"/>
    <x v="24"/>
    <s v="WaterHeaters&amp;Geysers"/>
    <s v="ImmersionRods"/>
    <x v="432"/>
    <n v="640"/>
    <s v="&gt;₹500"/>
    <n v="0.2"/>
    <x v="1"/>
    <x v="3"/>
    <x v="952"/>
    <n v="4626560"/>
    <x v="0"/>
  </r>
  <r>
    <x v="4"/>
    <x v="24"/>
    <s v="WaterHeaters&amp;Geysers"/>
    <s v="InstantWaterHeaters"/>
    <x v="433"/>
    <n v="3790"/>
    <s v="&gt;₹500"/>
    <n v="0.5"/>
    <x v="0"/>
    <x v="11"/>
    <x v="953"/>
    <n v="14561180"/>
    <x v="0"/>
  </r>
  <r>
    <x v="4"/>
    <x v="24"/>
    <s v="WaterHeaters&amp;Geysers"/>
    <s v="InstantWaterHeaters"/>
    <x v="213"/>
    <n v="4560"/>
    <s v="&gt;₹500"/>
    <n v="0.43"/>
    <x v="1"/>
    <x v="5"/>
    <x v="954"/>
    <n v="2945760"/>
    <x v="0"/>
  </r>
  <r>
    <x v="4"/>
    <x v="23"/>
    <s v="SmallKitchenAppliances"/>
    <s v="EggBoilers"/>
    <x v="33"/>
    <n v="3500"/>
    <s v="&gt;₹500"/>
    <n v="0.66"/>
    <x v="0"/>
    <x v="4"/>
    <x v="955"/>
    <n v="6307000"/>
    <x v="0"/>
  </r>
  <r>
    <x v="4"/>
    <x v="24"/>
    <s v="WaterHeaters&amp;Geysers"/>
    <s v="InstantWaterHeaters"/>
    <x v="29"/>
    <n v="2600"/>
    <s v="&gt;₹500"/>
    <n v="0.62"/>
    <x v="0"/>
    <x v="10"/>
    <x v="956"/>
    <n v="655200"/>
    <x v="0"/>
  </r>
  <r>
    <x v="4"/>
    <x v="23"/>
    <s v="SmallKitchenAppliances"/>
    <s v="InductionCooktop"/>
    <x v="168"/>
    <n v="3300"/>
    <s v="&gt;₹500"/>
    <n v="0.39"/>
    <x v="1"/>
    <x v="0"/>
    <x v="957"/>
    <n v="2574000"/>
    <x v="0"/>
  </r>
  <r>
    <x v="4"/>
    <x v="23"/>
    <s v="SmallKitchenAppliances"/>
    <s v="HandBlenders"/>
    <x v="68"/>
    <n v="699"/>
    <s v="&gt;₹500"/>
    <n v="0.7"/>
    <x v="0"/>
    <x v="7"/>
    <x v="689"/>
    <n v="51726"/>
    <x v="0"/>
  </r>
  <r>
    <x v="4"/>
    <x v="24"/>
    <s v="AirPurifiers"/>
    <s v="HEPAAirPurifiers"/>
    <x v="434"/>
    <n v="23559"/>
    <s v="&gt;₹500"/>
    <n v="0.38"/>
    <x v="1"/>
    <x v="4"/>
    <x v="958"/>
    <n v="47730534"/>
    <x v="0"/>
  </r>
  <r>
    <x v="4"/>
    <x v="26"/>
    <s v="LaundryOrganization"/>
    <s v="LaundryBaskets"/>
    <x v="435"/>
    <n v="1599"/>
    <s v="&gt;₹500"/>
    <n v="0.41"/>
    <x v="1"/>
    <x v="4"/>
    <x v="959"/>
    <n v="9451689"/>
    <x v="0"/>
  </r>
  <r>
    <x v="4"/>
    <x v="23"/>
    <s v="SmallKitchenAppliances"/>
    <s v="DeepFatFryers"/>
    <x v="436"/>
    <n v="9995"/>
    <s v="&gt;₹500"/>
    <n v="0.28000000000000003"/>
    <x v="1"/>
    <x v="5"/>
    <x v="960"/>
    <n v="19630180"/>
    <x v="0"/>
  </r>
  <r>
    <x v="4"/>
    <x v="24"/>
    <s v="RoomHeaters"/>
    <s v="ElectricHeaters"/>
    <x v="437"/>
    <n v="2545"/>
    <s v="&gt;₹500"/>
    <n v="0.04"/>
    <x v="1"/>
    <x v="3"/>
    <x v="224"/>
    <n v="63625"/>
    <x v="0"/>
  </r>
  <r>
    <x v="4"/>
    <x v="23"/>
    <s v="Vacuum,Cleaning&amp;Ironing"/>
    <s v="Irons,Steamers&amp;Accessories"/>
    <x v="438"/>
    <n v="8995"/>
    <s v="&gt;₹500"/>
    <n v="0.13"/>
    <x v="1"/>
    <x v="1"/>
    <x v="900"/>
    <n v="28424200"/>
    <x v="0"/>
  </r>
  <r>
    <x v="4"/>
    <x v="23"/>
    <s v="SmallKitchenAppliances"/>
    <s v="MiniFoodProcessors&amp;Choppers"/>
    <x v="44"/>
    <n v="1999"/>
    <s v="&gt;₹500"/>
    <n v="0.2"/>
    <x v="1"/>
    <x v="5"/>
    <x v="845"/>
    <n v="3114442"/>
    <x v="0"/>
  </r>
  <r>
    <x v="4"/>
    <x v="23"/>
    <s v="SmallKitchenAppliances"/>
    <s v="MixerGrinders"/>
    <x v="439"/>
    <n v="5500"/>
    <s v="&gt;₹500"/>
    <n v="0.47"/>
    <x v="1"/>
    <x v="11"/>
    <x v="961"/>
    <n v="49269000"/>
    <x v="0"/>
  </r>
  <r>
    <x v="4"/>
    <x v="23"/>
    <s v="SewingMachines&amp;Accessories"/>
    <s v="Sewing&amp;EmbroideryMachines"/>
    <x v="440"/>
    <n v="12150"/>
    <s v="&gt;₹500"/>
    <n v="0.19"/>
    <x v="1"/>
    <x v="4"/>
    <x v="962"/>
    <n v="160999650"/>
    <x v="0"/>
  </r>
  <r>
    <x v="4"/>
    <x v="23"/>
    <s v="Vacuum,Cleaning&amp;Ironing"/>
    <s v="Irons,Steamers&amp;Accessories"/>
    <x v="279"/>
    <n v="4995"/>
    <s v="&gt;₹500"/>
    <n v="0.34"/>
    <x v="1"/>
    <x v="11"/>
    <x v="963"/>
    <n v="6958035"/>
    <x v="0"/>
  </r>
  <r>
    <x v="4"/>
    <x v="23"/>
    <s v="SmallKitchenAppliances"/>
    <s v="HandBlenders"/>
    <x v="441"/>
    <n v="1499"/>
    <s v="&gt;₹500"/>
    <n v="0.55000000000000004"/>
    <x v="0"/>
    <x v="21"/>
    <x v="964"/>
    <n v="19487"/>
    <x v="0"/>
  </r>
  <r>
    <x v="4"/>
    <x v="23"/>
    <s v="SmallKitchenAppliances"/>
    <s v="JuicerMixerGrinders"/>
    <x v="442"/>
    <n v="7506"/>
    <s v="&gt;₹500"/>
    <n v="0.22"/>
    <x v="1"/>
    <x v="6"/>
    <x v="523"/>
    <n v="54350946"/>
    <x v="0"/>
  </r>
  <r>
    <x v="4"/>
    <x v="23"/>
    <s v="WaterPurifiers&amp;Accessories"/>
    <s v="WaterFilters&amp;Purifiers"/>
    <x v="443"/>
    <n v="18000"/>
    <s v="&gt;₹500"/>
    <n v="0.49"/>
    <x v="1"/>
    <x v="1"/>
    <x v="965"/>
    <n v="288360000"/>
    <x v="0"/>
  </r>
  <r>
    <x v="4"/>
    <x v="26"/>
    <s v="LaundryOrganization"/>
    <s v="LaundryBaskets"/>
    <x v="361"/>
    <n v="1099"/>
    <s v="&gt;₹500"/>
    <n v="0.68"/>
    <x v="0"/>
    <x v="7"/>
    <x v="966"/>
    <n v="1615530"/>
    <x v="0"/>
  </r>
  <r>
    <x v="8"/>
    <x v="28"/>
    <s v="HealthMonitors"/>
    <s v="WeighingScales"/>
    <x v="25"/>
    <n v="1900"/>
    <s v="&gt;₹500"/>
    <n v="0.53"/>
    <x v="0"/>
    <x v="1"/>
    <x v="967"/>
    <n v="6959700"/>
    <x v="0"/>
  </r>
  <r>
    <x v="4"/>
    <x v="23"/>
    <s v="SmallKitchenAppliances"/>
    <s v="Kettles&amp;HotWaterDispensers"/>
    <x v="277"/>
    <n v="1850"/>
    <s v="&gt;₹500"/>
    <n v="0.27"/>
    <x v="1"/>
    <x v="5"/>
    <x v="968"/>
    <n v="1180300"/>
    <x v="0"/>
  </r>
  <r>
    <x v="4"/>
    <x v="23"/>
    <s v="Vacuum,Cleaning&amp;Ironing"/>
    <s v="Vacuums&amp;FloorCare"/>
    <x v="444"/>
    <n v="9999"/>
    <s v="&gt;₹500"/>
    <n v="0.38"/>
    <x v="1"/>
    <x v="3"/>
    <x v="969"/>
    <n v="35516448"/>
    <x v="0"/>
  </r>
  <r>
    <x v="4"/>
    <x v="23"/>
    <s v="SmallKitchenAppliances"/>
    <s v="HandBlenders"/>
    <x v="445"/>
    <n v="3995"/>
    <s v="&gt;₹500"/>
    <n v="0.31"/>
    <x v="1"/>
    <x v="5"/>
    <x v="970"/>
    <n v="44536260"/>
    <x v="0"/>
  </r>
  <r>
    <x v="4"/>
    <x v="23"/>
    <s v="SewingMachines&amp;Accessories"/>
    <s v="Sewing&amp;EmbroideryMachines"/>
    <x v="446"/>
    <n v="1499"/>
    <s v="&gt;₹500"/>
    <n v="0.52"/>
    <x v="0"/>
    <x v="19"/>
    <x v="971"/>
    <n v="3671051"/>
    <x v="0"/>
  </r>
  <r>
    <x v="4"/>
    <x v="23"/>
    <s v="Vacuum,Cleaning&amp;Ironing"/>
    <s v="Irons,Steamers&amp;Accessories"/>
    <x v="447"/>
    <n v="3295"/>
    <s v="&gt;₹500"/>
    <n v="0.12"/>
    <x v="1"/>
    <x v="4"/>
    <x v="972"/>
    <n v="7575205"/>
    <x v="0"/>
  </r>
  <r>
    <x v="4"/>
    <x v="23"/>
    <s v="SmallKitchenAppliances"/>
    <s v="MiniFoodProcessors&amp;Choppers"/>
    <x v="448"/>
    <n v="2695"/>
    <s v="&gt;₹500"/>
    <n v="0.39"/>
    <x v="1"/>
    <x v="5"/>
    <x v="973"/>
    <n v="16242765"/>
    <x v="0"/>
  </r>
  <r>
    <x v="4"/>
    <x v="23"/>
    <s v="SmallKitchenAppliances"/>
    <s v="EggBoilers"/>
    <x v="92"/>
    <n v="2290"/>
    <s v="&gt;₹500"/>
    <n v="0.39"/>
    <x v="1"/>
    <x v="5"/>
    <x v="974"/>
    <n v="1055690"/>
    <x v="0"/>
  </r>
  <r>
    <x v="4"/>
    <x v="23"/>
    <s v="SmallKitchenAppliances"/>
    <s v="SandwichMakers"/>
    <x v="449"/>
    <n v="3099"/>
    <s v="&gt;₹500"/>
    <n v="0.33"/>
    <x v="1"/>
    <x v="3"/>
    <x v="201"/>
    <n v="873918"/>
    <x v="0"/>
  </r>
  <r>
    <x v="4"/>
    <x v="24"/>
    <s v="WaterHeaters&amp;Geysers"/>
    <s v="ImmersionRods"/>
    <x v="29"/>
    <n v="1075"/>
    <s v="&gt;₹500"/>
    <n v="7.0000000000000007E-2"/>
    <x v="1"/>
    <x v="3"/>
    <x v="453"/>
    <n v="9970625"/>
    <x v="0"/>
  </r>
  <r>
    <x v="4"/>
    <x v="23"/>
    <s v="Vacuum,Cleaning&amp;Ironing"/>
    <s v="Vacuums&amp;FloorCare"/>
    <x v="450"/>
    <n v="6999"/>
    <s v="&gt;₹500"/>
    <n v="0.55000000000000004"/>
    <x v="0"/>
    <x v="1"/>
    <x v="975"/>
    <n v="5200257"/>
    <x v="0"/>
  </r>
  <r>
    <x v="4"/>
    <x v="24"/>
    <s v="WaterHeaters&amp;Geysers"/>
    <s v="InstantWaterHeaters"/>
    <x v="249"/>
    <n v="2499"/>
    <s v="&gt;₹500"/>
    <n v="0.57999999999999996"/>
    <x v="0"/>
    <x v="9"/>
    <x v="976"/>
    <n v="819672"/>
    <x v="0"/>
  </r>
  <r>
    <x v="4"/>
    <x v="24"/>
    <s v="WaterHeaters&amp;Geysers"/>
    <s v="InstantWaterHeaters"/>
    <x v="360"/>
    <n v="7290"/>
    <s v="&gt;₹500"/>
    <n v="0.51"/>
    <x v="0"/>
    <x v="2"/>
    <x v="977"/>
    <n v="6867180"/>
    <x v="0"/>
  </r>
  <r>
    <x v="4"/>
    <x v="23"/>
    <s v="Coffee,Tea&amp;Espresso"/>
    <s v="EspressoMachines"/>
    <x v="451"/>
    <n v="5795"/>
    <s v="&gt;₹500"/>
    <n v="0.17"/>
    <x v="1"/>
    <x v="2"/>
    <x v="978"/>
    <n v="22107925"/>
    <x v="0"/>
  </r>
  <r>
    <x v="4"/>
    <x v="23"/>
    <s v="SmallKitchenAppliances"/>
    <s v="MixerGrinders"/>
    <x v="79"/>
    <n v="3398"/>
    <s v="&gt;₹500"/>
    <n v="0.5"/>
    <x v="0"/>
    <x v="11"/>
    <x v="979"/>
    <n v="27143224"/>
    <x v="0"/>
  </r>
  <r>
    <x v="4"/>
    <x v="23"/>
    <s v="SmallKitchenAppliances"/>
    <s v="Kettles&amp;HotWaterDispensers"/>
    <x v="419"/>
    <n v="1490"/>
    <s v="&gt;₹500"/>
    <n v="0.55000000000000004"/>
    <x v="0"/>
    <x v="3"/>
    <x v="980"/>
    <n v="1378250"/>
    <x v="0"/>
  </r>
  <r>
    <x v="4"/>
    <x v="24"/>
    <s v="Fans"/>
    <s v="TableFans"/>
    <x v="452"/>
    <n v="1620"/>
    <s v="&gt;₹500"/>
    <n v="0.41"/>
    <x v="1"/>
    <x v="3"/>
    <x v="981"/>
    <n v="7079400"/>
    <x v="0"/>
  </r>
  <r>
    <x v="4"/>
    <x v="23"/>
    <s v="Vacuum,Cleaning&amp;Ironing"/>
    <s v="Irons,Steamers&amp;Accessories"/>
    <x v="453"/>
    <n v="1000"/>
    <s v="&gt;₹500"/>
    <n v="0.15"/>
    <x v="1"/>
    <x v="3"/>
    <x v="982"/>
    <n v="7619000"/>
    <x v="0"/>
  </r>
  <r>
    <x v="4"/>
    <x v="23"/>
    <s v="WaterPurifiers&amp;Accessories"/>
    <s v="WaterCartridges"/>
    <x v="394"/>
    <n v="640"/>
    <s v="&gt;₹500"/>
    <n v="0.06"/>
    <x v="1"/>
    <x v="11"/>
    <x v="983"/>
    <n v="1659520"/>
    <x v="0"/>
  </r>
  <r>
    <x v="4"/>
    <x v="24"/>
    <s v="RoomHeaters"/>
    <s v="ElectricHeaters"/>
    <x v="454"/>
    <n v="4495"/>
    <s v="&gt;₹500"/>
    <n v="0.17"/>
    <x v="1"/>
    <x v="4"/>
    <x v="166"/>
    <n v="1600220"/>
    <x v="0"/>
  </r>
  <r>
    <x v="4"/>
    <x v="23"/>
    <s v="SmallKitchenAppliances"/>
    <s v="DigitalKitchenScales"/>
    <x v="34"/>
    <n v="2999"/>
    <s v="&gt;₹500"/>
    <n v="0.73"/>
    <x v="0"/>
    <x v="6"/>
    <x v="984"/>
    <n v="188937"/>
    <x v="0"/>
  </r>
  <r>
    <x v="4"/>
    <x v="23"/>
    <s v="WaterPurifiers&amp;Accessories"/>
    <s v="WaterPurifierAccessories"/>
    <x v="455"/>
    <n v="980"/>
    <s v="&gt;₹500"/>
    <n v="0"/>
    <x v="1"/>
    <x v="0"/>
    <x v="374"/>
    <n v="4645200"/>
    <x v="0"/>
  </r>
  <r>
    <x v="4"/>
    <x v="26"/>
    <s v="LaundryOrganization"/>
    <s v="LaundryBaskets"/>
    <x v="361"/>
    <n v="899"/>
    <s v="&gt;₹500"/>
    <n v="0.61"/>
    <x v="0"/>
    <x v="2"/>
    <x v="985"/>
    <n v="266104"/>
    <x v="0"/>
  </r>
  <r>
    <x v="4"/>
    <x v="23"/>
    <s v="Coffee,Tea&amp;Espresso"/>
    <s v="MilkFrothers"/>
    <x v="6"/>
    <n v="499"/>
    <s v="₹200–₹500"/>
    <n v="0.54"/>
    <x v="0"/>
    <x v="12"/>
    <x v="189"/>
    <n v="92315"/>
    <x v="0"/>
  </r>
  <r>
    <x v="4"/>
    <x v="23"/>
    <s v="Vacuum,Cleaning&amp;Ironing"/>
    <s v="Irons,Steamers&amp;Accessories"/>
    <x v="456"/>
    <n v="3995"/>
    <s v="&gt;₹500"/>
    <n v="0.16"/>
    <x v="1"/>
    <x v="4"/>
    <x v="986"/>
    <n v="7806230"/>
    <x v="0"/>
  </r>
  <r>
    <x v="4"/>
    <x v="24"/>
    <s v="WaterHeaters&amp;Geysers"/>
    <s v="StorageWaterHeaters"/>
    <x v="358"/>
    <n v="11500"/>
    <s v="&gt;₹500"/>
    <n v="0.52"/>
    <x v="0"/>
    <x v="2"/>
    <x v="987"/>
    <n v="11028500"/>
    <x v="0"/>
  </r>
  <r>
    <x v="4"/>
    <x v="23"/>
    <s v="Vacuum,Cleaning&amp;Ironing"/>
    <s v="Irons,Steamers&amp;Accessories"/>
    <x v="8"/>
    <n v="499"/>
    <s v="₹200–₹500"/>
    <n v="0.4"/>
    <x v="1"/>
    <x v="2"/>
    <x v="988"/>
    <n v="506485"/>
    <x v="0"/>
  </r>
  <r>
    <x v="4"/>
    <x v="24"/>
    <s v="Humidifiers"/>
    <m/>
    <x v="457"/>
    <n v="3550"/>
    <s v="&gt;₹500"/>
    <n v="0.37"/>
    <x v="1"/>
    <x v="1"/>
    <x v="989"/>
    <n v="14104150"/>
    <x v="0"/>
  </r>
  <r>
    <x v="4"/>
    <x v="23"/>
    <s v="SmallKitchenAppliances"/>
    <s v="EggBoilers"/>
    <x v="154"/>
    <n v="1599"/>
    <s v="&gt;₹500"/>
    <n v="0.56000000000000005"/>
    <x v="0"/>
    <x v="16"/>
    <x v="990"/>
    <n v="3677700"/>
    <x v="0"/>
  </r>
  <r>
    <x v="4"/>
    <x v="24"/>
    <s v="RoomHeaters"/>
    <s v="ElectricHeaters"/>
    <x v="458"/>
    <n v="1499"/>
    <s v="&gt;₹500"/>
    <n v="0.18"/>
    <x v="1"/>
    <x v="3"/>
    <x v="991"/>
    <n v="304297"/>
    <x v="0"/>
  </r>
  <r>
    <x v="4"/>
    <x v="23"/>
    <s v="SmallKitchenAppliances"/>
    <s v="MiniFoodProcessors&amp;Choppers"/>
    <x v="277"/>
    <n v="2999"/>
    <s v="&gt;₹500"/>
    <n v="0.55000000000000004"/>
    <x v="0"/>
    <x v="11"/>
    <x v="865"/>
    <n v="1322559"/>
    <x v="0"/>
  </r>
  <r>
    <x v="4"/>
    <x v="24"/>
    <s v="WaterHeaters&amp;Geysers"/>
    <s v="StorageWaterHeaters"/>
    <x v="459"/>
    <n v="11500"/>
    <s v="&gt;₹500"/>
    <n v="0.41"/>
    <x v="1"/>
    <x v="3"/>
    <x v="992"/>
    <n v="118542000"/>
    <x v="0"/>
  </r>
  <r>
    <x v="4"/>
    <x v="23"/>
    <s v="Vacuum,Cleaning&amp;Ironing"/>
    <s v="Vacuums&amp;FloorCare"/>
    <x v="202"/>
    <n v="2499"/>
    <s v="&gt;₹500"/>
    <n v="0.16"/>
    <x v="1"/>
    <x v="22"/>
    <x v="993"/>
    <n v="2479008"/>
    <x v="0"/>
  </r>
  <r>
    <x v="4"/>
    <x v="23"/>
    <s v="SmallKitchenAppliances"/>
    <s v="SandwichMakers"/>
    <x v="79"/>
    <n v="1975"/>
    <s v="&gt;₹500"/>
    <n v="0.14000000000000001"/>
    <x v="1"/>
    <x v="3"/>
    <x v="994"/>
    <n v="9314100"/>
    <x v="0"/>
  </r>
  <r>
    <x v="4"/>
    <x v="24"/>
    <s v="RoomHeaters"/>
    <s v="FanHeaters"/>
    <x v="460"/>
    <n v="1699"/>
    <s v="&gt;₹500"/>
    <n v="0.37"/>
    <x v="1"/>
    <x v="2"/>
    <x v="135"/>
    <n v="531787"/>
    <x v="0"/>
  </r>
  <r>
    <x v="4"/>
    <x v="24"/>
    <s v="RoomHeaters"/>
    <s v="FanHeaters"/>
    <x v="277"/>
    <n v="2495"/>
    <s v="&gt;₹500"/>
    <n v="0.46"/>
    <x v="1"/>
    <x v="11"/>
    <x v="995"/>
    <n v="414170"/>
    <x v="0"/>
  </r>
  <r>
    <x v="4"/>
    <x v="24"/>
    <s v="WaterHeaters&amp;Geysers"/>
    <s v="ImmersionRods"/>
    <x v="72"/>
    <n v="3500"/>
    <s v="&gt;₹500"/>
    <n v="0.56999999999999995"/>
    <x v="0"/>
    <x v="3"/>
    <x v="996"/>
    <n v="1060500"/>
    <x v="0"/>
  </r>
  <r>
    <x v="4"/>
    <x v="23"/>
    <s v="SmallKitchenAppliances"/>
    <s v="SandwichMakers"/>
    <x v="461"/>
    <n v="4600"/>
    <s v="&gt;₹500"/>
    <n v="0.55000000000000004"/>
    <x v="0"/>
    <x v="4"/>
    <x v="997"/>
    <n v="2585200"/>
    <x v="0"/>
  </r>
  <r>
    <x v="4"/>
    <x v="23"/>
    <s v="Vacuum,Cleaning&amp;Ironing"/>
    <s v="Vacuums&amp;FloorCare"/>
    <x v="462"/>
    <n v="10295"/>
    <s v="&gt;₹500"/>
    <n v="0.63"/>
    <x v="0"/>
    <x v="2"/>
    <x v="998"/>
    <n v="83338025"/>
    <x v="0"/>
  </r>
  <r>
    <x v="4"/>
    <x v="23"/>
    <s v="SmallKitchenAppliances"/>
    <s v="JuicerMixerGrinders"/>
    <x v="7"/>
    <n v="2199"/>
    <s v="&gt;₹500"/>
    <n v="0.77"/>
    <x v="0"/>
    <x v="18"/>
    <x v="999"/>
    <n v="239691"/>
    <x v="0"/>
  </r>
  <r>
    <x v="4"/>
    <x v="24"/>
    <s v="Fans"/>
    <s v="CeilingFans"/>
    <x v="463"/>
    <n v="2380"/>
    <s v="&gt;₹500"/>
    <n v="0.24"/>
    <x v="1"/>
    <x v="1"/>
    <x v="1000"/>
    <n v="36609160"/>
    <x v="0"/>
  </r>
  <r>
    <x v="4"/>
    <x v="23"/>
    <s v="SmallKitchenAppliances"/>
    <s v="JuicerMixerGrinders"/>
    <x v="464"/>
    <n v="8820"/>
    <s v="&gt;₹500"/>
    <n v="0.26"/>
    <x v="1"/>
    <x v="6"/>
    <x v="1001"/>
    <n v="45308340"/>
    <x v="0"/>
  </r>
  <r>
    <x v="4"/>
    <x v="23"/>
    <s v="WaterPurifiers&amp;Accessories"/>
    <s v="WaterFilters&amp;Purifiers"/>
    <x v="208"/>
    <n v="24999"/>
    <s v="&gt;₹500"/>
    <n v="0.8"/>
    <x v="0"/>
    <x v="13"/>
    <x v="851"/>
    <n v="3099876"/>
    <x v="0"/>
  </r>
  <r>
    <x v="4"/>
    <x v="23"/>
    <s v="Coffee,Tea&amp;Espresso"/>
    <s v="DripCoffeeMachines"/>
    <x v="465"/>
    <n v="2400"/>
    <s v="&gt;₹500"/>
    <n v="0.5"/>
    <x v="0"/>
    <x v="3"/>
    <x v="1002"/>
    <n v="1483200"/>
    <x v="0"/>
  </r>
  <r>
    <x v="4"/>
    <x v="24"/>
    <s v="RoomHeaters"/>
    <s v="FanHeaters"/>
    <x v="466"/>
    <n v="4200"/>
    <s v="&gt;₹500"/>
    <n v="0.38"/>
    <x v="1"/>
    <x v="3"/>
    <x v="984"/>
    <n v="264600"/>
    <x v="0"/>
  </r>
  <r>
    <x v="4"/>
    <x v="24"/>
    <s v="RoomHeaters"/>
    <s v="FanHeaters"/>
    <x v="25"/>
    <n v="1599"/>
    <s v="&gt;₹500"/>
    <n v="0.44"/>
    <x v="1"/>
    <x v="10"/>
    <x v="1003"/>
    <n v="23985"/>
    <x v="0"/>
  </r>
  <r>
    <x v="4"/>
    <x v="24"/>
    <s v="RoomHeaters"/>
    <s v="FanHeaters"/>
    <x v="467"/>
    <n v="2999"/>
    <s v="&gt;₹500"/>
    <n v="0.67"/>
    <x v="0"/>
    <x v="13"/>
    <x v="1004"/>
    <n v="26991"/>
    <x v="0"/>
  </r>
  <r>
    <x v="4"/>
    <x v="26"/>
    <s v="LaundryOrganization"/>
    <s v="LaundryBaskets"/>
    <x v="468"/>
    <n v="1282"/>
    <s v="&gt;₹500"/>
    <n v="0.22"/>
    <x v="1"/>
    <x v="0"/>
    <x v="1005"/>
    <n v="9325268"/>
    <x v="0"/>
  </r>
  <r>
    <x v="4"/>
    <x v="24"/>
    <s v="Fans"/>
    <s v="CeilingFans"/>
    <x v="59"/>
    <n v="1990"/>
    <s v="&gt;₹500"/>
    <n v="0.45"/>
    <x v="1"/>
    <x v="2"/>
    <x v="959"/>
    <n v="11762890"/>
    <x v="0"/>
  </r>
  <r>
    <x v="4"/>
    <x v="23"/>
    <s v="Vacuum,Cleaning&amp;Ironing"/>
    <s v="PressureWashers,Steam&amp;WindowCleaners"/>
    <x v="415"/>
    <n v="9999"/>
    <s v="&gt;₹500"/>
    <n v="0.4"/>
    <x v="1"/>
    <x v="0"/>
    <x v="1006"/>
    <n v="1699830"/>
    <x v="0"/>
  </r>
  <r>
    <x v="4"/>
    <x v="23"/>
    <s v="Vacuum,Cleaning&amp;Ironing"/>
    <s v="Vacuums&amp;FloorCare"/>
    <x v="469"/>
    <n v="11850"/>
    <s v="&gt;₹500"/>
    <n v="0.25"/>
    <x v="1"/>
    <x v="0"/>
    <x v="1007"/>
    <n v="36320250"/>
    <x v="0"/>
  </r>
  <r>
    <x v="4"/>
    <x v="23"/>
    <s v="Vacuum,Cleaning&amp;Ironing"/>
    <s v="Irons,Steamers&amp;Accessories"/>
    <x v="230"/>
    <n v="999"/>
    <s v="&gt;₹500"/>
    <n v="0.52"/>
    <x v="0"/>
    <x v="3"/>
    <x v="1008"/>
    <n v="1019979"/>
    <x v="0"/>
  </r>
  <r>
    <x v="4"/>
    <x v="23"/>
    <s v="SmallKitchenAppliances"/>
    <s v="DeepFatFryers"/>
    <x v="470"/>
    <n v="20049"/>
    <s v="&gt;₹500"/>
    <n v="0.75"/>
    <x v="0"/>
    <x v="20"/>
    <x v="1009"/>
    <n v="79474236"/>
    <x v="0"/>
  </r>
  <r>
    <x v="4"/>
    <x v="23"/>
    <s v="WaterPurifiers&amp;Accessories"/>
    <s v="WaterFilters&amp;Purifiers"/>
    <x v="13"/>
    <n v="24850"/>
    <s v="&gt;₹500"/>
    <n v="0.44"/>
    <x v="1"/>
    <x v="5"/>
    <x v="1010"/>
    <n v="222357800"/>
    <x v="0"/>
  </r>
  <r>
    <x v="4"/>
    <x v="23"/>
    <s v="WaterPurifiers&amp;Accessories"/>
    <s v="WaterFilters&amp;Purifiers"/>
    <x v="73"/>
    <n v="16490"/>
    <s v="&gt;₹500"/>
    <n v="0.48"/>
    <x v="1"/>
    <x v="4"/>
    <x v="892"/>
    <n v="1599530"/>
    <x v="0"/>
  </r>
  <r>
    <x v="4"/>
    <x v="23"/>
    <s v="Vacuum,Cleaning&amp;Ironing"/>
    <s v="Irons,Steamers&amp;Accessories"/>
    <x v="96"/>
    <n v="975"/>
    <s v="&gt;₹500"/>
    <n v="0.03"/>
    <x v="1"/>
    <x v="4"/>
    <x v="1011"/>
    <n v="7042425"/>
    <x v="0"/>
  </r>
  <r>
    <x v="4"/>
    <x v="26"/>
    <s v="LaundryOrganization"/>
    <s v="LaundryBaskets"/>
    <x v="471"/>
    <n v="499"/>
    <s v="₹200–₹500"/>
    <n v="0.21"/>
    <x v="1"/>
    <x v="1"/>
    <x v="1012"/>
    <n v="164670"/>
    <x v="0"/>
  </r>
  <r>
    <x v="4"/>
    <x v="23"/>
    <s v="SmallKitchenAppliances"/>
    <s v="SmallApplianceParts&amp;Accessories"/>
    <x v="472"/>
    <n v="635"/>
    <s v="&gt;₹500"/>
    <n v="0"/>
    <x v="1"/>
    <x v="4"/>
    <x v="1013"/>
    <n v="2901950"/>
    <x v="0"/>
  </r>
  <r>
    <x v="4"/>
    <x v="23"/>
    <s v="Vacuum,Cleaning&amp;Ironing"/>
    <s v="Irons,Steamers&amp;Accessories"/>
    <x v="241"/>
    <n v="1390"/>
    <s v="&gt;₹500"/>
    <n v="0.48"/>
    <x v="1"/>
    <x v="1"/>
    <x v="1014"/>
    <n v="6765130"/>
    <x v="0"/>
  </r>
  <r>
    <x v="4"/>
    <x v="23"/>
    <s v="Vacuum,Cleaning&amp;Ironing"/>
    <s v="Vacuums&amp;FloorCare"/>
    <x v="473"/>
    <n v="59900"/>
    <s v="&gt;₹500"/>
    <n v="0.53"/>
    <x v="0"/>
    <x v="5"/>
    <x v="1015"/>
    <n v="317350200"/>
    <x v="0"/>
  </r>
  <r>
    <x v="4"/>
    <x v="23"/>
    <s v="WaterPurifiers&amp;Accessories"/>
    <s v="WaterCartridges"/>
    <x v="37"/>
    <n v="670"/>
    <s v="&gt;₹500"/>
    <n v="0.03"/>
    <x v="1"/>
    <x v="3"/>
    <x v="1016"/>
    <n v="5216620"/>
    <x v="0"/>
  </r>
  <r>
    <x v="4"/>
    <x v="23"/>
    <s v="WaterPurifiers&amp;Accessories"/>
    <s v="WaterPurifierAccessories"/>
    <x v="474"/>
    <n v="399"/>
    <s v="₹200–₹500"/>
    <n v="0.52"/>
    <x v="0"/>
    <x v="9"/>
    <x v="95"/>
    <n v="14763"/>
    <x v="0"/>
  </r>
  <r>
    <x v="4"/>
    <x v="24"/>
    <s v="RoomHeaters"/>
    <s v="FanHeaters"/>
    <x v="69"/>
    <n v="2495"/>
    <s v="&gt;₹500"/>
    <n v="0.48"/>
    <x v="1"/>
    <x v="23"/>
    <x v="1017"/>
    <n v="4990"/>
    <x v="0"/>
  </r>
  <r>
    <x v="4"/>
    <x v="23"/>
    <s v="SmallKitchenAppliances"/>
    <s v="MixerGrinders"/>
    <x v="475"/>
    <n v="3390"/>
    <s v="&gt;₹500"/>
    <n v="0.28000000000000003"/>
    <x v="1"/>
    <x v="1"/>
    <x v="1018"/>
    <n v="17648340"/>
    <x v="0"/>
  </r>
  <r>
    <x v="4"/>
    <x v="24"/>
    <s v="WaterHeaters&amp;Geysers"/>
    <s v="InstantWaterHeaters"/>
    <x v="249"/>
    <n v="2499"/>
    <s v="&gt;₹500"/>
    <n v="0.57999999999999996"/>
    <x v="0"/>
    <x v="7"/>
    <x v="968"/>
    <n v="1594362"/>
    <x v="0"/>
  </r>
  <r>
    <x v="4"/>
    <x v="24"/>
    <s v="Fans"/>
    <s v="TableFans"/>
    <x v="403"/>
    <n v="4200"/>
    <s v="&gt;₹500"/>
    <n v="0.43"/>
    <x v="1"/>
    <x v="11"/>
    <x v="1019"/>
    <n v="1667400"/>
    <x v="0"/>
  </r>
  <r>
    <x v="4"/>
    <x v="23"/>
    <s v="Vacuum,Cleaning&amp;Ironing"/>
    <s v="Vacuums&amp;FloorCare"/>
    <x v="476"/>
    <n v="4495"/>
    <s v="&gt;₹500"/>
    <n v="0.49"/>
    <x v="1"/>
    <x v="2"/>
    <x v="1020"/>
    <n v="1465370"/>
    <x v="0"/>
  </r>
  <r>
    <x v="4"/>
    <x v="23"/>
    <s v="SmallKitchenAppliances"/>
    <s v="Juicers"/>
    <x v="7"/>
    <n v="2199"/>
    <s v="&gt;₹500"/>
    <n v="0.77"/>
    <x v="0"/>
    <x v="19"/>
    <x v="1021"/>
    <n v="7755873"/>
    <x v="0"/>
  </r>
  <r>
    <x v="4"/>
    <x v="23"/>
    <s v="SmallKitchenAppliances"/>
    <s v="VacuumSealers"/>
    <x v="247"/>
    <n v="999"/>
    <s v="&gt;₹500"/>
    <n v="0.56999999999999995"/>
    <x v="0"/>
    <x v="17"/>
    <x v="1022"/>
    <n v="616383"/>
    <x v="0"/>
  </r>
  <r>
    <x v="4"/>
    <x v="23"/>
    <s v="SmallKitchenAppliances"/>
    <s v="SandwichMakers"/>
    <x v="8"/>
    <n v="595"/>
    <s v="&gt;₹500"/>
    <n v="0.5"/>
    <x v="0"/>
    <x v="1"/>
    <x v="46"/>
    <n v="186830"/>
    <x v="0"/>
  </r>
  <r>
    <x v="4"/>
    <x v="23"/>
    <s v="WaterPurifiers&amp;Accessories"/>
    <s v="WaterFilters&amp;Purifiers"/>
    <x v="477"/>
    <n v="19990"/>
    <s v="&gt;₹500"/>
    <n v="0.73"/>
    <x v="0"/>
    <x v="5"/>
    <x v="1023"/>
    <n v="10694650"/>
    <x v="0"/>
  </r>
  <r>
    <x v="4"/>
    <x v="23"/>
    <s v="Vacuum,Cleaning&amp;Ironing"/>
    <s v="Irons,Steamers&amp;Accessories"/>
    <x v="478"/>
    <n v="1010"/>
    <s v="&gt;₹500"/>
    <n v="0.45"/>
    <x v="1"/>
    <x v="3"/>
    <x v="1024"/>
    <n v="17498250"/>
    <x v="0"/>
  </r>
  <r>
    <x v="4"/>
    <x v="23"/>
    <s v="Vacuum,Cleaning&amp;Ironing"/>
    <s v="Irons,Steamers&amp;Accessories"/>
    <x v="479"/>
    <n v="1100"/>
    <s v="&gt;₹500"/>
    <n v="0.4"/>
    <x v="1"/>
    <x v="9"/>
    <x v="1025"/>
    <n v="100100"/>
    <x v="0"/>
  </r>
  <r>
    <x v="4"/>
    <x v="23"/>
    <s v="SmallKitchenAppliances"/>
    <s v="EggBoilers"/>
    <x v="480"/>
    <n v="999"/>
    <s v="&gt;₹500"/>
    <n v="0.57999999999999996"/>
    <x v="0"/>
    <x v="5"/>
    <x v="239"/>
    <n v="226773"/>
    <x v="0"/>
  </r>
  <r>
    <x v="4"/>
    <x v="24"/>
    <s v="WaterHeaters&amp;Geysers"/>
    <s v="StorageWaterHeaters"/>
    <x v="481"/>
    <n v="10900"/>
    <s v="&gt;₹500"/>
    <n v="0.33"/>
    <x v="1"/>
    <x v="0"/>
    <x v="1026"/>
    <n v="130331300"/>
    <x v="0"/>
  </r>
  <r>
    <x v="4"/>
    <x v="24"/>
    <s v="Fans"/>
    <s v="CeilingFans"/>
    <x v="439"/>
    <n v="4005"/>
    <s v="&gt;₹500"/>
    <n v="0.28000000000000003"/>
    <x v="1"/>
    <x v="4"/>
    <x v="1027"/>
    <n v="28595700"/>
    <x v="0"/>
  </r>
  <r>
    <x v="4"/>
    <x v="23"/>
    <s v="Vacuum,Cleaning&amp;Ironing"/>
    <s v="Vacuums&amp;FloorCare"/>
    <x v="166"/>
    <n v="3295"/>
    <s v="&gt;₹500"/>
    <n v="0.45"/>
    <x v="1"/>
    <x v="11"/>
    <x v="1028"/>
    <n v="2263665"/>
    <x v="0"/>
  </r>
  <r>
    <x v="4"/>
    <x v="23"/>
    <s v="SmallKitchenAppliances"/>
    <s v="SandwichMakers"/>
    <x v="482"/>
    <n v="4650"/>
    <s v="&gt;₹500"/>
    <n v="0.68"/>
    <x v="0"/>
    <x v="3"/>
    <x v="79"/>
    <n v="4859250"/>
    <x v="0"/>
  </r>
  <r>
    <x v="4"/>
    <x v="23"/>
    <s v="WaterPurifiers&amp;Accessories"/>
    <s v="WaterFilters&amp;Purifiers"/>
    <x v="38"/>
    <n v="24500"/>
    <s v="&gt;₹500"/>
    <n v="0.35"/>
    <x v="1"/>
    <x v="1"/>
    <x v="1029"/>
    <n v="274547000"/>
    <x v="0"/>
  </r>
  <r>
    <x v="4"/>
    <x v="24"/>
    <s v="WaterHeaters&amp;Geysers"/>
    <s v="InstantWaterHeaters"/>
    <x v="483"/>
    <n v="6070"/>
    <s v="&gt;₹500"/>
    <n v="0.4"/>
    <x v="1"/>
    <x v="0"/>
    <x v="1030"/>
    <n v="3405270"/>
    <x v="0"/>
  </r>
  <r>
    <x v="4"/>
    <x v="23"/>
    <s v="SmallKitchenAppliances"/>
    <s v="HandBlenders"/>
    <x v="484"/>
    <n v="999"/>
    <s v="&gt;₹500"/>
    <n v="0.62"/>
    <x v="0"/>
    <x v="9"/>
    <x v="1031"/>
    <n v="1986012"/>
    <x v="0"/>
  </r>
  <r>
    <x v="4"/>
    <x v="23"/>
    <s v="SmallKitchenAppliances"/>
    <s v="Rice&amp;PastaCookers"/>
    <x v="485"/>
    <n v="3945"/>
    <s v="&gt;₹500"/>
    <n v="0.25"/>
    <x v="1"/>
    <x v="0"/>
    <x v="1032"/>
    <n v="14754300"/>
    <x v="0"/>
  </r>
  <r>
    <x v="4"/>
    <x v="23"/>
    <s v="Coffee,Tea&amp;Espresso"/>
    <s v="MilkFrothers"/>
    <x v="59"/>
    <n v="1499"/>
    <s v="&gt;₹500"/>
    <n v="0.27"/>
    <x v="1"/>
    <x v="3"/>
    <x v="1033"/>
    <n v="6597099"/>
    <x v="0"/>
  </r>
  <r>
    <x v="4"/>
    <x v="23"/>
    <s v="Vacuum,Cleaning&amp;Ironing"/>
    <s v="Irons,Steamers&amp;Accessories"/>
    <x v="486"/>
    <n v="6700"/>
    <s v="&gt;₹500"/>
    <n v="0.62"/>
    <x v="0"/>
    <x v="0"/>
    <x v="1034"/>
    <n v="4093700"/>
    <x v="0"/>
  </r>
  <r>
    <x v="4"/>
    <x v="23"/>
    <s v="SmallKitchenAppliances"/>
    <s v="MixerGrinders"/>
    <x v="487"/>
    <n v="2800"/>
    <s v="&gt;₹500"/>
    <n v="0.41"/>
    <x v="1"/>
    <x v="2"/>
    <x v="825"/>
    <n v="6053600"/>
    <x v="0"/>
  </r>
  <r>
    <x v="4"/>
    <x v="23"/>
    <s v="SmallKitchenAppliances"/>
    <s v="HandBlenders"/>
    <x v="34"/>
    <n v="1699"/>
    <s v="&gt;₹500"/>
    <n v="0.53"/>
    <x v="0"/>
    <x v="1"/>
    <x v="892"/>
    <n v="164803"/>
    <x v="0"/>
  </r>
  <r>
    <x v="4"/>
    <x v="23"/>
    <s v="SmallKitchenAppliances"/>
    <s v="HandBlenders"/>
    <x v="488"/>
    <n v="970"/>
    <s v="&gt;₹500"/>
    <n v="0.21"/>
    <x v="1"/>
    <x v="0"/>
    <x v="1035"/>
    <n v="5873350"/>
    <x v="0"/>
  </r>
  <r>
    <x v="4"/>
    <x v="23"/>
    <s v="Vacuum,Cleaning&amp;Ironing"/>
    <s v="Irons,Steamers&amp;Accessories"/>
    <x v="29"/>
    <n v="1500"/>
    <s v="&gt;₹500"/>
    <n v="0.33"/>
    <x v="1"/>
    <x v="0"/>
    <x v="1036"/>
    <n v="579000"/>
    <x v="0"/>
  </r>
  <r>
    <x v="4"/>
    <x v="23"/>
    <s v="SmallKitchenAppliances"/>
    <s v="YogurtMakers"/>
    <x v="489"/>
    <n v="1295"/>
    <s v="&gt;₹500"/>
    <n v="0.55000000000000004"/>
    <x v="0"/>
    <x v="3"/>
    <x v="1037"/>
    <n v="721315"/>
    <x v="0"/>
  </r>
  <r>
    <x v="4"/>
    <x v="23"/>
    <s v="SmallKitchenAppliances"/>
    <s v="Juicers"/>
    <x v="490"/>
    <n v="23999"/>
    <s v="&gt;₹500"/>
    <n v="0.47"/>
    <x v="1"/>
    <x v="5"/>
    <x v="1038"/>
    <n v="54909712"/>
    <x v="0"/>
  </r>
  <r>
    <x v="4"/>
    <x v="23"/>
    <s v="Vacuum,Cleaning&amp;Ironing"/>
    <s v="Irons,Steamers&amp;Accessories"/>
    <x v="154"/>
    <n v="850"/>
    <s v="&gt;₹500"/>
    <n v="0.18"/>
    <x v="1"/>
    <x v="3"/>
    <x v="1039"/>
    <n v="940100"/>
    <x v="0"/>
  </r>
  <r>
    <x v="4"/>
    <x v="23"/>
    <s v="Vacuum,Cleaning&amp;Ironing"/>
    <s v="Vacuums&amp;FloorCare"/>
    <x v="215"/>
    <n v="6000"/>
    <s v="&gt;₹500"/>
    <n v="0.37"/>
    <x v="1"/>
    <x v="0"/>
    <x v="1040"/>
    <n v="71610000"/>
    <x v="0"/>
  </r>
  <r>
    <x v="4"/>
    <x v="24"/>
    <s v="WaterHeaters&amp;Geysers"/>
    <s v="ImmersionRods"/>
    <x v="491"/>
    <n v="1020"/>
    <s v="&gt;₹500"/>
    <n v="0.37"/>
    <x v="1"/>
    <x v="3"/>
    <x v="1041"/>
    <n v="5160180"/>
    <x v="0"/>
  </r>
  <r>
    <x v="4"/>
    <x v="24"/>
    <s v="RoomHeaters"/>
    <s v="FanHeaters"/>
    <x v="492"/>
    <n v="1999"/>
    <s v="&gt;₹500"/>
    <n v="0.51"/>
    <x v="0"/>
    <x v="2"/>
    <x v="1042"/>
    <n v="313843"/>
    <x v="0"/>
  </r>
  <r>
    <x v="4"/>
    <x v="24"/>
    <s v="WaterHeaters&amp;Geysers"/>
    <s v="InstantWaterHeaters"/>
    <x v="493"/>
    <n v="7445"/>
    <s v="&gt;₹500"/>
    <n v="0.28000000000000003"/>
    <x v="1"/>
    <x v="2"/>
    <x v="1043"/>
    <n v="26682880"/>
    <x v="0"/>
  </r>
  <r>
    <x v="4"/>
    <x v="23"/>
    <s v="Vacuum,Cleaning&amp;Ironing"/>
    <s v="Irons,Steamers&amp;Accessories"/>
    <x v="396"/>
    <n v="3500"/>
    <s v="&gt;₹500"/>
    <n v="0.09"/>
    <x v="1"/>
    <x v="0"/>
    <x v="1044"/>
    <n v="6646500"/>
    <x v="0"/>
  </r>
  <r>
    <x v="4"/>
    <x v="23"/>
    <s v="SmallKitchenAppliances"/>
    <s v="HandMixers"/>
    <x v="492"/>
    <n v="1395"/>
    <s v="&gt;₹500"/>
    <n v="0.3"/>
    <x v="1"/>
    <x v="0"/>
    <x v="1045"/>
    <n v="21276540"/>
    <x v="0"/>
  </r>
  <r>
    <x v="4"/>
    <x v="24"/>
    <s v="RoomHeaters"/>
    <s v="ElectricHeaters"/>
    <x v="494"/>
    <n v="2199"/>
    <s v="&gt;₹500"/>
    <n v="0.57999999999999996"/>
    <x v="0"/>
    <x v="7"/>
    <x v="803"/>
    <n v="8796"/>
    <x v="0"/>
  </r>
  <r>
    <x v="4"/>
    <x v="23"/>
    <s v="SmallKitchenAppliances"/>
    <s v="Mills&amp;Grinders"/>
    <x v="495"/>
    <n v="4330"/>
    <s v="&gt;₹500"/>
    <n v="0.14000000000000001"/>
    <x v="1"/>
    <x v="7"/>
    <x v="613"/>
    <n v="7196460"/>
    <x v="0"/>
  </r>
  <r>
    <x v="4"/>
    <x v="23"/>
    <s v="SmallKitchenAppliances"/>
    <s v="MixerGrinders"/>
    <x v="496"/>
    <n v="4295"/>
    <s v="&gt;₹500"/>
    <n v="0.53"/>
    <x v="0"/>
    <x v="10"/>
    <x v="1046"/>
    <n v="1812490"/>
    <x v="0"/>
  </r>
  <r>
    <x v="4"/>
    <x v="24"/>
    <s v="RoomHeaters"/>
    <s v="ElectricHeaters"/>
    <x v="497"/>
    <n v="18990"/>
    <s v="&gt;₹500"/>
    <n v="0.5"/>
    <x v="0"/>
    <x v="0"/>
    <x v="942"/>
    <n v="1500210"/>
    <x v="0"/>
  </r>
  <r>
    <x v="4"/>
    <x v="24"/>
    <s v="WaterHeaters&amp;Geysers"/>
    <s v="StorageWaterHeaters"/>
    <x v="438"/>
    <n v="12500"/>
    <s v="&gt;₹500"/>
    <n v="0.38"/>
    <x v="1"/>
    <x v="1"/>
    <x v="1047"/>
    <n v="64500000"/>
    <x v="0"/>
  </r>
  <r>
    <x v="4"/>
    <x v="23"/>
    <s v="SmallKitchenAppliances"/>
    <s v="Kettles&amp;HotWaterDispensers"/>
    <x v="96"/>
    <n v="2385"/>
    <s v="&gt;₹500"/>
    <n v="0.6"/>
    <x v="0"/>
    <x v="3"/>
    <x v="1048"/>
    <n v="5511735"/>
    <x v="0"/>
  </r>
  <r>
    <x v="4"/>
    <x v="24"/>
    <s v="WaterHeaters&amp;Geysers"/>
    <s v="InstantWaterHeaters"/>
    <x v="498"/>
    <n v="4890"/>
    <s v="&gt;₹500"/>
    <n v="0.43"/>
    <x v="1"/>
    <x v="2"/>
    <x v="1049"/>
    <n v="2875320"/>
    <x v="0"/>
  </r>
  <r>
    <x v="4"/>
    <x v="23"/>
    <s v="Vacuum,Cleaning&amp;Ironing"/>
    <s v="Irons,Steamers&amp;Accessories"/>
    <x v="499"/>
    <n v="1100"/>
    <s v="&gt;₹500"/>
    <n v="0.41"/>
    <x v="1"/>
    <x v="1"/>
    <x v="1050"/>
    <n v="3598100"/>
    <x v="0"/>
  </r>
  <r>
    <x v="4"/>
    <x v="23"/>
    <s v="SmallKitchenAppliances"/>
    <s v="MixerGrinders"/>
    <x v="500"/>
    <n v="3899"/>
    <s v="&gt;₹500"/>
    <n v="0.43"/>
    <x v="1"/>
    <x v="2"/>
    <x v="1051"/>
    <n v="42904596"/>
    <x v="0"/>
  </r>
  <r>
    <x v="4"/>
    <x v="24"/>
    <s v="WaterHeaters&amp;Geysers"/>
    <s v="StorageWaterHeaters"/>
    <x v="501"/>
    <n v="16899"/>
    <s v="&gt;₹500"/>
    <n v="0.49"/>
    <x v="1"/>
    <x v="0"/>
    <x v="1052"/>
    <n v="53992305"/>
    <x v="0"/>
  </r>
  <r>
    <x v="4"/>
    <x v="24"/>
    <s v="AirConditioners"/>
    <s v="Split-SystemAirConditioners"/>
    <x v="502"/>
    <n v="75990"/>
    <s v="&gt;₹500"/>
    <n v="0.43"/>
    <x v="1"/>
    <x v="4"/>
    <x v="152"/>
    <n v="245523690"/>
    <x v="0"/>
  </r>
  <r>
    <x v="4"/>
    <x v="23"/>
    <s v="WaterPurifiers&amp;Accessories"/>
    <s v="WaterPurifierAccessories"/>
    <x v="503"/>
    <n v="825"/>
    <s v="&gt;₹500"/>
    <n v="0"/>
    <x v="1"/>
    <x v="1"/>
    <x v="1053"/>
    <n v="2677950"/>
    <x v="0"/>
  </r>
  <r>
    <x v="4"/>
    <x v="23"/>
    <s v="SmallKitchenAppliances"/>
    <s v="VacuumSealers"/>
    <x v="504"/>
    <n v="300"/>
    <s v="₹200–₹500"/>
    <n v="0.46"/>
    <x v="1"/>
    <x v="24"/>
    <x v="121"/>
    <n v="7200"/>
    <x v="0"/>
  </r>
  <r>
    <x v="4"/>
    <x v="23"/>
    <s v="SmallKitchenAppliances"/>
    <s v="InductionCooktop"/>
    <x v="505"/>
    <n v="1499"/>
    <s v="&gt;₹500"/>
    <n v="0.54"/>
    <x v="0"/>
    <x v="11"/>
    <x v="1054"/>
    <n v="215856"/>
    <x v="0"/>
  </r>
  <r>
    <x v="4"/>
    <x v="23"/>
    <s v="SmallKitchenAppliances"/>
    <s v="SmallApplianceParts&amp;Accessories"/>
    <x v="506"/>
    <n v="747"/>
    <s v="&gt;₹500"/>
    <n v="0.08"/>
    <x v="1"/>
    <x v="6"/>
    <x v="1055"/>
    <n v="1703160"/>
    <x v="0"/>
  </r>
  <r>
    <x v="4"/>
    <x v="24"/>
    <s v="RoomHeaters"/>
    <s v="HalogenHeaters"/>
    <x v="181"/>
    <n v="3999"/>
    <s v="&gt;₹500"/>
    <n v="0.45"/>
    <x v="1"/>
    <x v="12"/>
    <x v="1056"/>
    <n v="1359660"/>
    <x v="0"/>
  </r>
  <r>
    <x v="4"/>
    <x v="24"/>
    <s v="RoomHeaters"/>
    <s v="FanHeaters"/>
    <x v="507"/>
    <n v="11990"/>
    <s v="&gt;₹500"/>
    <n v="0.43"/>
    <x v="1"/>
    <x v="2"/>
    <x v="1054"/>
    <n v="1726560"/>
    <x v="0"/>
  </r>
  <r>
    <x v="4"/>
    <x v="24"/>
    <s v="WaterHeaters&amp;Geysers"/>
    <s v="InstantWaterHeaters"/>
    <x v="155"/>
    <n v="3799"/>
    <s v="&gt;₹500"/>
    <n v="0.28999999999999998"/>
    <x v="1"/>
    <x v="1"/>
    <x v="1057"/>
    <n v="2761873"/>
    <x v="0"/>
  </r>
  <r>
    <x v="4"/>
    <x v="23"/>
    <s v="SmallKitchenAppliances"/>
    <s v="WaffleMakers&amp;Irons"/>
    <x v="25"/>
    <n v="1999"/>
    <s v="&gt;₹500"/>
    <n v="0.55000000000000004"/>
    <x v="0"/>
    <x v="1"/>
    <x v="1058"/>
    <n v="1663168"/>
    <x v="0"/>
  </r>
  <r>
    <x v="4"/>
    <x v="24"/>
    <s v="RoomHeaters"/>
    <s v="FanHeaters"/>
    <x v="508"/>
    <n v="2999"/>
    <s v="&gt;₹500"/>
    <n v="0.64"/>
    <x v="0"/>
    <x v="12"/>
    <x v="125"/>
    <n v="170943"/>
    <x v="0"/>
  </r>
  <r>
    <x v="4"/>
    <x v="23"/>
    <s v="SmallKitchenAppliances"/>
    <s v="DigitalKitchenScales"/>
    <x v="509"/>
    <n v="599"/>
    <s v="&gt;₹500"/>
    <n v="0.51"/>
    <x v="0"/>
    <x v="1"/>
    <x v="1059"/>
    <n v="984756"/>
    <x v="0"/>
  </r>
  <r>
    <x v="4"/>
    <x v="23"/>
    <s v="SmallKitchenAppliances"/>
    <s v="Kettles&amp;HotWaterDispensers"/>
    <x v="254"/>
    <n v="1999"/>
    <s v="&gt;₹500"/>
    <n v="0.76"/>
    <x v="0"/>
    <x v="10"/>
    <x v="1060"/>
    <n v="2130934"/>
    <x v="0"/>
  </r>
  <r>
    <x v="4"/>
    <x v="24"/>
    <s v="WaterHeaters&amp;Geysers"/>
    <s v="InstantWaterHeaters"/>
    <x v="510"/>
    <n v="4849"/>
    <s v="&gt;₹500"/>
    <n v="0.39"/>
    <x v="1"/>
    <x v="0"/>
    <x v="1061"/>
    <n v="38636832"/>
    <x v="0"/>
  </r>
  <r>
    <x v="4"/>
    <x v="24"/>
    <s v="WaterHeaters&amp;Geysers"/>
    <s v="ImmersionRods"/>
    <x v="511"/>
    <n v="510"/>
    <s v="&gt;₹500"/>
    <n v="0.34"/>
    <x v="1"/>
    <x v="11"/>
    <x v="1052"/>
    <n v="1629450"/>
    <x v="0"/>
  </r>
  <r>
    <x v="4"/>
    <x v="23"/>
    <s v="Coffee,Tea&amp;Espresso"/>
    <s v="DripCoffeeMachines"/>
    <x v="350"/>
    <n v="499"/>
    <s v="₹200–₹500"/>
    <n v="0.41"/>
    <x v="1"/>
    <x v="3"/>
    <x v="1062"/>
    <n v="726544"/>
    <x v="0"/>
  </r>
  <r>
    <x v="4"/>
    <x v="23"/>
    <s v="Coffee,Tea&amp;Espresso"/>
    <s v="StovetopEspressoPots"/>
    <x v="23"/>
    <n v="1299"/>
    <s v="&gt;₹500"/>
    <n v="0.54"/>
    <x v="0"/>
    <x v="0"/>
    <x v="91"/>
    <n v="766410"/>
    <x v="0"/>
  </r>
  <r>
    <x v="4"/>
    <x v="23"/>
    <s v="WaterPurifiers&amp;Accessories"/>
    <s v="WaterPurifierAccessories"/>
    <x v="7"/>
    <n v="999"/>
    <s v="&gt;₹500"/>
    <n v="0.5"/>
    <x v="0"/>
    <x v="4"/>
    <x v="1063"/>
    <n v="1434564"/>
    <x v="0"/>
  </r>
  <r>
    <x v="4"/>
    <x v="23"/>
    <s v="Vacuum,Cleaning&amp;Ironing"/>
    <s v="Irons,Steamers&amp;Accessories"/>
    <x v="61"/>
    <n v="1190"/>
    <s v="&gt;₹500"/>
    <n v="0.28999999999999998"/>
    <x v="1"/>
    <x v="0"/>
    <x v="1064"/>
    <n v="4978960"/>
    <x v="0"/>
  </r>
  <r>
    <x v="4"/>
    <x v="23"/>
    <s v="Coffee,Tea&amp;Espresso"/>
    <s v="DripCoffeeMachines"/>
    <x v="14"/>
    <n v="400"/>
    <s v="₹200–₹500"/>
    <n v="0.38"/>
    <x v="1"/>
    <x v="3"/>
    <x v="1065"/>
    <n v="277200"/>
    <x v="0"/>
  </r>
  <r>
    <x v="4"/>
    <x v="23"/>
    <s v="WaterPurifiers&amp;Accessories"/>
    <s v="WaterPurifierAccessories"/>
    <x v="149"/>
    <n v="599"/>
    <s v="&gt;₹500"/>
    <n v="0.69"/>
    <x v="0"/>
    <x v="2"/>
    <x v="1066"/>
    <n v="782294"/>
    <x v="0"/>
  </r>
  <r>
    <x v="4"/>
    <x v="24"/>
    <s v="RoomHeaters"/>
    <s v="FanHeaters"/>
    <x v="512"/>
    <n v="999"/>
    <s v="&gt;₹500"/>
    <n v="0.22"/>
    <x v="1"/>
    <x v="8"/>
    <x v="1067"/>
    <n v="7992"/>
    <x v="0"/>
  </r>
  <r>
    <x v="4"/>
    <x v="23"/>
    <s v="Coffee,Tea&amp;Espresso"/>
    <s v="CoffeeMakerAccessories"/>
    <x v="17"/>
    <n v="699"/>
    <s v="&gt;₹500"/>
    <n v="0.6"/>
    <x v="0"/>
    <x v="4"/>
    <x v="1068"/>
    <n v="1625874"/>
    <x v="0"/>
  </r>
  <r>
    <x v="4"/>
    <x v="23"/>
    <s v="WaterPurifiers&amp;Accessories"/>
    <s v="WaterPurifierAccessories"/>
    <x v="144"/>
    <n v="1499"/>
    <s v="&gt;₹500"/>
    <n v="0.86"/>
    <x v="0"/>
    <x v="2"/>
    <x v="1069"/>
    <n v="1504996"/>
    <x v="0"/>
  </r>
  <r>
    <x v="4"/>
    <x v="23"/>
    <s v="Vacuum,Cleaning&amp;Ironing"/>
    <s v="Irons,Steamers&amp;Accessories"/>
    <x v="243"/>
    <n v="1295"/>
    <s v="&gt;₹500"/>
    <n v="0.31"/>
    <x v="1"/>
    <x v="4"/>
    <x v="1070"/>
    <n v="8288000"/>
    <x v="0"/>
  </r>
  <r>
    <x v="4"/>
    <x v="24"/>
    <s v="WaterHeaters&amp;Geysers"/>
    <s v="InstantWaterHeaters"/>
    <x v="424"/>
    <n v="4999"/>
    <s v="&gt;₹500"/>
    <n v="0.71"/>
    <x v="0"/>
    <x v="9"/>
    <x v="984"/>
    <n v="314937"/>
    <x v="0"/>
  </r>
  <r>
    <x v="4"/>
    <x v="24"/>
    <s v="WaterHeaters&amp;Geysers"/>
    <s v="InstantWaterHeaters"/>
    <x v="513"/>
    <n v="2550"/>
    <s v="&gt;₹500"/>
    <n v="0.53"/>
    <x v="0"/>
    <x v="11"/>
    <x v="1071"/>
    <n v="3011550"/>
    <x v="0"/>
  </r>
  <r>
    <x v="4"/>
    <x v="23"/>
    <s v="WaterPurifiers&amp;Accessories"/>
    <s v="WaterFilters&amp;Purifiers"/>
    <x v="166"/>
    <n v="1950"/>
    <s v="&gt;₹500"/>
    <n v="0.08"/>
    <x v="1"/>
    <x v="2"/>
    <x v="1072"/>
    <n v="3681600"/>
    <x v="0"/>
  </r>
  <r>
    <x v="4"/>
    <x v="23"/>
    <s v="SmallKitchenAppliances"/>
    <s v="MixerGrinders"/>
    <x v="514"/>
    <n v="8478"/>
    <s v="&gt;₹500"/>
    <n v="0.28000000000000003"/>
    <x v="1"/>
    <x v="13"/>
    <x v="1073"/>
    <n v="55530900"/>
    <x v="0"/>
  </r>
  <r>
    <x v="4"/>
    <x v="23"/>
    <s v="SmallKitchenAppliances"/>
    <s v="MixerGrinders"/>
    <x v="166"/>
    <n v="3299"/>
    <s v="&gt;₹500"/>
    <n v="0.45"/>
    <x v="1"/>
    <x v="11"/>
    <x v="1074"/>
    <n v="6089954"/>
    <x v="0"/>
  </r>
  <r>
    <x v="4"/>
    <x v="23"/>
    <s v="SmallKitchenAppliances"/>
    <s v="MixerGrinders"/>
    <x v="181"/>
    <n v="3895"/>
    <s v="&gt;₹500"/>
    <n v="0.44"/>
    <x v="1"/>
    <x v="2"/>
    <x v="1075"/>
    <n v="4226075"/>
    <x v="0"/>
  </r>
  <r>
    <x v="4"/>
    <x v="23"/>
    <s v="SmallKitchenAppliances"/>
    <s v="Rice&amp;PastaCookers"/>
    <x v="515"/>
    <n v="5495"/>
    <s v="&gt;₹500"/>
    <n v="0.33"/>
    <x v="1"/>
    <x v="3"/>
    <x v="903"/>
    <n v="1593550"/>
    <x v="0"/>
  </r>
  <r>
    <x v="4"/>
    <x v="23"/>
    <s v="SmallKitchenAppliances"/>
    <s v="JuicerMixerGrinders"/>
    <x v="37"/>
    <n v="999"/>
    <s v="&gt;₹500"/>
    <n v="0.35"/>
    <x v="1"/>
    <x v="9"/>
    <x v="803"/>
    <n v="3996"/>
    <x v="0"/>
  </r>
  <r>
    <x v="4"/>
    <x v="23"/>
    <s v="SmallKitchenAppliances"/>
    <s v="OvenToasterGrills"/>
    <x v="516"/>
    <n v="8995"/>
    <s v="&gt;₹500"/>
    <n v="0.04"/>
    <x v="1"/>
    <x v="5"/>
    <x v="1076"/>
    <n v="87557330"/>
    <x v="0"/>
  </r>
  <r>
    <x v="4"/>
    <x v="23"/>
    <s v="Vacuum,Cleaning&amp;Ironing"/>
    <s v="Irons,Steamers&amp;Accessories"/>
    <x v="517"/>
    <n v="1599"/>
    <s v="&gt;₹500"/>
    <n v="0.31"/>
    <x v="1"/>
    <x v="4"/>
    <x v="1077"/>
    <n v="6431178"/>
    <x v="0"/>
  </r>
  <r>
    <x v="4"/>
    <x v="24"/>
    <s v="WaterHeaters&amp;Geysers"/>
    <s v="InstantWaterHeaters"/>
    <x v="72"/>
    <n v="3500"/>
    <s v="&gt;₹500"/>
    <n v="0.56999999999999995"/>
    <x v="0"/>
    <x v="16"/>
    <x v="1078"/>
    <n v="9068500"/>
    <x v="0"/>
  </r>
  <r>
    <x v="4"/>
    <x v="23"/>
    <s v="SmallKitchenAppliances"/>
    <s v="DigitalKitchenScales"/>
    <x v="518"/>
    <n v="1999"/>
    <s v="&gt;₹500"/>
    <n v="0.62"/>
    <x v="0"/>
    <x v="4"/>
    <x v="1079"/>
    <n v="1063468"/>
    <x v="0"/>
  </r>
  <r>
    <x v="4"/>
    <x v="23"/>
    <s v="Vacuum,Cleaning&amp;Ironing"/>
    <s v="Vacuums&amp;FloorCare"/>
    <x v="519"/>
    <n v="3199"/>
    <s v="&gt;₹500"/>
    <n v="0.17"/>
    <x v="1"/>
    <x v="2"/>
    <x v="1080"/>
    <n v="831740"/>
    <x v="0"/>
  </r>
  <r>
    <x v="4"/>
    <x v="23"/>
    <s v="SmallKitchenAppliances"/>
    <s v="SandwichMakers"/>
    <x v="494"/>
    <n v="1300"/>
    <s v="&gt;₹500"/>
    <n v="0.28999999999999998"/>
    <x v="1"/>
    <x v="2"/>
    <x v="1081"/>
    <n v="2173600"/>
    <x v="0"/>
  </r>
  <r>
    <x v="4"/>
    <x v="26"/>
    <s v="LaundryOrganization"/>
    <s v="LaundryBaskets"/>
    <x v="1"/>
    <n v="399"/>
    <s v="₹200–₹500"/>
    <n v="0.5"/>
    <x v="0"/>
    <x v="7"/>
    <x v="1082"/>
    <n v="3170055"/>
    <x v="0"/>
  </r>
  <r>
    <x v="4"/>
    <x v="23"/>
    <s v="Vacuum,Cleaning&amp;Ironing"/>
    <s v="Irons,Steamers&amp;Accessories"/>
    <x v="17"/>
    <n v="599"/>
    <s v="&gt;₹500"/>
    <n v="0.53"/>
    <x v="0"/>
    <x v="12"/>
    <x v="694"/>
    <n v="818833"/>
    <x v="0"/>
  </r>
  <r>
    <x v="4"/>
    <x v="23"/>
    <s v="SmallKitchenAppliances"/>
    <s v="HandBlenders"/>
    <x v="125"/>
    <n v="999"/>
    <s v="&gt;₹500"/>
    <n v="0.45"/>
    <x v="1"/>
    <x v="1"/>
    <x v="52"/>
    <n v="1311687"/>
    <x v="0"/>
  </r>
  <r>
    <x v="4"/>
    <x v="26"/>
    <s v="LaundryOrganization"/>
    <s v="IroningAccessories"/>
    <x v="520"/>
    <n v="199"/>
    <s v="&lt;₹200"/>
    <n v="0.56999999999999995"/>
    <x v="0"/>
    <x v="3"/>
    <x v="1083"/>
    <n v="42188"/>
    <x v="0"/>
  </r>
  <r>
    <x v="4"/>
    <x v="23"/>
    <s v="SmallKitchenAppliances"/>
    <s v="JuicerMixerGrinders"/>
    <x v="7"/>
    <n v="1299"/>
    <s v="&gt;₹500"/>
    <n v="0.62"/>
    <x v="0"/>
    <x v="2"/>
    <x v="1084"/>
    <n v="84435"/>
    <x v="0"/>
  </r>
  <r>
    <x v="4"/>
    <x v="23"/>
    <s v="SmallKitchenAppliances"/>
    <s v="JuicerMixerGrinders"/>
    <x v="521"/>
    <n v="7776"/>
    <s v="&gt;₹500"/>
    <n v="0.25"/>
    <x v="1"/>
    <x v="5"/>
    <x v="923"/>
    <n v="21282912"/>
    <x v="0"/>
  </r>
  <r>
    <x v="4"/>
    <x v="23"/>
    <s v="SmallKitchenAppliances"/>
    <s v="Kettles&amp;HotWaterDispensers"/>
    <x v="368"/>
    <n v="2299"/>
    <s v="&gt;₹500"/>
    <n v="0.45"/>
    <x v="1"/>
    <x v="4"/>
    <x v="1085"/>
    <n v="126445"/>
    <x v="0"/>
  </r>
  <r>
    <x v="4"/>
    <x v="23"/>
    <s v="Coffee,Tea&amp;Espresso"/>
    <s v="CoffeePresses"/>
    <x v="59"/>
    <n v="1500"/>
    <s v="&gt;₹500"/>
    <n v="0.27"/>
    <x v="1"/>
    <x v="6"/>
    <x v="1086"/>
    <n v="1597500"/>
    <x v="0"/>
  </r>
  <r>
    <x v="4"/>
    <x v="23"/>
    <s v="SmallKitchenAppliances"/>
    <s v="SandwichMakers"/>
    <x v="522"/>
    <n v="2590"/>
    <s v="&gt;₹500"/>
    <n v="0.26"/>
    <x v="1"/>
    <x v="1"/>
    <x v="1087"/>
    <n v="6156430"/>
    <x v="0"/>
  </r>
  <r>
    <x v="4"/>
    <x v="24"/>
    <s v="WaterHeaters&amp;Geysers"/>
    <s v="StorageWaterHeaters"/>
    <x v="375"/>
    <n v="6299"/>
    <s v="&gt;₹500"/>
    <n v="0.48"/>
    <x v="1"/>
    <x v="2"/>
    <x v="1088"/>
    <n v="16182131"/>
    <x v="0"/>
  </r>
  <r>
    <x v="4"/>
    <x v="23"/>
    <s v="SmallKitchenAppliances"/>
    <s v="SandwichMakers"/>
    <x v="33"/>
    <n v="1795"/>
    <s v="&gt;₹500"/>
    <n v="0.33"/>
    <x v="1"/>
    <x v="0"/>
    <x v="1089"/>
    <n v="10710765"/>
    <x v="0"/>
  </r>
  <r>
    <x v="4"/>
    <x v="23"/>
    <s v="SmallKitchenAppliances"/>
    <s v="Kettles&amp;HotWaterDispensers"/>
    <x v="523"/>
    <n v="3190"/>
    <s v="&gt;₹500"/>
    <n v="0.54"/>
    <x v="0"/>
    <x v="3"/>
    <x v="1090"/>
    <n v="5665440"/>
    <x v="0"/>
  </r>
  <r>
    <x v="4"/>
    <x v="23"/>
    <s v="SmallKitchenAppliances"/>
    <s v="JuicerMixerGrinders"/>
    <x v="456"/>
    <n v="4799"/>
    <s v="&gt;₹500"/>
    <n v="0.3"/>
    <x v="1"/>
    <x v="7"/>
    <x v="1091"/>
    <n v="20155800"/>
    <x v="0"/>
  </r>
  <r>
    <x v="4"/>
    <x v="23"/>
    <s v="Vacuum,Cleaning&amp;Ironing"/>
    <s v="PressureWashers,Steam&amp;WindowCleaners"/>
    <x v="524"/>
    <n v="8999"/>
    <s v="&gt;₹500"/>
    <n v="0.46"/>
    <x v="1"/>
    <x v="3"/>
    <x v="1092"/>
    <n v="2672703"/>
    <x v="0"/>
  </r>
  <r>
    <x v="4"/>
    <x v="23"/>
    <s v="SmallKitchenAppliances"/>
    <s v="Kettles&amp;HotWaterDispensers"/>
    <x v="33"/>
    <n v="1899"/>
    <s v="&gt;₹500"/>
    <n v="0.37"/>
    <x v="1"/>
    <x v="0"/>
    <x v="1093"/>
    <n v="7326342"/>
    <x v="0"/>
  </r>
  <r>
    <x v="4"/>
    <x v="24"/>
    <s v="Humidifiers"/>
    <m/>
    <x v="525"/>
    <n v="5799"/>
    <s v="&gt;₹500"/>
    <n v="0.43"/>
    <x v="1"/>
    <x v="4"/>
    <x v="1094"/>
    <n v="974232"/>
    <x v="0"/>
  </r>
  <r>
    <x v="4"/>
    <x v="23"/>
    <s v="Vacuum,Cleaning&amp;Ironing"/>
    <s v="Irons,Steamers&amp;Accessories"/>
    <x v="21"/>
    <n v="799"/>
    <s v="&gt;₹500"/>
    <n v="0.78"/>
    <x v="0"/>
    <x v="9"/>
    <x v="1095"/>
    <n v="80699"/>
    <x v="0"/>
  </r>
  <r>
    <x v="4"/>
    <x v="23"/>
    <s v="Coffee,Tea&amp;Espresso"/>
    <s v="CoffeeMakerAccessories"/>
    <x v="4"/>
    <n v="300"/>
    <s v="₹200–₹500"/>
    <n v="0.5"/>
    <x v="0"/>
    <x v="3"/>
    <x v="1096"/>
    <n v="1222200"/>
    <x v="0"/>
  </r>
  <r>
    <x v="4"/>
    <x v="23"/>
    <s v="SmallKitchenAppliances"/>
    <s v="MixerGrinders"/>
    <x v="526"/>
    <n v="7200"/>
    <s v="&gt;₹500"/>
    <n v="0.24"/>
    <x v="1"/>
    <x v="6"/>
    <x v="1097"/>
    <n v="10137600"/>
    <x v="0"/>
  </r>
  <r>
    <x v="4"/>
    <x v="23"/>
    <s v="SmallKitchenAppliances"/>
    <s v="DigitalKitchenScales"/>
    <x v="97"/>
    <n v="389"/>
    <s v="₹200–₹500"/>
    <n v="0.03"/>
    <x v="1"/>
    <x v="0"/>
    <x v="1098"/>
    <n v="1454471"/>
    <x v="0"/>
  </r>
  <r>
    <x v="4"/>
    <x v="23"/>
    <s v="WaterPurifiers&amp;Accessories"/>
    <s v="WaterFilters&amp;Purifiers"/>
    <x v="501"/>
    <n v="13049"/>
    <s v="&gt;₹500"/>
    <n v="0.33"/>
    <x v="1"/>
    <x v="4"/>
    <x v="1099"/>
    <n v="76871659"/>
    <x v="0"/>
  </r>
  <r>
    <x v="4"/>
    <x v="23"/>
    <s v="SmallKitchenAppliances"/>
    <s v="MixerGrinders"/>
    <x v="527"/>
    <n v="5999"/>
    <s v="&gt;₹500"/>
    <n v="0.49"/>
    <x v="1"/>
    <x v="1"/>
    <x v="1100"/>
    <n v="4661223"/>
    <x v="0"/>
  </r>
  <r>
    <x v="4"/>
    <x v="23"/>
    <s v="SmallKitchenAppliances"/>
    <s v="HandBlenders"/>
    <x v="528"/>
    <n v="2400"/>
    <s v="&gt;₹500"/>
    <n v="0.27"/>
    <x v="1"/>
    <x v="0"/>
    <x v="1101"/>
    <n v="33984000"/>
    <x v="0"/>
  </r>
  <r>
    <x v="4"/>
    <x v="23"/>
    <s v="SmallKitchenAppliances"/>
    <s v="InductionCooktop"/>
    <x v="529"/>
    <n v="5295"/>
    <s v="&gt;₹500"/>
    <n v="0.4"/>
    <x v="1"/>
    <x v="0"/>
    <x v="1102"/>
    <n v="36636105"/>
    <x v="0"/>
  </r>
  <r>
    <x v="4"/>
    <x v="23"/>
    <s v="WaterPurifiers&amp;Accessories"/>
    <s v="WaterFilters&amp;Purifiers"/>
    <x v="208"/>
    <n v="24999"/>
    <s v="&gt;₹500"/>
    <n v="0.8"/>
    <x v="0"/>
    <x v="6"/>
    <x v="1103"/>
    <n v="7174713"/>
    <x v="0"/>
  </r>
  <r>
    <x v="4"/>
    <x v="26"/>
    <s v="LaundryOrganization"/>
    <s v="LaundryBaskets"/>
    <x v="530"/>
    <n v="799"/>
    <s v="&gt;₹500"/>
    <n v="0.51"/>
    <x v="0"/>
    <x v="11"/>
    <x v="1103"/>
    <n v="229313"/>
    <x v="0"/>
  </r>
  <r>
    <x v="4"/>
    <x v="23"/>
    <s v="SmallKitchenAppliances"/>
    <s v="RotiMakers"/>
    <x v="168"/>
    <n v="2999"/>
    <s v="&gt;₹500"/>
    <n v="0.33"/>
    <x v="1"/>
    <x v="5"/>
    <x v="583"/>
    <n v="1163612"/>
    <x v="0"/>
  </r>
  <r>
    <x v="4"/>
    <x v="23"/>
    <s v="SmallKitchenAppliances"/>
    <s v="EggBoilers"/>
    <x v="531"/>
    <n v="2495"/>
    <s v="&gt;₹500"/>
    <n v="0.35"/>
    <x v="1"/>
    <x v="3"/>
    <x v="1104"/>
    <n v="2063365"/>
    <x v="0"/>
  </r>
  <r>
    <x v="4"/>
    <x v="23"/>
    <s v="Coffee,Tea&amp;Espresso"/>
    <s v="CoffeeMakerAccessories"/>
    <x v="532"/>
    <n v="450"/>
    <s v="₹200–₹500"/>
    <n v="0.59"/>
    <x v="0"/>
    <x v="0"/>
    <x v="400"/>
    <n v="2236950"/>
    <x v="0"/>
  </r>
  <r>
    <x v="4"/>
    <x v="23"/>
    <s v="Vacuum,Cleaning&amp;Ironing"/>
    <s v="Irons,Steamers&amp;Accessories"/>
    <x v="533"/>
    <n v="999"/>
    <s v="&gt;₹500"/>
    <n v="0.55000000000000004"/>
    <x v="0"/>
    <x v="4"/>
    <x v="1105"/>
    <n v="228771"/>
    <x v="0"/>
  </r>
  <r>
    <x v="4"/>
    <x v="24"/>
    <s v="Parts&amp;Accessories"/>
    <s v="FanParts&amp;Accessories"/>
    <x v="154"/>
    <n v="1690"/>
    <s v="&gt;₹500"/>
    <n v="0.59"/>
    <x v="0"/>
    <x v="3"/>
    <x v="1106"/>
    <n v="5955560"/>
    <x v="0"/>
  </r>
  <r>
    <x v="4"/>
    <x v="23"/>
    <s v="SmallKitchenAppliances"/>
    <s v="InductionCooktop"/>
    <x v="534"/>
    <n v="3890"/>
    <s v="&gt;₹500"/>
    <n v="0.59"/>
    <x v="0"/>
    <x v="0"/>
    <x v="1107"/>
    <n v="606840"/>
    <x v="0"/>
  </r>
  <r>
    <x v="4"/>
    <x v="23"/>
    <s v="WaterPurifiers&amp;Accessories"/>
    <s v="WaterPurifierAccessories"/>
    <x v="535"/>
    <n v="260"/>
    <s v="₹200–₹500"/>
    <n v="0.11"/>
    <x v="1"/>
    <x v="3"/>
    <x v="142"/>
    <n v="127400"/>
    <x v="0"/>
  </r>
  <r>
    <x v="4"/>
    <x v="23"/>
    <s v="Vacuum,Cleaning&amp;Ironing"/>
    <s v="Irons,Steamers&amp;Accessories"/>
    <x v="179"/>
    <n v="599"/>
    <s v="&gt;₹500"/>
    <n v="0.38"/>
    <x v="1"/>
    <x v="2"/>
    <x v="1108"/>
    <n v="49118"/>
    <x v="0"/>
  </r>
  <r>
    <x v="4"/>
    <x v="23"/>
    <s v="SmallKitchenAppliances"/>
    <s v="Kettles&amp;HotWaterDispensers"/>
    <x v="364"/>
    <n v="1950"/>
    <s v="&gt;₹500"/>
    <n v="0.59"/>
    <x v="0"/>
    <x v="2"/>
    <x v="1109"/>
    <n v="1384500"/>
    <x v="0"/>
  </r>
  <r>
    <x v="4"/>
    <x v="23"/>
    <s v="SmallKitchenAppliances"/>
    <s v="MixerGrinders"/>
    <x v="33"/>
    <n v="2990"/>
    <s v="&gt;₹500"/>
    <n v="0.6"/>
    <x v="0"/>
    <x v="11"/>
    <x v="1110"/>
    <n v="397670"/>
    <x v="0"/>
  </r>
  <r>
    <x v="4"/>
    <x v="23"/>
    <s v="SmallKitchenAppliances"/>
    <s v="MixerGrinders"/>
    <x v="514"/>
    <n v="8073"/>
    <s v="&gt;₹500"/>
    <n v="0.24"/>
    <x v="1"/>
    <x v="13"/>
    <x v="1111"/>
    <n v="22208823"/>
    <x v="0"/>
  </r>
  <r>
    <x v="4"/>
    <x v="23"/>
    <s v="Vacuum,Cleaning&amp;Ironing"/>
    <s v="Irons,Steamers&amp;Accessories"/>
    <x v="166"/>
    <n v="2599"/>
    <s v="&gt;₹500"/>
    <n v="0.31"/>
    <x v="1"/>
    <x v="9"/>
    <x v="1112"/>
    <n v="2003829"/>
    <x v="0"/>
  </r>
  <r>
    <x v="4"/>
    <x v="23"/>
    <s v="Vacuum,Cleaning&amp;Ironing"/>
    <s v="Vacuums&amp;FloorCare"/>
    <x v="134"/>
    <n v="29999"/>
    <s v="&gt;₹500"/>
    <n v="0.37"/>
    <x v="1"/>
    <x v="3"/>
    <x v="1113"/>
    <n v="76077464"/>
    <x v="0"/>
  </r>
  <r>
    <x v="4"/>
    <x v="24"/>
    <s v="Fans"/>
    <s v="ExhaustFans"/>
    <x v="168"/>
    <n v="2360"/>
    <s v="&gt;₹500"/>
    <n v="0.15"/>
    <x v="1"/>
    <x v="0"/>
    <x v="1114"/>
    <n v="18410360"/>
    <x v="0"/>
  </r>
  <r>
    <x v="4"/>
    <x v="23"/>
    <s v="SmallKitchenAppliances"/>
    <s v="StandMixers"/>
    <x v="415"/>
    <n v="11495"/>
    <s v="&gt;₹500"/>
    <n v="0.48"/>
    <x v="1"/>
    <x v="4"/>
    <x v="1115"/>
    <n v="6138330"/>
    <x v="0"/>
  </r>
  <r>
    <x v="4"/>
    <x v="24"/>
    <s v="Fans"/>
    <s v="CeilingFans"/>
    <x v="213"/>
    <n v="4780"/>
    <s v="&gt;₹500"/>
    <n v="0.46"/>
    <x v="1"/>
    <x v="2"/>
    <x v="1116"/>
    <n v="4292440"/>
    <x v="0"/>
  </r>
  <r>
    <x v="4"/>
    <x v="23"/>
    <s v="SmallKitchenAppliances"/>
    <s v="WaffleMakers&amp;Irons"/>
    <x v="33"/>
    <n v="2400"/>
    <s v="&gt;₹500"/>
    <n v="0.5"/>
    <x v="0"/>
    <x v="2"/>
    <x v="1117"/>
    <n v="2884800"/>
    <x v="0"/>
  </r>
  <r>
    <x v="4"/>
    <x v="26"/>
    <s v="LaundryOrganization"/>
    <s v="LaundryBaskets"/>
    <x v="9"/>
    <n v="249"/>
    <s v="₹200–₹500"/>
    <n v="0.12"/>
    <x v="1"/>
    <x v="1"/>
    <x v="1118"/>
    <n v="275892"/>
    <x v="0"/>
  </r>
  <r>
    <x v="4"/>
    <x v="24"/>
    <s v="RoomHeaters"/>
    <s v="FanHeaters"/>
    <x v="34"/>
    <n v="1199"/>
    <s v="&gt;₹500"/>
    <n v="0.33"/>
    <x v="1"/>
    <x v="5"/>
    <x v="1119"/>
    <n v="20383"/>
    <x v="0"/>
  </r>
  <r>
    <x v="4"/>
    <x v="23"/>
    <s v="Vacuum,Cleaning&amp;Ironing"/>
    <s v="Vacuums&amp;FloorCare"/>
    <x v="373"/>
    <n v="10999"/>
    <s v="&gt;₹500"/>
    <n v="0.44"/>
    <x v="1"/>
    <x v="0"/>
    <x v="1120"/>
    <n v="114708571"/>
    <x v="0"/>
  </r>
  <r>
    <x v="4"/>
    <x v="23"/>
    <s v="SmallKitchenAppliances"/>
    <s v="DeepFatFryers"/>
    <x v="536"/>
    <n v="10995"/>
    <s v="&gt;₹500"/>
    <n v="0.38"/>
    <x v="1"/>
    <x v="6"/>
    <x v="1121"/>
    <n v="35096040"/>
    <x v="0"/>
  </r>
  <r>
    <x v="4"/>
    <x v="24"/>
    <s v="Fans"/>
    <s v="PedestalFans"/>
    <x v="537"/>
    <n v="3300"/>
    <s v="&gt;₹500"/>
    <n v="0.4"/>
    <x v="1"/>
    <x v="3"/>
    <x v="1122"/>
    <n v="19380900"/>
    <x v="0"/>
  </r>
  <r>
    <x v="4"/>
    <x v="23"/>
    <s v="WaterPurifiers&amp;Accessories"/>
    <s v="WaterPurifierAccessories"/>
    <x v="1"/>
    <n v="400"/>
    <s v="₹200–₹500"/>
    <n v="0.5"/>
    <x v="0"/>
    <x v="3"/>
    <x v="1123"/>
    <n v="551600"/>
    <x v="0"/>
  </r>
  <r>
    <x v="4"/>
    <x v="23"/>
    <s v="SmallKitchenAppliances"/>
    <s v="Kettles&amp;HotWaterDispensers"/>
    <x v="538"/>
    <n v="1440"/>
    <s v="&gt;₹500"/>
    <n v="0.18"/>
    <x v="1"/>
    <x v="0"/>
    <x v="1124"/>
    <n v="2198880"/>
    <x v="0"/>
  </r>
  <r>
    <x v="4"/>
    <x v="24"/>
    <s v="Fans"/>
    <s v="CeilingFans"/>
    <x v="181"/>
    <n v="3045"/>
    <s v="&gt;₹500"/>
    <n v="0.28000000000000003"/>
    <x v="1"/>
    <x v="0"/>
    <x v="1125"/>
    <n v="8178870"/>
    <x v="0"/>
  </r>
  <r>
    <x v="4"/>
    <x v="23"/>
    <s v="Coffee,Tea&amp;Espresso"/>
    <s v="DripCoffeeMachines"/>
    <x v="194"/>
    <n v="3595"/>
    <s v="&gt;₹500"/>
    <n v="0.17"/>
    <x v="1"/>
    <x v="1"/>
    <x v="1126"/>
    <n v="639910"/>
    <x v="0"/>
  </r>
  <r>
    <x v="4"/>
    <x v="23"/>
    <s v="Vacuum,Cleaning&amp;Ironing"/>
    <s v="Vacuums&amp;FloorCare"/>
    <x v="539"/>
    <n v="500"/>
    <s v="₹200–₹500"/>
    <n v="0.49"/>
    <x v="1"/>
    <x v="4"/>
    <x v="1127"/>
    <n v="1332000"/>
    <x v="0"/>
  </r>
  <r>
    <x v="4"/>
    <x v="24"/>
    <s v="Humidifiers"/>
    <m/>
    <x v="7"/>
    <n v="799"/>
    <s v="&gt;₹500"/>
    <n v="0.38"/>
    <x v="1"/>
    <x v="9"/>
    <x v="1083"/>
    <n v="169388"/>
    <x v="0"/>
  </r>
  <r>
    <x v="4"/>
    <x v="24"/>
    <s v="RoomHeaters"/>
    <s v="ElectricHeaters"/>
    <x v="176"/>
    <n v="1899"/>
    <s v="&gt;₹500"/>
    <n v="0.39"/>
    <x v="1"/>
    <x v="12"/>
    <x v="121"/>
    <n v="45576"/>
    <x v="0"/>
  </r>
  <r>
    <x v="4"/>
    <x v="23"/>
    <s v="Vacuum,Cleaning&amp;Ironing"/>
    <s v="Irons,Steamers&amp;Accessories"/>
    <x v="540"/>
    <n v="799"/>
    <s v="&gt;₹500"/>
    <n v="0.43"/>
    <x v="1"/>
    <x v="4"/>
    <x v="1128"/>
    <n v="1492532"/>
    <x v="0"/>
  </r>
  <r>
    <x v="4"/>
    <x v="23"/>
    <s v="Coffee,Tea&amp;Espresso"/>
    <s v="MilkFrothers"/>
    <x v="6"/>
    <n v="399"/>
    <s v="₹200–₹500"/>
    <n v="0.43"/>
    <x v="1"/>
    <x v="9"/>
    <x v="1129"/>
    <n v="179949"/>
    <x v="0"/>
  </r>
  <r>
    <x v="4"/>
    <x v="23"/>
    <s v="WaterPurifiers&amp;Accessories"/>
    <s v="WaterPurifierAccessories"/>
    <x v="1"/>
    <n v="699"/>
    <s v="&gt;₹500"/>
    <n v="0.72"/>
    <x v="0"/>
    <x v="25"/>
    <x v="1130"/>
    <n v="111141"/>
    <x v="0"/>
  </r>
  <r>
    <x v="4"/>
    <x v="23"/>
    <s v="SmallKitchenAppliances"/>
    <s v="WaffleMakers&amp;Irons"/>
    <x v="25"/>
    <n v="1999"/>
    <s v="&gt;₹500"/>
    <n v="0.55000000000000004"/>
    <x v="0"/>
    <x v="0"/>
    <x v="1131"/>
    <n v="77961"/>
    <x v="0"/>
  </r>
  <r>
    <x v="4"/>
    <x v="23"/>
    <s v="SmallKitchenAppliances"/>
    <s v="HandMixers"/>
    <x v="72"/>
    <n v="2199"/>
    <s v="&gt;₹500"/>
    <n v="0.32"/>
    <x v="1"/>
    <x v="5"/>
    <x v="1132"/>
    <n v="14361669"/>
    <x v="0"/>
  </r>
  <r>
    <x v="4"/>
    <x v="23"/>
    <s v="SmallKitchenAppliances"/>
    <s v="HandBlenders"/>
    <x v="541"/>
    <n v="999"/>
    <s v="&gt;₹500"/>
    <n v="0.56999999999999995"/>
    <x v="0"/>
    <x v="3"/>
    <x v="1133"/>
    <n v="221778"/>
    <x v="0"/>
  </r>
  <r>
    <x v="4"/>
    <x v="24"/>
    <s v="RoomHeaters"/>
    <s v="FanHeaters"/>
    <x v="542"/>
    <n v="3290"/>
    <s v="&gt;₹500"/>
    <n v="0.28999999999999998"/>
    <x v="1"/>
    <x v="11"/>
    <x v="1134"/>
    <n v="641550"/>
    <x v="0"/>
  </r>
  <r>
    <x v="4"/>
    <x v="23"/>
    <s v="SewingMachines&amp;Accessories"/>
    <s v="Sewing&amp;EmbroideryMachines"/>
    <x v="543"/>
    <n v="3098"/>
    <s v="&gt;₹500"/>
    <n v="0.5"/>
    <x v="0"/>
    <x v="12"/>
    <x v="1135"/>
    <n v="7072734"/>
    <x v="0"/>
  </r>
  <r>
    <x v="4"/>
    <x v="24"/>
    <s v="RoomHeaters"/>
    <s v="ElectricHeaters"/>
    <x v="544"/>
    <n v="4990"/>
    <s v="&gt;₹500"/>
    <n v="0.3"/>
    <x v="1"/>
    <x v="3"/>
    <x v="1136"/>
    <n v="5623730"/>
    <x v="0"/>
  </r>
  <r>
    <x v="4"/>
    <x v="23"/>
    <s v="SmallKitchenAppliances"/>
    <s v="MiniFoodProcessors&amp;Choppers"/>
    <x v="545"/>
    <n v="1200"/>
    <s v="&gt;₹500"/>
    <n v="0.59"/>
    <x v="0"/>
    <x v="14"/>
    <x v="1137"/>
    <n v="135600"/>
    <x v="0"/>
  </r>
  <r>
    <x v="4"/>
    <x v="23"/>
    <s v="SmallKitchenAppliances"/>
    <s v="Kettles&amp;HotWaterDispensers"/>
    <x v="546"/>
    <n v="2695"/>
    <s v="&gt;₹500"/>
    <n v="0"/>
    <x v="1"/>
    <x v="5"/>
    <x v="1138"/>
    <n v="6786010"/>
    <x v="0"/>
  </r>
  <r>
    <x v="4"/>
    <x v="24"/>
    <s v="RoomHeaters"/>
    <s v="ElectricHeaters"/>
    <x v="96"/>
    <n v="2299"/>
    <s v="&gt;₹500"/>
    <n v="0.59"/>
    <x v="0"/>
    <x v="9"/>
    <x v="926"/>
    <n v="1264450"/>
    <x v="0"/>
  </r>
  <r>
    <x v="4"/>
    <x v="23"/>
    <s v="Vacuum,Cleaning&amp;Ironing"/>
    <s v="Irons,Steamers&amp;Accessories"/>
    <x v="1"/>
    <n v="999"/>
    <s v="&gt;₹500"/>
    <n v="0.8"/>
    <x v="0"/>
    <x v="19"/>
    <x v="1017"/>
    <n v="1998"/>
    <x v="0"/>
  </r>
  <r>
    <x v="4"/>
    <x v="23"/>
    <s v="WaterPurifiers&amp;Accessories"/>
    <s v="WaterPurifierAccessories"/>
    <x v="97"/>
    <n v="919"/>
    <s v="&gt;₹500"/>
    <n v="0.59"/>
    <x v="0"/>
    <x v="1"/>
    <x v="1139"/>
    <n v="1001710"/>
    <x v="0"/>
  </r>
  <r>
    <x v="4"/>
    <x v="23"/>
    <s v="SmallKitchenAppliances"/>
    <s v="Rice&amp;PastaCookers"/>
    <x v="547"/>
    <n v="3045"/>
    <s v="&gt;₹500"/>
    <n v="0.25"/>
    <x v="1"/>
    <x v="3"/>
    <x v="1140"/>
    <n v="12539310"/>
    <x v="0"/>
  </r>
  <r>
    <x v="4"/>
    <x v="24"/>
    <s v="RoomHeaters"/>
    <s v="HeatConvectors"/>
    <x v="548"/>
    <n v="3080"/>
    <s v="&gt;₹500"/>
    <n v="0.28000000000000003"/>
    <x v="1"/>
    <x v="9"/>
    <x v="1141"/>
    <n v="1441440"/>
    <x v="0"/>
  </r>
  <r>
    <x v="4"/>
    <x v="24"/>
    <s v="Fans"/>
    <s v="ExhaustFans"/>
    <x v="92"/>
    <n v="1890"/>
    <s v="&gt;₹500"/>
    <n v="0.26"/>
    <x v="1"/>
    <x v="1"/>
    <x v="1142"/>
    <n v="15178590"/>
    <x v="0"/>
  </r>
  <r>
    <x v="4"/>
    <x v="23"/>
    <s v="SmallKitchenAppliances"/>
    <s v="SandwichMakers"/>
    <x v="549"/>
    <n v="3690"/>
    <s v="&gt;₹500"/>
    <n v="0.22"/>
    <x v="1"/>
    <x v="4"/>
    <x v="1143"/>
    <n v="2578203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13" firstHeaderRow="1" firstDataRow="1" firstDataCol="1"/>
  <pivotFields count="2">
    <pivotField dataField="1" showAll="0"/>
    <pivotField axis="axisRow" allDrilled="1" showAll="0" dataSourceSort="1" defaultAttributeDrillState="1">
      <items count="10">
        <item x="0"/>
        <item x="1"/>
        <item x="2"/>
        <item x="3"/>
        <item x="4"/>
        <item x="5"/>
        <item x="6"/>
        <item x="7"/>
        <item x="8"/>
        <item t="default"/>
      </items>
    </pivotField>
  </pivotFields>
  <rowFields count="1">
    <field x="1"/>
  </rowFields>
  <rowItems count="10">
    <i>
      <x/>
    </i>
    <i>
      <x v="1"/>
    </i>
    <i>
      <x v="2"/>
    </i>
    <i>
      <x v="3"/>
    </i>
    <i>
      <x v="4"/>
    </i>
    <i>
      <x v="5"/>
    </i>
    <i>
      <x v="6"/>
    </i>
    <i>
      <x v="7"/>
    </i>
    <i>
      <x v="8"/>
    </i>
    <i t="grand">
      <x/>
    </i>
  </rowItems>
  <colItems count="1">
    <i/>
  </colItems>
  <dataFields count="1">
    <dataField name="Max of DISCOUNT PERCENTAGE" fld="0" subtotal="max" baseField="0" baseItem="0"/>
  </dataField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case study Project.xlsx!Table1">
        <x15:activeTabTopLevelEntity name="[Table1]"/>
      </x15:pivotTableUISettings>
    </ext>
  </extLst>
</pivotTableDefinition>
</file>

<file path=xl/pivotTables/pivotTable2.xml><?xml version="1.0" encoding="utf-8"?>
<pivotTableDefinition xmlns="http://schemas.openxmlformats.org/spreadsheetml/2006/main" name="PivotTable9"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H16:I26" firstHeaderRow="1" firstDataRow="1" firstDataCol="1"/>
  <pivotFields count="13">
    <pivotField axis="axisRow" showAll="0">
      <items count="10">
        <item x="7"/>
        <item x="0"/>
        <item x="1"/>
        <item x="8"/>
        <item x="4"/>
        <item x="5"/>
        <item x="2"/>
        <item x="3"/>
        <item x="6"/>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numFmtId="165" showAll="0"/>
    <pivotField showAll="0"/>
    <pivotField showAll="0"/>
    <pivotField dataField="1" numFmtId="9" showAll="0"/>
    <pivotField showAll="0"/>
    <pivotField showAll="0">
      <items count="27">
        <item x="23"/>
        <item x="21"/>
        <item x="24"/>
        <item x="18"/>
        <item x="25"/>
        <item x="17"/>
        <item x="19"/>
        <item x="14"/>
        <item x="8"/>
        <item x="10"/>
        <item x="12"/>
        <item x="9"/>
        <item x="7"/>
        <item x="11"/>
        <item x="2"/>
        <item x="1"/>
        <item x="3"/>
        <item x="0"/>
        <item x="4"/>
        <item x="5"/>
        <item x="6"/>
        <item x="13"/>
        <item x="16"/>
        <item x="20"/>
        <item x="15"/>
        <item x="22"/>
        <item t="default"/>
      </items>
    </pivotField>
    <pivotField showAll="0"/>
    <pivotField showAll="0"/>
    <pivotField showAll="0" defaultSubtotal="0"/>
  </pivotFields>
  <rowFields count="1">
    <field x="0"/>
  </rowFields>
  <rowItems count="10">
    <i>
      <x/>
    </i>
    <i>
      <x v="1"/>
    </i>
    <i>
      <x v="2"/>
    </i>
    <i>
      <x v="3"/>
    </i>
    <i>
      <x v="4"/>
    </i>
    <i>
      <x v="5"/>
    </i>
    <i>
      <x v="6"/>
    </i>
    <i>
      <x v="7"/>
    </i>
    <i>
      <x v="8"/>
    </i>
    <i t="grand">
      <x/>
    </i>
  </rowItems>
  <colItems count="1">
    <i/>
  </colItems>
  <dataFields count="1">
    <dataField name="Max of DISCOUNT PERCENTAGE" fld="7" subtotal="max" baseField="0" baseItem="0"/>
  </dataFields>
  <chartFormats count="1">
    <chartFormat chart="2"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E16:F26" firstHeaderRow="1" firstDataRow="1" firstDataCol="1"/>
  <pivotFields count="13">
    <pivotField axis="axisRow" showAll="0">
      <items count="10">
        <item x="7"/>
        <item x="0"/>
        <item x="1"/>
        <item x="8"/>
        <item x="4"/>
        <item x="5"/>
        <item x="2"/>
        <item x="3"/>
        <item x="6"/>
        <item t="default"/>
      </items>
    </pivotField>
    <pivotField showAll="0"/>
    <pivotField showAll="0"/>
    <pivotField showAll="0"/>
    <pivotField numFmtId="165" showAll="0"/>
    <pivotField showAll="0"/>
    <pivotField showAll="0"/>
    <pivotField numFmtId="9" showAll="0"/>
    <pivotField showAll="0">
      <items count="3">
        <item x="1"/>
        <item x="0"/>
        <item t="default"/>
      </items>
    </pivotField>
    <pivotField showAll="0">
      <items count="27">
        <item x="23"/>
        <item x="21"/>
        <item x="24"/>
        <item x="18"/>
        <item x="25"/>
        <item x="17"/>
        <item x="19"/>
        <item x="14"/>
        <item x="8"/>
        <item x="10"/>
        <item x="12"/>
        <item x="9"/>
        <item x="7"/>
        <item x="11"/>
        <item x="2"/>
        <item x="1"/>
        <item x="3"/>
        <item x="0"/>
        <item x="4"/>
        <item x="5"/>
        <item x="6"/>
        <item x="13"/>
        <item x="16"/>
        <item x="20"/>
        <item x="15"/>
        <item x="22"/>
        <item t="default"/>
      </items>
    </pivotField>
    <pivotField showAll="0"/>
    <pivotField dataField="1" showAll="0"/>
    <pivotField showAll="0" defaultSubtotal="0"/>
  </pivotFields>
  <rowFields count="1">
    <field x="0"/>
  </rowFields>
  <rowItems count="10">
    <i>
      <x/>
    </i>
    <i>
      <x v="1"/>
    </i>
    <i>
      <x v="2"/>
    </i>
    <i>
      <x v="3"/>
    </i>
    <i>
      <x v="4"/>
    </i>
    <i>
      <x v="5"/>
    </i>
    <i>
      <x v="6"/>
    </i>
    <i>
      <x v="7"/>
    </i>
    <i>
      <x v="8"/>
    </i>
    <i t="grand">
      <x/>
    </i>
  </rowItems>
  <colItems count="1">
    <i/>
  </colItems>
  <dataFields count="1">
    <dataField name="Count of POTENTIAL REVENUE" fld="1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16:C26" firstHeaderRow="0" firstDataRow="1" firstDataCol="1"/>
  <pivotFields count="13">
    <pivotField axis="axisRow" showAll="0">
      <items count="10">
        <item x="7"/>
        <item x="0"/>
        <item x="1"/>
        <item x="8"/>
        <item x="4"/>
        <item x="5"/>
        <item x="2"/>
        <item x="3"/>
        <item x="6"/>
        <item t="default"/>
      </items>
    </pivotField>
    <pivotField showAll="0"/>
    <pivotField showAll="0"/>
    <pivotField showAll="0"/>
    <pivotField dataField="1" numFmtId="165" showAll="0"/>
    <pivotField dataField="1" showAll="0"/>
    <pivotField showAll="0"/>
    <pivotField numFmtId="9" showAll="0"/>
    <pivotField showAll="0">
      <items count="3">
        <item x="1"/>
        <item x="0"/>
        <item t="default"/>
      </items>
    </pivotField>
    <pivotField showAll="0">
      <items count="27">
        <item x="23"/>
        <item x="21"/>
        <item x="24"/>
        <item x="18"/>
        <item x="25"/>
        <item x="17"/>
        <item x="19"/>
        <item x="14"/>
        <item x="8"/>
        <item x="10"/>
        <item x="12"/>
        <item x="9"/>
        <item x="7"/>
        <item x="11"/>
        <item x="2"/>
        <item x="1"/>
        <item x="3"/>
        <item x="0"/>
        <item x="4"/>
        <item x="5"/>
        <item x="6"/>
        <item x="13"/>
        <item x="16"/>
        <item x="20"/>
        <item x="15"/>
        <item x="22"/>
        <item t="default"/>
      </items>
    </pivotField>
    <pivotField showAll="0"/>
    <pivotField showAll="0"/>
    <pivotField showAll="0" defaultSubtotal="0"/>
  </pivotFields>
  <rowFields count="1">
    <field x="0"/>
  </rowFields>
  <rowItems count="10">
    <i>
      <x/>
    </i>
    <i>
      <x v="1"/>
    </i>
    <i>
      <x v="2"/>
    </i>
    <i>
      <x v="3"/>
    </i>
    <i>
      <x v="4"/>
    </i>
    <i>
      <x v="5"/>
    </i>
    <i>
      <x v="6"/>
    </i>
    <i>
      <x v="7"/>
    </i>
    <i>
      <x v="8"/>
    </i>
    <i t="grand">
      <x/>
    </i>
  </rowItems>
  <colFields count="1">
    <field x="-2"/>
  </colFields>
  <colItems count="2">
    <i>
      <x/>
    </i>
    <i i="1">
      <x v="1"/>
    </i>
  </colItems>
  <dataFields count="2">
    <dataField name="Average of ACTUAL PRICE" fld="5" subtotal="average" baseField="0" baseItem="0" numFmtId="168"/>
    <dataField name="Average of DISCOUNTED-PRICE" fld="4" subtotal="average" baseField="0" baseItem="0" numFmtId="167"/>
  </dataFields>
  <chartFormats count="5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0"/>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4"/>
          </reference>
        </references>
      </pivotArea>
    </chartFormat>
    <chartFormat chart="0" format="5">
      <pivotArea type="data" outline="0" fieldPosition="0">
        <references count="2">
          <reference field="4294967294" count="1" selected="0">
            <x v="1"/>
          </reference>
          <reference field="0" count="1" selected="0">
            <x v="4"/>
          </reference>
        </references>
      </pivotArea>
    </chartFormat>
    <chartFormat chart="0" format="6">
      <pivotArea type="data" outline="0" fieldPosition="0">
        <references count="2">
          <reference field="4294967294" count="1" selected="0">
            <x v="1"/>
          </reference>
          <reference field="0" count="1" selected="0">
            <x v="5"/>
          </reference>
        </references>
      </pivotArea>
    </chartFormat>
    <chartFormat chart="0" format="7">
      <pivotArea type="data" outline="0" fieldPosition="0">
        <references count="2">
          <reference field="4294967294" count="1" selected="0">
            <x v="1"/>
          </reference>
          <reference field="0" count="1" selected="0">
            <x v="6"/>
          </reference>
        </references>
      </pivotArea>
    </chartFormat>
    <chartFormat chart="0" format="8">
      <pivotArea type="data" outline="0" fieldPosition="0">
        <references count="2">
          <reference field="4294967294" count="1" selected="0">
            <x v="1"/>
          </reference>
          <reference field="0" count="1" selected="0">
            <x v="2"/>
          </reference>
        </references>
      </pivotArea>
    </chartFormat>
    <chartFormat chart="0" format="9">
      <pivotArea type="data" outline="0" fieldPosition="0">
        <references count="2">
          <reference field="4294967294" count="1" selected="0">
            <x v="0"/>
          </reference>
          <reference field="0" count="1" selected="0">
            <x v="5"/>
          </reference>
        </references>
      </pivotArea>
    </chartFormat>
    <chartFormat chart="0" format="10">
      <pivotArea type="data" outline="0" fieldPosition="0">
        <references count="2">
          <reference field="4294967294" count="1" selected="0">
            <x v="1"/>
          </reference>
          <reference field="0" count="1" selected="0">
            <x v="8"/>
          </reference>
        </references>
      </pivotArea>
    </chartFormat>
    <chartFormat chart="0" format="11">
      <pivotArea type="data" outline="0" fieldPosition="0">
        <references count="2">
          <reference field="4294967294" count="1" selected="0">
            <x v="1"/>
          </reference>
          <reference field="0" count="1" selected="0">
            <x v="7"/>
          </reference>
        </references>
      </pivotArea>
    </chartFormat>
    <chartFormat chart="0" format="12">
      <pivotArea type="data" outline="0" fieldPosition="0">
        <references count="2">
          <reference field="4294967294" count="1" selected="0">
            <x v="0"/>
          </reference>
          <reference field="0" count="1" selected="0">
            <x v="8"/>
          </reference>
        </references>
      </pivotArea>
    </chartFormat>
    <chartFormat chart="0" format="13">
      <pivotArea type="data" outline="0" fieldPosition="0">
        <references count="2">
          <reference field="4294967294" count="1" selected="0">
            <x v="0"/>
          </reference>
          <reference field="0" count="1" selected="0">
            <x v="7"/>
          </reference>
        </references>
      </pivotArea>
    </chartFormat>
    <chartFormat chart="0" format="14">
      <pivotArea type="data" outline="0" fieldPosition="0">
        <references count="2">
          <reference field="4294967294" count="1" selected="0">
            <x v="0"/>
          </reference>
          <reference field="0" count="1" selected="0">
            <x v="1"/>
          </reference>
        </references>
      </pivotArea>
    </chartFormat>
    <chartFormat chart="0" format="15">
      <pivotArea type="data" outline="0" fieldPosition="0">
        <references count="2">
          <reference field="4294967294" count="1" selected="0">
            <x v="1"/>
          </reference>
          <reference field="0" count="1" selected="0">
            <x v="1"/>
          </reference>
        </references>
      </pivotArea>
    </chartFormat>
    <chartFormat chart="0" format="16">
      <pivotArea type="data" outline="0" fieldPosition="0">
        <references count="2">
          <reference field="4294967294" count="1" selected="0">
            <x v="0"/>
          </reference>
          <reference field="0" count="1" selected="0">
            <x v="6"/>
          </reference>
        </references>
      </pivotArea>
    </chartFormat>
    <chartFormat chart="0" format="17">
      <pivotArea type="data" outline="0" fieldPosition="0">
        <references count="2">
          <reference field="4294967294" count="1" selected="0">
            <x v="0"/>
          </reference>
          <reference field="0" count="1" selected="0">
            <x v="3"/>
          </reference>
        </references>
      </pivotArea>
    </chartFormat>
    <chartFormat chart="0" format="18">
      <pivotArea type="data" outline="0" fieldPosition="0">
        <references count="2">
          <reference field="4294967294" count="1" selected="0">
            <x v="1"/>
          </reference>
          <reference field="0" count="1" selected="0">
            <x v="3"/>
          </reference>
        </references>
      </pivotArea>
    </chartFormat>
    <chartFormat chart="1" format="19" series="1">
      <pivotArea type="data" outline="0" fieldPosition="0">
        <references count="1">
          <reference field="4294967294" count="1" selected="0">
            <x v="0"/>
          </reference>
        </references>
      </pivotArea>
    </chartFormat>
    <chartFormat chart="1" format="20">
      <pivotArea type="data" outline="0" fieldPosition="0">
        <references count="2">
          <reference field="4294967294" count="1" selected="0">
            <x v="0"/>
          </reference>
          <reference field="0" count="1" selected="0">
            <x v="0"/>
          </reference>
        </references>
      </pivotArea>
    </chartFormat>
    <chartFormat chart="1" format="21">
      <pivotArea type="data" outline="0" fieldPosition="0">
        <references count="2">
          <reference field="4294967294" count="1" selected="0">
            <x v="0"/>
          </reference>
          <reference field="0" count="1" selected="0">
            <x v="1"/>
          </reference>
        </references>
      </pivotArea>
    </chartFormat>
    <chartFormat chart="1" format="22">
      <pivotArea type="data" outline="0" fieldPosition="0">
        <references count="2">
          <reference field="4294967294" count="1" selected="0">
            <x v="0"/>
          </reference>
          <reference field="0" count="1" selected="0">
            <x v="3"/>
          </reference>
        </references>
      </pivotArea>
    </chartFormat>
    <chartFormat chart="1" format="23">
      <pivotArea type="data" outline="0" fieldPosition="0">
        <references count="2">
          <reference field="4294967294" count="1" selected="0">
            <x v="0"/>
          </reference>
          <reference field="0" count="1" selected="0">
            <x v="4"/>
          </reference>
        </references>
      </pivotArea>
    </chartFormat>
    <chartFormat chart="1" format="24">
      <pivotArea type="data" outline="0" fieldPosition="0">
        <references count="2">
          <reference field="4294967294" count="1" selected="0">
            <x v="0"/>
          </reference>
          <reference field="0" count="1" selected="0">
            <x v="5"/>
          </reference>
        </references>
      </pivotArea>
    </chartFormat>
    <chartFormat chart="1" format="25">
      <pivotArea type="data" outline="0" fieldPosition="0">
        <references count="2">
          <reference field="4294967294" count="1" selected="0">
            <x v="0"/>
          </reference>
          <reference field="0" count="1" selected="0">
            <x v="6"/>
          </reference>
        </references>
      </pivotArea>
    </chartFormat>
    <chartFormat chart="1" format="26">
      <pivotArea type="data" outline="0" fieldPosition="0">
        <references count="2">
          <reference field="4294967294" count="1" selected="0">
            <x v="0"/>
          </reference>
          <reference field="0" count="1" selected="0">
            <x v="7"/>
          </reference>
        </references>
      </pivotArea>
    </chartFormat>
    <chartFormat chart="1" format="27">
      <pivotArea type="data" outline="0" fieldPosition="0">
        <references count="2">
          <reference field="4294967294" count="1" selected="0">
            <x v="0"/>
          </reference>
          <reference field="0" count="1" selected="0">
            <x v="8"/>
          </reference>
        </references>
      </pivotArea>
    </chartFormat>
    <chartFormat chart="1" format="28" series="1">
      <pivotArea type="data" outline="0" fieldPosition="0">
        <references count="1">
          <reference field="4294967294" count="1" selected="0">
            <x v="1"/>
          </reference>
        </references>
      </pivotArea>
    </chartFormat>
    <chartFormat chart="1" format="29">
      <pivotArea type="data" outline="0" fieldPosition="0">
        <references count="2">
          <reference field="4294967294" count="1" selected="0">
            <x v="1"/>
          </reference>
          <reference field="0" count="1" selected="0">
            <x v="0"/>
          </reference>
        </references>
      </pivotArea>
    </chartFormat>
    <chartFormat chart="1" format="30">
      <pivotArea type="data" outline="0" fieldPosition="0">
        <references count="2">
          <reference field="4294967294" count="1" selected="0">
            <x v="1"/>
          </reference>
          <reference field="0" count="1" selected="0">
            <x v="1"/>
          </reference>
        </references>
      </pivotArea>
    </chartFormat>
    <chartFormat chart="1" format="31">
      <pivotArea type="data" outline="0" fieldPosition="0">
        <references count="2">
          <reference field="4294967294" count="1" selected="0">
            <x v="1"/>
          </reference>
          <reference field="0" count="1" selected="0">
            <x v="2"/>
          </reference>
        </references>
      </pivotArea>
    </chartFormat>
    <chartFormat chart="1" format="32">
      <pivotArea type="data" outline="0" fieldPosition="0">
        <references count="2">
          <reference field="4294967294" count="1" selected="0">
            <x v="1"/>
          </reference>
          <reference field="0" count="1" selected="0">
            <x v="3"/>
          </reference>
        </references>
      </pivotArea>
    </chartFormat>
    <chartFormat chart="1" format="33">
      <pivotArea type="data" outline="0" fieldPosition="0">
        <references count="2">
          <reference field="4294967294" count="1" selected="0">
            <x v="1"/>
          </reference>
          <reference field="0" count="1" selected="0">
            <x v="4"/>
          </reference>
        </references>
      </pivotArea>
    </chartFormat>
    <chartFormat chart="1" format="34">
      <pivotArea type="data" outline="0" fieldPosition="0">
        <references count="2">
          <reference field="4294967294" count="1" selected="0">
            <x v="1"/>
          </reference>
          <reference field="0" count="1" selected="0">
            <x v="5"/>
          </reference>
        </references>
      </pivotArea>
    </chartFormat>
    <chartFormat chart="1" format="35">
      <pivotArea type="data" outline="0" fieldPosition="0">
        <references count="2">
          <reference field="4294967294" count="1" selected="0">
            <x v="1"/>
          </reference>
          <reference field="0" count="1" selected="0">
            <x v="6"/>
          </reference>
        </references>
      </pivotArea>
    </chartFormat>
    <chartFormat chart="1" format="36">
      <pivotArea type="data" outline="0" fieldPosition="0">
        <references count="2">
          <reference field="4294967294" count="1" selected="0">
            <x v="1"/>
          </reference>
          <reference field="0" count="1" selected="0">
            <x v="7"/>
          </reference>
        </references>
      </pivotArea>
    </chartFormat>
    <chartFormat chart="1" format="37">
      <pivotArea type="data" outline="0" fieldPosition="0">
        <references count="2">
          <reference field="4294967294" count="1" selected="0">
            <x v="1"/>
          </reference>
          <reference field="0" count="1" selected="0">
            <x v="8"/>
          </reference>
        </references>
      </pivotArea>
    </chartFormat>
    <chartFormat chart="2" format="38" series="1">
      <pivotArea type="data" outline="0" fieldPosition="0">
        <references count="1">
          <reference field="4294967294" count="1" selected="0">
            <x v="0"/>
          </reference>
        </references>
      </pivotArea>
    </chartFormat>
    <chartFormat chart="2" format="39">
      <pivotArea type="data" outline="0" fieldPosition="0">
        <references count="2">
          <reference field="4294967294" count="1" selected="0">
            <x v="0"/>
          </reference>
          <reference field="0" count="1" selected="0">
            <x v="0"/>
          </reference>
        </references>
      </pivotArea>
    </chartFormat>
    <chartFormat chart="2" format="40">
      <pivotArea type="data" outline="0" fieldPosition="0">
        <references count="2">
          <reference field="4294967294" count="1" selected="0">
            <x v="0"/>
          </reference>
          <reference field="0" count="1" selected="0">
            <x v="1"/>
          </reference>
        </references>
      </pivotArea>
    </chartFormat>
    <chartFormat chart="2" format="41">
      <pivotArea type="data" outline="0" fieldPosition="0">
        <references count="2">
          <reference field="4294967294" count="1" selected="0">
            <x v="0"/>
          </reference>
          <reference field="0" count="1" selected="0">
            <x v="3"/>
          </reference>
        </references>
      </pivotArea>
    </chartFormat>
    <chartFormat chart="2" format="42">
      <pivotArea type="data" outline="0" fieldPosition="0">
        <references count="2">
          <reference field="4294967294" count="1" selected="0">
            <x v="0"/>
          </reference>
          <reference field="0" count="1" selected="0">
            <x v="4"/>
          </reference>
        </references>
      </pivotArea>
    </chartFormat>
    <chartFormat chart="2" format="43">
      <pivotArea type="data" outline="0" fieldPosition="0">
        <references count="2">
          <reference field="4294967294" count="1" selected="0">
            <x v="0"/>
          </reference>
          <reference field="0" count="1" selected="0">
            <x v="5"/>
          </reference>
        </references>
      </pivotArea>
    </chartFormat>
    <chartFormat chart="2" format="44">
      <pivotArea type="data" outline="0" fieldPosition="0">
        <references count="2">
          <reference field="4294967294" count="1" selected="0">
            <x v="0"/>
          </reference>
          <reference field="0" count="1" selected="0">
            <x v="6"/>
          </reference>
        </references>
      </pivotArea>
    </chartFormat>
    <chartFormat chart="2" format="45">
      <pivotArea type="data" outline="0" fieldPosition="0">
        <references count="2">
          <reference field="4294967294" count="1" selected="0">
            <x v="0"/>
          </reference>
          <reference field="0" count="1" selected="0">
            <x v="7"/>
          </reference>
        </references>
      </pivotArea>
    </chartFormat>
    <chartFormat chart="2" format="46">
      <pivotArea type="data" outline="0" fieldPosition="0">
        <references count="2">
          <reference field="4294967294" count="1" selected="0">
            <x v="0"/>
          </reference>
          <reference field="0" count="1" selected="0">
            <x v="8"/>
          </reference>
        </references>
      </pivotArea>
    </chartFormat>
    <chartFormat chart="2" format="47" series="1">
      <pivotArea type="data" outline="0" fieldPosition="0">
        <references count="1">
          <reference field="4294967294" count="1" selected="0">
            <x v="1"/>
          </reference>
        </references>
      </pivotArea>
    </chartFormat>
    <chartFormat chart="2" format="48">
      <pivotArea type="data" outline="0" fieldPosition="0">
        <references count="2">
          <reference field="4294967294" count="1" selected="0">
            <x v="1"/>
          </reference>
          <reference field="0" count="1" selected="0">
            <x v="0"/>
          </reference>
        </references>
      </pivotArea>
    </chartFormat>
    <chartFormat chart="2" format="49">
      <pivotArea type="data" outline="0" fieldPosition="0">
        <references count="2">
          <reference field="4294967294" count="1" selected="0">
            <x v="1"/>
          </reference>
          <reference field="0" count="1" selected="0">
            <x v="1"/>
          </reference>
        </references>
      </pivotArea>
    </chartFormat>
    <chartFormat chart="2" format="50">
      <pivotArea type="data" outline="0" fieldPosition="0">
        <references count="2">
          <reference field="4294967294" count="1" selected="0">
            <x v="1"/>
          </reference>
          <reference field="0" count="1" selected="0">
            <x v="2"/>
          </reference>
        </references>
      </pivotArea>
    </chartFormat>
    <chartFormat chart="2" format="51">
      <pivotArea type="data" outline="0" fieldPosition="0">
        <references count="2">
          <reference field="4294967294" count="1" selected="0">
            <x v="1"/>
          </reference>
          <reference field="0" count="1" selected="0">
            <x v="3"/>
          </reference>
        </references>
      </pivotArea>
    </chartFormat>
    <chartFormat chart="2" format="52">
      <pivotArea type="data" outline="0" fieldPosition="0">
        <references count="2">
          <reference field="4294967294" count="1" selected="0">
            <x v="1"/>
          </reference>
          <reference field="0" count="1" selected="0">
            <x v="4"/>
          </reference>
        </references>
      </pivotArea>
    </chartFormat>
    <chartFormat chart="2" format="53">
      <pivotArea type="data" outline="0" fieldPosition="0">
        <references count="2">
          <reference field="4294967294" count="1" selected="0">
            <x v="1"/>
          </reference>
          <reference field="0" count="1" selected="0">
            <x v="5"/>
          </reference>
        </references>
      </pivotArea>
    </chartFormat>
    <chartFormat chart="2" format="54">
      <pivotArea type="data" outline="0" fieldPosition="0">
        <references count="2">
          <reference field="4294967294" count="1" selected="0">
            <x v="1"/>
          </reference>
          <reference field="0" count="1" selected="0">
            <x v="6"/>
          </reference>
        </references>
      </pivotArea>
    </chartFormat>
    <chartFormat chart="2" format="55">
      <pivotArea type="data" outline="0" fieldPosition="0">
        <references count="2">
          <reference field="4294967294" count="1" selected="0">
            <x v="1"/>
          </reference>
          <reference field="0" count="1" selected="0">
            <x v="7"/>
          </reference>
        </references>
      </pivotArea>
    </chartFormat>
    <chartFormat chart="2" format="56">
      <pivotArea type="data" outline="0" fieldPosition="0">
        <references count="2">
          <reference field="4294967294" count="1" selected="0">
            <x v="1"/>
          </reference>
          <reference field="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D3:E13" firstHeaderRow="1" firstDataRow="1" firstDataCol="1"/>
  <pivotFields count="13">
    <pivotField axis="axisRow" showAll="0">
      <items count="10">
        <item x="7"/>
        <item x="0"/>
        <item x="1"/>
        <item x="8"/>
        <item x="4"/>
        <item x="5"/>
        <item x="2"/>
        <item x="3"/>
        <item x="6"/>
        <item t="default"/>
      </items>
    </pivotField>
    <pivotField showAll="0"/>
    <pivotField showAll="0"/>
    <pivotField showAll="0"/>
    <pivotField numFmtId="165" showAll="0"/>
    <pivotField showAll="0"/>
    <pivotField showAll="0"/>
    <pivotField numFmtId="9" showAll="0"/>
    <pivotField showAll="0">
      <items count="3">
        <item x="1"/>
        <item x="0"/>
        <item t="default"/>
      </items>
    </pivotField>
    <pivotField showAll="0">
      <items count="27">
        <item x="23"/>
        <item x="21"/>
        <item x="24"/>
        <item x="18"/>
        <item x="25"/>
        <item x="17"/>
        <item x="19"/>
        <item x="14"/>
        <item x="8"/>
        <item x="10"/>
        <item x="12"/>
        <item x="9"/>
        <item x="7"/>
        <item x="11"/>
        <item x="2"/>
        <item x="1"/>
        <item x="3"/>
        <item x="0"/>
        <item x="4"/>
        <item x="5"/>
        <item x="6"/>
        <item x="13"/>
        <item x="16"/>
        <item x="20"/>
        <item x="15"/>
        <item x="22"/>
        <item t="default"/>
      </items>
    </pivotField>
    <pivotField dataField="1" showAll="0"/>
    <pivotField showAll="0"/>
    <pivotField showAll="0" defaultSubtotal="0"/>
  </pivotFields>
  <rowFields count="1">
    <field x="0"/>
  </rowFields>
  <rowItems count="10">
    <i>
      <x/>
    </i>
    <i>
      <x v="1"/>
    </i>
    <i>
      <x v="2"/>
    </i>
    <i>
      <x v="3"/>
    </i>
    <i>
      <x v="4"/>
    </i>
    <i>
      <x v="5"/>
    </i>
    <i>
      <x v="6"/>
    </i>
    <i>
      <x v="7"/>
    </i>
    <i>
      <x v="8"/>
    </i>
    <i t="grand">
      <x/>
    </i>
  </rowItems>
  <colItems count="1">
    <i/>
  </colItems>
  <dataFields count="1">
    <dataField name="Sum of RATING COUNT" fld="10" baseField="0" baseItem="0" numFmtId="167"/>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5"/>
          </reference>
        </references>
      </pivotArea>
    </chartFormat>
    <chartFormat chart="3" format="8">
      <pivotArea type="data" outline="0" fieldPosition="0">
        <references count="2">
          <reference field="4294967294" count="1" selected="0">
            <x v="0"/>
          </reference>
          <reference field="0" count="1" selected="0">
            <x v="6"/>
          </reference>
        </references>
      </pivotArea>
    </chartFormat>
    <chartFormat chart="3" format="9">
      <pivotArea type="data" outline="0" fieldPosition="0">
        <references count="2">
          <reference field="4294967294" count="1" selected="0">
            <x v="0"/>
          </reference>
          <reference field="0" count="1" selected="0">
            <x v="8"/>
          </reference>
        </references>
      </pivotArea>
    </chartFormat>
    <chartFormat chart="3" format="10">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13" firstHeaderRow="1" firstDataRow="1" firstDataCol="1"/>
  <pivotFields count="13">
    <pivotField axis="axisRow" showAll="0">
      <items count="10">
        <item x="7"/>
        <item x="0"/>
        <item x="1"/>
        <item x="8"/>
        <item x="4"/>
        <item x="5"/>
        <item x="2"/>
        <item x="3"/>
        <item x="6"/>
        <item t="default"/>
      </items>
    </pivotField>
    <pivotField showAll="0"/>
    <pivotField showAll="0"/>
    <pivotField showAll="0"/>
    <pivotField numFmtId="165" showAll="0">
      <items count="551">
        <item x="242"/>
        <item x="233"/>
        <item x="94"/>
        <item x="18"/>
        <item x="288"/>
        <item x="283"/>
        <item x="210"/>
        <item x="520"/>
        <item x="93"/>
        <item x="124"/>
        <item x="293"/>
        <item x="205"/>
        <item x="128"/>
        <item x="24"/>
        <item x="248"/>
        <item x="301"/>
        <item x="46"/>
        <item x="315"/>
        <item x="141"/>
        <item x="218"/>
        <item x="280"/>
        <item x="122"/>
        <item x="104"/>
        <item x="234"/>
        <item x="197"/>
        <item x="267"/>
        <item x="41"/>
        <item x="4"/>
        <item x="221"/>
        <item x="3"/>
        <item x="253"/>
        <item x="11"/>
        <item x="393"/>
        <item x="504"/>
        <item x="341"/>
        <item x="252"/>
        <item x="116"/>
        <item x="307"/>
        <item x="5"/>
        <item x="387"/>
        <item x="304"/>
        <item x="21"/>
        <item x="127"/>
        <item x="532"/>
        <item x="149"/>
        <item x="423"/>
        <item x="273"/>
        <item x="244"/>
        <item x="474"/>
        <item x="82"/>
        <item x="163"/>
        <item x="261"/>
        <item x="1"/>
        <item x="316"/>
        <item x="112"/>
        <item x="95"/>
        <item x="27"/>
        <item x="68"/>
        <item x="119"/>
        <item x="144"/>
        <item x="228"/>
        <item x="150"/>
        <item x="9"/>
        <item x="105"/>
        <item x="71"/>
        <item x="6"/>
        <item x="36"/>
        <item x="535"/>
        <item x="114"/>
        <item x="276"/>
        <item x="108"/>
        <item x="388"/>
        <item x="405"/>
        <item x="156"/>
        <item x="157"/>
        <item x="14"/>
        <item x="297"/>
        <item x="204"/>
        <item x="111"/>
        <item x="539"/>
        <item x="123"/>
        <item x="107"/>
        <item x="420"/>
        <item x="42"/>
        <item x="223"/>
        <item x="232"/>
        <item x="54"/>
        <item x="321"/>
        <item x="66"/>
        <item x="17"/>
        <item x="216"/>
        <item x="295"/>
        <item x="227"/>
        <item x="57"/>
        <item x="392"/>
        <item x="350"/>
        <item x="256"/>
        <item x="509"/>
        <item x="349"/>
        <item x="8"/>
        <item x="330"/>
        <item x="404"/>
        <item x="32"/>
        <item x="310"/>
        <item x="225"/>
        <item x="390"/>
        <item x="103"/>
        <item x="50"/>
        <item x="335"/>
        <item x="300"/>
        <item x="2"/>
        <item x="319"/>
        <item x="30"/>
        <item x="511"/>
        <item x="203"/>
        <item x="86"/>
        <item x="332"/>
        <item x="58"/>
        <item x="70"/>
        <item x="39"/>
        <item x="12"/>
        <item x="10"/>
        <item x="361"/>
        <item x="382"/>
        <item x="326"/>
        <item x="377"/>
        <item x="226"/>
        <item x="84"/>
        <item x="179"/>
        <item x="484"/>
        <item x="286"/>
        <item x="97"/>
        <item x="347"/>
        <item x="22"/>
        <item x="530"/>
        <item x="471"/>
        <item x="324"/>
        <item x="342"/>
        <item x="0"/>
        <item x="83"/>
        <item x="143"/>
        <item x="480"/>
        <item x="344"/>
        <item x="285"/>
        <item x="541"/>
        <item x="247"/>
        <item x="130"/>
        <item x="269"/>
        <item x="533"/>
        <item x="265"/>
        <item x="63"/>
        <item x="399"/>
        <item x="239"/>
        <item x="540"/>
        <item x="109"/>
        <item x="298"/>
        <item x="222"/>
        <item x="230"/>
        <item x="284"/>
        <item x="254"/>
        <item x="275"/>
        <item x="99"/>
        <item x="76"/>
        <item x="545"/>
        <item x="7"/>
        <item x="31"/>
        <item x="432"/>
        <item x="236"/>
        <item x="245"/>
        <item x="189"/>
        <item x="331"/>
        <item x="187"/>
        <item x="106"/>
        <item x="125"/>
        <item x="478"/>
        <item x="281"/>
        <item x="172"/>
        <item x="271"/>
        <item x="264"/>
        <item x="303"/>
        <item x="266"/>
        <item x="489"/>
        <item x="318"/>
        <item x="120"/>
        <item x="23"/>
        <item x="394"/>
        <item x="146"/>
        <item x="398"/>
        <item x="397"/>
        <item x="353"/>
        <item x="291"/>
        <item x="472"/>
        <item x="89"/>
        <item x="491"/>
        <item x="499"/>
        <item x="37"/>
        <item x="379"/>
        <item x="80"/>
        <item x="250"/>
        <item x="336"/>
        <item x="479"/>
        <item x="419"/>
        <item x="441"/>
        <item x="363"/>
        <item x="246"/>
        <item x="506"/>
        <item x="78"/>
        <item x="505"/>
        <item x="417"/>
        <item x="154"/>
        <item x="101"/>
        <item x="241"/>
        <item x="60"/>
        <item x="446"/>
        <item x="274"/>
        <item x="258"/>
        <item x="81"/>
        <item x="381"/>
        <item x="518"/>
        <item x="488"/>
        <item x="343"/>
        <item x="371"/>
        <item x="512"/>
        <item x="409"/>
        <item x="131"/>
        <item x="132"/>
        <item x="231"/>
        <item x="34"/>
        <item x="364"/>
        <item x="503"/>
        <item x="257"/>
        <item x="117"/>
        <item x="61"/>
        <item x="453"/>
        <item x="186"/>
        <item x="296"/>
        <item x="243"/>
        <item x="151"/>
        <item x="25"/>
        <item x="313"/>
        <item x="139"/>
        <item x="494"/>
        <item x="305"/>
        <item x="452"/>
        <item x="96"/>
        <item x="435"/>
        <item x="175"/>
        <item x="16"/>
        <item x="492"/>
        <item x="455"/>
        <item x="467"/>
        <item x="468"/>
        <item x="29"/>
        <item x="351"/>
        <item x="249"/>
        <item x="430"/>
        <item x="220"/>
        <item x="240"/>
        <item x="460"/>
        <item x="188"/>
        <item x="90"/>
        <item x="508"/>
        <item x="59"/>
        <item x="251"/>
        <item x="517"/>
        <item x="395"/>
        <item x="176"/>
        <item x="538"/>
        <item x="429"/>
        <item x="299"/>
        <item x="465"/>
        <item x="513"/>
        <item x="33"/>
        <item x="177"/>
        <item x="229"/>
        <item x="320"/>
        <item x="458"/>
        <item x="118"/>
        <item x="368"/>
        <item x="145"/>
        <item x="354"/>
        <item x="237"/>
        <item x="69"/>
        <item x="370"/>
        <item x="199"/>
        <item x="270"/>
        <item x="294"/>
        <item x="277"/>
        <item x="158"/>
        <item x="92"/>
        <item x="376"/>
        <item x="328"/>
        <item x="414"/>
        <item x="48"/>
        <item x="306"/>
        <item x="411"/>
        <item x="424"/>
        <item x="523"/>
        <item x="352"/>
        <item x="260"/>
        <item x="482"/>
        <item x="421"/>
        <item x="302"/>
        <item x="268"/>
        <item x="385"/>
        <item x="72"/>
        <item x="338"/>
        <item x="164"/>
        <item x="272"/>
        <item x="431"/>
        <item x="259"/>
        <item x="543"/>
        <item x="334"/>
        <item x="428"/>
        <item x="255"/>
        <item x="44"/>
        <item x="534"/>
        <item x="362"/>
        <item x="531"/>
        <item x="357"/>
        <item x="487"/>
        <item x="448"/>
        <item x="366"/>
        <item x="325"/>
        <item x="410"/>
        <item x="79"/>
        <item x="311"/>
        <item x="528"/>
        <item x="278"/>
        <item x="166"/>
        <item x="463"/>
        <item x="287"/>
        <item x="374"/>
        <item x="426"/>
        <item x="147"/>
        <item x="238"/>
        <item x="309"/>
        <item x="173"/>
        <item x="433"/>
        <item x="522"/>
        <item x="389"/>
        <item x="365"/>
        <item x="537"/>
        <item x="207"/>
        <item x="135"/>
        <item x="337"/>
        <item x="167"/>
        <item x="168"/>
        <item x="312"/>
        <item x="496"/>
        <item x="169"/>
        <item x="449"/>
        <item x="402"/>
        <item x="407"/>
        <item x="461"/>
        <item x="384"/>
        <item x="202"/>
        <item x="359"/>
        <item x="378"/>
        <item x="211"/>
        <item x="181"/>
        <item x="548"/>
        <item x="500"/>
        <item x="457"/>
        <item x="547"/>
        <item x="476"/>
        <item x="136"/>
        <item x="542"/>
        <item x="408"/>
        <item x="403"/>
        <item x="437"/>
        <item x="475"/>
        <item x="400"/>
        <item x="314"/>
        <item x="209"/>
        <item x="486"/>
        <item x="466"/>
        <item x="292"/>
        <item x="213"/>
        <item x="339"/>
        <item x="317"/>
        <item x="519"/>
        <item x="546"/>
        <item x="413"/>
        <item x="155"/>
        <item x="401"/>
        <item x="445"/>
        <item x="498"/>
        <item x="214"/>
        <item x="549"/>
        <item x="439"/>
        <item x="447"/>
        <item x="510"/>
        <item x="485"/>
        <item x="184"/>
        <item x="194"/>
        <item x="527"/>
        <item x="450"/>
        <item x="529"/>
        <item x="372"/>
        <item x="396"/>
        <item x="367"/>
        <item x="375"/>
        <item x="525"/>
        <item x="279"/>
        <item x="308"/>
        <item x="346"/>
        <item x="456"/>
        <item x="544"/>
        <item x="322"/>
        <item x="369"/>
        <item x="406"/>
        <item x="360"/>
        <item x="355"/>
        <item x="483"/>
        <item x="425"/>
        <item x="515"/>
        <item x="386"/>
        <item x="495"/>
        <item x="454"/>
        <item x="215"/>
        <item x="462"/>
        <item x="183"/>
        <item x="235"/>
        <item x="422"/>
        <item x="290"/>
        <item x="206"/>
        <item x="133"/>
        <item x="380"/>
        <item x="190"/>
        <item x="451"/>
        <item x="524"/>
        <item x="470"/>
        <item x="208"/>
        <item x="340"/>
        <item x="493"/>
        <item x="477"/>
        <item x="526"/>
        <item x="358"/>
        <item x="282"/>
        <item x="100"/>
        <item x="289"/>
        <item x="521"/>
        <item x="442"/>
        <item x="333"/>
        <item x="329"/>
        <item x="415"/>
        <item x="514"/>
        <item x="373"/>
        <item x="444"/>
        <item x="263"/>
        <item x="113"/>
        <item x="170"/>
        <item x="464"/>
        <item x="356"/>
        <item x="536"/>
        <item x="459"/>
        <item x="507"/>
        <item x="412"/>
        <item x="35"/>
        <item x="436"/>
        <item x="49"/>
        <item x="481"/>
        <item x="65"/>
        <item x="198"/>
        <item x="438"/>
        <item x="219"/>
        <item x="217"/>
        <item x="43"/>
        <item x="427"/>
        <item x="345"/>
        <item x="73"/>
        <item x="516"/>
        <item x="501"/>
        <item x="383"/>
        <item x="469"/>
        <item x="98"/>
        <item x="138"/>
        <item x="443"/>
        <item x="88"/>
        <item x="497"/>
        <item x="174"/>
        <item x="391"/>
        <item x="440"/>
        <item x="416"/>
        <item x="75"/>
        <item x="323"/>
        <item x="327"/>
        <item x="162"/>
        <item x="47"/>
        <item x="152"/>
        <item x="192"/>
        <item x="19"/>
        <item x="110"/>
        <item x="262"/>
        <item x="200"/>
        <item x="91"/>
        <item x="490"/>
        <item x="180"/>
        <item x="15"/>
        <item x="148"/>
        <item x="13"/>
        <item x="418"/>
        <item x="434"/>
        <item x="20"/>
        <item x="87"/>
        <item x="185"/>
        <item x="67"/>
        <item x="38"/>
        <item x="182"/>
        <item x="153"/>
        <item x="201"/>
        <item x="178"/>
        <item x="56"/>
        <item x="134"/>
        <item x="28"/>
        <item x="74"/>
        <item x="195"/>
        <item x="142"/>
        <item x="62"/>
        <item x="196"/>
        <item x="77"/>
        <item x="161"/>
        <item x="159"/>
        <item x="55"/>
        <item x="45"/>
        <item x="473"/>
        <item x="52"/>
        <item x="171"/>
        <item x="85"/>
        <item x="51"/>
        <item x="53"/>
        <item x="121"/>
        <item x="40"/>
        <item x="26"/>
        <item x="191"/>
        <item x="193"/>
        <item x="137"/>
        <item x="348"/>
        <item x="224"/>
        <item x="64"/>
        <item x="502"/>
        <item x="115"/>
        <item x="212"/>
        <item x="140"/>
        <item x="165"/>
        <item x="102"/>
        <item x="129"/>
        <item x="160"/>
        <item x="126"/>
        <item t="default"/>
      </items>
    </pivotField>
    <pivotField showAll="0"/>
    <pivotField showAll="0"/>
    <pivotField dataField="1" numFmtId="9" showAll="0"/>
    <pivotField showAll="0">
      <items count="3">
        <item x="1"/>
        <item x="0"/>
        <item t="default"/>
      </items>
    </pivotField>
    <pivotField showAll="0"/>
    <pivotField showAll="0">
      <items count="1145">
        <item x="1017"/>
        <item x="803"/>
        <item x="133"/>
        <item x="853"/>
        <item x="222"/>
        <item x="1067"/>
        <item x="1004"/>
        <item x="886"/>
        <item x="119"/>
        <item x="964"/>
        <item x="395"/>
        <item x="1003"/>
        <item x="1119"/>
        <item x="891"/>
        <item x="637"/>
        <item x="205"/>
        <item x="121"/>
        <item x="224"/>
        <item x="157"/>
        <item x="927"/>
        <item x="944"/>
        <item x="67"/>
        <item x="95"/>
        <item x="378"/>
        <item x="1131"/>
        <item x="223"/>
        <item x="920"/>
        <item x="218"/>
        <item x="910"/>
        <item x="206"/>
        <item x="937"/>
        <item x="951"/>
        <item x="1085"/>
        <item x="125"/>
        <item x="144"/>
        <item x="984"/>
        <item x="153"/>
        <item x="1084"/>
        <item x="812"/>
        <item x="215"/>
        <item x="689"/>
        <item x="724"/>
        <item x="942"/>
        <item x="104"/>
        <item x="1108"/>
        <item x="198"/>
        <item x="226"/>
        <item x="1025"/>
        <item x="616"/>
        <item x="844"/>
        <item x="892"/>
        <item x="1095"/>
        <item x="195"/>
        <item x="364"/>
        <item x="229"/>
        <item x="999"/>
        <item x="162"/>
        <item x="821"/>
        <item x="213"/>
        <item x="1137"/>
        <item x="371"/>
        <item x="211"/>
        <item x="851"/>
        <item x="377"/>
        <item x="71"/>
        <item x="230"/>
        <item x="93"/>
        <item x="1110"/>
        <item x="246"/>
        <item x="236"/>
        <item x="1054"/>
        <item x="59"/>
        <item x="237"/>
        <item x="326"/>
        <item x="1107"/>
        <item x="1042"/>
        <item x="1130"/>
        <item x="225"/>
        <item x="995"/>
        <item x="1094"/>
        <item x="1006"/>
        <item x="241"/>
        <item x="1126"/>
        <item x="25"/>
        <item x="189"/>
        <item x="1134"/>
        <item x="158"/>
        <item x="238"/>
        <item x="991"/>
        <item x="433"/>
        <item x="60"/>
        <item x="117"/>
        <item x="1083"/>
        <item x="221"/>
        <item x="1133"/>
        <item x="196"/>
        <item x="239"/>
        <item x="1105"/>
        <item x="850"/>
        <item x="356"/>
        <item x="562"/>
        <item x="181"/>
        <item x="392"/>
        <item x="170"/>
        <item x="940"/>
        <item x="956"/>
        <item x="122"/>
        <item x="576"/>
        <item x="784"/>
        <item x="1080"/>
        <item x="234"/>
        <item x="393"/>
        <item x="201"/>
        <item x="101"/>
        <item x="109"/>
        <item x="1103"/>
        <item x="903"/>
        <item x="806"/>
        <item x="186"/>
        <item x="985"/>
        <item x="1092"/>
        <item x="247"/>
        <item x="996"/>
        <item x="386"/>
        <item x="856"/>
        <item x="135"/>
        <item x="46"/>
        <item x="934"/>
        <item x="188"/>
        <item x="1020"/>
        <item x="976"/>
        <item x="1012"/>
        <item x="156"/>
        <item x="1056"/>
        <item x="128"/>
        <item x="140"/>
        <item x="612"/>
        <item x="30"/>
        <item x="166"/>
        <item x="663"/>
        <item x="630"/>
        <item x="1036"/>
        <item x="116"/>
        <item x="583"/>
        <item x="232"/>
        <item x="1019"/>
        <item x="65"/>
        <item x="528"/>
        <item x="147"/>
        <item x="743"/>
        <item x="380"/>
        <item x="753"/>
        <item x="701"/>
        <item x="1046"/>
        <item x="73"/>
        <item x="693"/>
        <item x="180"/>
        <item x="653"/>
        <item x="865"/>
        <item x="877"/>
        <item x="55"/>
        <item x="1129"/>
        <item x="56"/>
        <item x="974"/>
        <item x="35"/>
        <item x="950"/>
        <item x="390"/>
        <item x="178"/>
        <item x="1141"/>
        <item x="179"/>
        <item x="849"/>
        <item x="171"/>
        <item x="670"/>
        <item x="142"/>
        <item x="143"/>
        <item x="41"/>
        <item x="89"/>
        <item x="202"/>
        <item x="209"/>
        <item x="1079"/>
        <item x="1115"/>
        <item x="1023"/>
        <item x="66"/>
        <item x="240"/>
        <item x="875"/>
        <item x="926"/>
        <item x="1037"/>
        <item x="1030"/>
        <item x="997"/>
        <item x="177"/>
        <item x="610"/>
        <item x="33"/>
        <item x="126"/>
        <item x="906"/>
        <item x="1049"/>
        <item x="91"/>
        <item x="96"/>
        <item x="677"/>
        <item x="361"/>
        <item x="63"/>
        <item x="808"/>
        <item x="872"/>
        <item x="1034"/>
        <item x="134"/>
        <item x="1022"/>
        <item x="1002"/>
        <item x="233"/>
        <item x="839"/>
        <item x="968"/>
        <item x="455"/>
        <item x="954"/>
        <item x="48"/>
        <item x="698"/>
        <item x="627"/>
        <item x="381"/>
        <item x="1028"/>
        <item x="409"/>
        <item x="731"/>
        <item x="1065"/>
        <item x="207"/>
        <item x="1109"/>
        <item x="388"/>
        <item x="1057"/>
        <item x="975"/>
        <item x="357"/>
        <item x="85"/>
        <item x="399"/>
        <item x="1112"/>
        <item x="1100"/>
        <item x="957"/>
        <item x="837"/>
        <item x="146"/>
        <item x="17"/>
        <item x="661"/>
        <item x="1104"/>
        <item x="358"/>
        <item x="1058"/>
        <item x="235"/>
        <item x="150"/>
        <item x="200"/>
        <item x="1116"/>
        <item x="791"/>
        <item x="68"/>
        <item x="542"/>
        <item x="172"/>
        <item x="114"/>
        <item x="980"/>
        <item x="161"/>
        <item x="977"/>
        <item x="987"/>
        <item x="29"/>
        <item x="792"/>
        <item x="534"/>
        <item x="993"/>
        <item x="212"/>
        <item x="1069"/>
        <item x="988"/>
        <item x="836"/>
        <item x="1008"/>
        <item x="686"/>
        <item x="216"/>
        <item x="588"/>
        <item x="866"/>
        <item x="88"/>
        <item x="79"/>
        <item x="828"/>
        <item x="1086"/>
        <item x="1060"/>
        <item x="917"/>
        <item x="782"/>
        <item x="31"/>
        <item x="76"/>
        <item x="1075"/>
        <item x="526"/>
        <item x="1139"/>
        <item x="704"/>
        <item x="77"/>
        <item x="1039"/>
        <item x="1118"/>
        <item x="885"/>
        <item x="92"/>
        <item x="1136"/>
        <item x="167"/>
        <item x="783"/>
        <item x="560"/>
        <item x="1071"/>
        <item x="898"/>
        <item x="127"/>
        <item x="1117"/>
        <item x="591"/>
        <item x="184"/>
        <item x="164"/>
        <item x="863"/>
        <item x="97"/>
        <item x="100"/>
        <item x="666"/>
        <item x="811"/>
        <item x="890"/>
        <item x="1066"/>
        <item x="52"/>
        <item x="306"/>
        <item x="185"/>
        <item x="928"/>
        <item x="694"/>
        <item x="106"/>
        <item x="1123"/>
        <item x="112"/>
        <item x="963"/>
        <item x="297"/>
        <item x="946"/>
        <item x="1097"/>
        <item x="64"/>
        <item x="1063"/>
        <item x="243"/>
        <item x="1062"/>
        <item x="751"/>
        <item x="966"/>
        <item x="363"/>
        <item x="897"/>
        <item x="168"/>
        <item x="228"/>
        <item x="401"/>
        <item x="1124"/>
        <item x="564"/>
        <item x="527"/>
        <item x="754"/>
        <item x="217"/>
        <item x="845"/>
        <item x="880"/>
        <item x="82"/>
        <item x="422"/>
        <item x="129"/>
        <item x="373"/>
        <item x="1059"/>
        <item x="870"/>
        <item x="208"/>
        <item x="881"/>
        <item x="613"/>
        <item x="735"/>
        <item x="1081"/>
        <item x="718"/>
        <item x="930"/>
        <item x="281"/>
        <item x="550"/>
        <item x="220"/>
        <item x="829"/>
        <item x="90"/>
        <item x="938"/>
        <item x="948"/>
        <item x="818"/>
        <item x="893"/>
        <item x="823"/>
        <item x="1090"/>
        <item x="319"/>
        <item x="472"/>
        <item x="62"/>
        <item x="300"/>
        <item x="191"/>
        <item x="385"/>
        <item x="955"/>
        <item x="913"/>
        <item x="1074"/>
        <item x="1128"/>
        <item x="638"/>
        <item x="1072"/>
        <item x="832"/>
        <item x="1044"/>
        <item x="249"/>
        <item x="654"/>
        <item x="744"/>
        <item x="592"/>
        <item x="28"/>
        <item x="341"/>
        <item x="94"/>
        <item x="986"/>
        <item x="960"/>
        <item x="75"/>
        <item x="554"/>
        <item x="1031"/>
        <item x="912"/>
        <item x="503"/>
        <item x="958"/>
        <item x="760"/>
        <item x="687"/>
        <item x="481"/>
        <item x="750"/>
        <item x="922"/>
        <item x="949"/>
        <item x="190"/>
        <item x="573"/>
        <item x="929"/>
        <item x="360"/>
        <item x="825"/>
        <item x="227"/>
        <item x="344"/>
        <item x="914"/>
        <item x="50"/>
        <item x="904"/>
        <item x="155"/>
        <item x="11"/>
        <item x="321"/>
        <item x="645"/>
        <item x="1055"/>
        <item x="1135"/>
        <item x="692"/>
        <item x="1038"/>
        <item x="972"/>
        <item x="990"/>
        <item x="729"/>
        <item x="1048"/>
        <item x="1068"/>
        <item x="342"/>
        <item x="387"/>
        <item x="741"/>
        <item x="1087"/>
        <item x="148"/>
        <item x="800"/>
        <item x="971"/>
        <item x="626"/>
        <item x="362"/>
        <item x="641"/>
        <item x="842"/>
        <item x="609"/>
        <item x="705"/>
        <item x="748"/>
        <item x="1138"/>
        <item x="611"/>
        <item x="730"/>
        <item x="1113"/>
        <item x="1088"/>
        <item x="87"/>
        <item x="725"/>
        <item x="1078"/>
        <item x="983"/>
        <item x="764"/>
        <item x="679"/>
        <item x="656"/>
        <item x="149"/>
        <item x="333"/>
        <item x="132"/>
        <item x="1127"/>
        <item x="108"/>
        <item x="1125"/>
        <item x="57"/>
        <item x="795"/>
        <item x="923"/>
        <item x="732"/>
        <item x="1111"/>
        <item x="24"/>
        <item x="858"/>
        <item x="553"/>
        <item x="84"/>
        <item x="558"/>
        <item x="947"/>
        <item x="896"/>
        <item x="546"/>
        <item x="697"/>
        <item x="939"/>
        <item x="722"/>
        <item x="799"/>
        <item x="182"/>
        <item x="740"/>
        <item x="244"/>
        <item x="136"/>
        <item x="47"/>
        <item x="774"/>
        <item x="841"/>
        <item x="214"/>
        <item x="683"/>
        <item x="655"/>
        <item x="889"/>
        <item x="470"/>
        <item x="231"/>
        <item x="644"/>
        <item x="1007"/>
        <item x="480"/>
        <item x="367"/>
        <item x="541"/>
        <item x="802"/>
        <item x="335"/>
        <item x="397"/>
        <item x="900"/>
        <item x="568"/>
        <item x="1121"/>
        <item x="1052"/>
        <item x="347"/>
        <item x="536"/>
        <item x="667"/>
        <item x="152"/>
        <item x="810"/>
        <item x="330"/>
        <item x="895"/>
        <item x="1053"/>
        <item x="1050"/>
        <item x="103"/>
        <item x="204"/>
        <item x="721"/>
        <item x="835"/>
        <item x="436"/>
        <item x="291"/>
        <item x="459"/>
        <item x="615"/>
        <item x="530"/>
        <item x="733"/>
        <item x="352"/>
        <item x="517"/>
        <item x="245"/>
        <item x="1106"/>
        <item x="1021"/>
        <item x="699"/>
        <item x="794"/>
        <item x="969"/>
        <item x="123"/>
        <item x="759"/>
        <item x="1043"/>
        <item x="86"/>
        <item x="662"/>
        <item x="311"/>
        <item x="747"/>
        <item x="967"/>
        <item x="107"/>
        <item x="676"/>
        <item x="847"/>
        <item x="1098"/>
        <item x="1032"/>
        <item x="545"/>
        <item x="978"/>
        <item x="908"/>
        <item x="953"/>
        <item x="902"/>
        <item x="1093"/>
        <item x="1009"/>
        <item x="989"/>
        <item x="45"/>
        <item x="485"/>
        <item x="1077"/>
        <item x="899"/>
        <item x="1096"/>
        <item x="633"/>
        <item x="1140"/>
        <item x="80"/>
        <item x="688"/>
        <item x="943"/>
        <item x="1064"/>
        <item x="707"/>
        <item x="1091"/>
        <item x="647"/>
        <item x="857"/>
        <item x="854"/>
        <item x="192"/>
        <item x="620"/>
        <item x="887"/>
        <item x="981"/>
        <item x="848"/>
        <item x="296"/>
        <item x="1033"/>
        <item x="327"/>
        <item x="491"/>
        <item x="635"/>
        <item x="668"/>
        <item x="492"/>
        <item x="1013"/>
        <item x="945"/>
        <item x="878"/>
        <item x="665"/>
        <item x="118"/>
        <item x="921"/>
        <item x="379"/>
        <item x="197"/>
        <item x="21"/>
        <item x="994"/>
        <item x="736"/>
        <item x="570"/>
        <item x="374"/>
        <item x="499"/>
        <item x="12"/>
        <item x="745"/>
        <item x="768"/>
        <item x="1014"/>
        <item x="497"/>
        <item x="918"/>
        <item x="793"/>
        <item x="742"/>
        <item x="749"/>
        <item x="325"/>
        <item x="400"/>
        <item x="911"/>
        <item x="623"/>
        <item x="624"/>
        <item x="1041"/>
        <item x="726"/>
        <item x="1001"/>
        <item x="1047"/>
        <item x="477"/>
        <item x="941"/>
        <item x="278"/>
        <item x="691"/>
        <item x="1018"/>
        <item x="876"/>
        <item x="1015"/>
        <item x="834"/>
        <item x="788"/>
        <item x="138"/>
        <item x="113"/>
        <item x="720"/>
        <item x="649"/>
        <item x="173"/>
        <item x="636"/>
        <item x="549"/>
        <item x="519"/>
        <item x="684"/>
        <item x="444"/>
        <item x="429"/>
        <item x="629"/>
        <item x="916"/>
        <item x="1122"/>
        <item x="651"/>
        <item x="1099"/>
        <item x="959"/>
        <item x="187"/>
        <item x="504"/>
        <item x="1089"/>
        <item x="727"/>
        <item x="307"/>
        <item x="973"/>
        <item x="1035"/>
        <item x="111"/>
        <item x="329"/>
        <item x="700"/>
        <item x="734"/>
        <item x="658"/>
        <item x="124"/>
        <item x="595"/>
        <item x="203"/>
        <item x="868"/>
        <item x="778"/>
        <item x="1070"/>
        <item x="561"/>
        <item x="383"/>
        <item x="772"/>
        <item x="1132"/>
        <item x="515"/>
        <item x="81"/>
        <item x="1073"/>
        <item x="130"/>
        <item x="74"/>
        <item x="365"/>
        <item x="604"/>
        <item x="137"/>
        <item x="590"/>
        <item x="163"/>
        <item x="1102"/>
        <item x="1143"/>
        <item x="49"/>
        <item x="51"/>
        <item x="552"/>
        <item x="1027"/>
        <item x="351"/>
        <item x="449"/>
        <item x="457"/>
        <item x="301"/>
        <item x="1011"/>
        <item x="952"/>
        <item x="523"/>
        <item x="1005"/>
        <item x="34"/>
        <item x="702"/>
        <item x="145"/>
        <item x="746"/>
        <item x="614"/>
        <item x="407"/>
        <item x="598"/>
        <item x="286"/>
        <item x="345"/>
        <item x="646"/>
        <item x="982"/>
        <item x="169"/>
        <item x="933"/>
        <item x="719"/>
        <item x="61"/>
        <item x="539"/>
        <item x="323"/>
        <item x="1016"/>
        <item x="1114"/>
        <item x="254"/>
        <item x="2"/>
        <item x="1082"/>
        <item x="817"/>
        <item x="843"/>
        <item x="1061"/>
        <item x="979"/>
        <item x="1142"/>
        <item x="557"/>
        <item x="605"/>
        <item x="786"/>
        <item x="998"/>
        <item x="40"/>
        <item x="44"/>
        <item x="463"/>
        <item x="715"/>
        <item x="154"/>
        <item x="551"/>
        <item x="366"/>
        <item x="376"/>
        <item x="770"/>
        <item x="883"/>
        <item x="625"/>
        <item x="672"/>
        <item x="160"/>
        <item x="293"/>
        <item x="525"/>
        <item x="478"/>
        <item x="484"/>
        <item x="584"/>
        <item x="194"/>
        <item x="418"/>
        <item x="375"/>
        <item x="932"/>
        <item x="267"/>
        <item x="619"/>
        <item x="1010"/>
        <item x="961"/>
        <item x="924"/>
        <item x="632"/>
        <item x="587"/>
        <item x="453"/>
        <item x="907"/>
        <item x="398"/>
        <item x="496"/>
        <item x="905"/>
        <item x="336"/>
        <item x="20"/>
        <item x="529"/>
        <item x="728"/>
        <item x="318"/>
        <item x="440"/>
        <item x="468"/>
        <item x="901"/>
        <item x="822"/>
        <item x="680"/>
        <item x="1076"/>
        <item x="935"/>
        <item x="798"/>
        <item x="39"/>
        <item x="538"/>
        <item x="628"/>
        <item x="72"/>
        <item x="664"/>
        <item x="602"/>
        <item x="384"/>
        <item x="925"/>
        <item x="992"/>
        <item x="833"/>
        <item x="1120"/>
        <item x="652"/>
        <item x="120"/>
        <item x="659"/>
        <item x="70"/>
        <item x="622"/>
        <item x="257"/>
        <item x="657"/>
        <item x="682"/>
        <item x="660"/>
        <item x="712"/>
        <item x="710"/>
        <item x="372"/>
        <item x="859"/>
        <item x="139"/>
        <item x="18"/>
        <item x="643"/>
        <item x="1051"/>
        <item x="618"/>
        <item x="487"/>
        <item x="299"/>
        <item x="579"/>
        <item x="709"/>
        <item x="970"/>
        <item x="884"/>
        <item x="1029"/>
        <item x="601"/>
        <item x="919"/>
        <item x="574"/>
        <item x="310"/>
        <item x="909"/>
        <item x="824"/>
        <item x="486"/>
        <item x="464"/>
        <item x="437"/>
        <item x="862"/>
        <item x="773"/>
        <item x="1040"/>
        <item x="1026"/>
        <item x="16"/>
        <item x="183"/>
        <item x="38"/>
        <item x="22"/>
        <item x="461"/>
        <item x="678"/>
        <item x="650"/>
        <item x="500"/>
        <item x="706"/>
        <item x="262"/>
        <item x="99"/>
        <item x="931"/>
        <item x="462"/>
        <item x="634"/>
        <item x="855"/>
        <item x="805"/>
        <item x="15"/>
        <item x="673"/>
        <item x="83"/>
        <item x="915"/>
        <item x="869"/>
        <item x="695"/>
        <item x="282"/>
        <item x="860"/>
        <item x="962"/>
        <item x="757"/>
        <item x="9"/>
        <item x="873"/>
        <item x="642"/>
        <item x="32"/>
        <item x="458"/>
        <item x="738"/>
        <item x="493"/>
        <item x="250"/>
        <item x="711"/>
        <item x="608"/>
        <item x="777"/>
        <item x="819"/>
        <item x="769"/>
        <item x="1101"/>
        <item x="174"/>
        <item x="276"/>
        <item x="716"/>
        <item x="368"/>
        <item x="263"/>
        <item x="419"/>
        <item x="888"/>
        <item x="796"/>
        <item x="567"/>
        <item x="816"/>
        <item x="708"/>
        <item x="309"/>
        <item x="396"/>
        <item x="563"/>
        <item x="283"/>
        <item x="852"/>
        <item x="430"/>
        <item x="219"/>
        <item x="879"/>
        <item x="452"/>
        <item x="532"/>
        <item x="565"/>
        <item x="894"/>
        <item x="494"/>
        <item x="6"/>
        <item x="304"/>
        <item x="450"/>
        <item x="1045"/>
        <item x="840"/>
        <item x="438"/>
        <item x="1000"/>
        <item x="807"/>
        <item x="767"/>
        <item x="820"/>
        <item x="556"/>
        <item x="531"/>
        <item x="681"/>
        <item x="265"/>
        <item x="965"/>
        <item x="714"/>
        <item x="814"/>
        <item x="739"/>
        <item x="19"/>
        <item x="338"/>
        <item x="674"/>
        <item x="314"/>
        <item x="4"/>
        <item x="324"/>
        <item x="277"/>
        <item x="394"/>
        <item x="432"/>
        <item x="790"/>
        <item x="1024"/>
        <item x="507"/>
        <item x="586"/>
        <item x="603"/>
        <item x="255"/>
        <item x="831"/>
        <item x="501"/>
        <item x="252"/>
        <item x="322"/>
        <item x="871"/>
        <item x="456"/>
        <item x="298"/>
        <item x="582"/>
        <item x="838"/>
        <item x="936"/>
        <item x="758"/>
        <item x="346"/>
        <item x="606"/>
        <item x="303"/>
        <item x="13"/>
        <item x="165"/>
        <item x="271"/>
        <item x="280"/>
        <item x="343"/>
        <item x="826"/>
        <item x="535"/>
        <item x="248"/>
        <item x="827"/>
        <item x="389"/>
        <item x="58"/>
        <item x="578"/>
        <item x="289"/>
        <item x="597"/>
        <item x="572"/>
        <item x="524"/>
        <item x="717"/>
        <item x="26"/>
        <item x="864"/>
        <item x="332"/>
        <item x="498"/>
        <item x="516"/>
        <item x="176"/>
        <item x="273"/>
        <item x="447"/>
        <item x="639"/>
        <item x="413"/>
        <item x="776"/>
        <item x="259"/>
        <item x="416"/>
        <item x="339"/>
        <item x="270"/>
        <item x="640"/>
        <item x="78"/>
        <item x="596"/>
        <item x="269"/>
        <item x="359"/>
        <item x="737"/>
        <item x="489"/>
        <item x="131"/>
        <item x="577"/>
        <item x="771"/>
        <item x="775"/>
        <item x="780"/>
        <item x="0"/>
        <item x="274"/>
        <item x="509"/>
        <item x="43"/>
        <item x="412"/>
        <item x="294"/>
        <item x="5"/>
        <item x="593"/>
        <item x="175"/>
        <item x="755"/>
        <item x="801"/>
        <item x="520"/>
        <item x="580"/>
        <item x="543"/>
        <item x="285"/>
        <item x="569"/>
        <item x="474"/>
        <item x="559"/>
        <item x="713"/>
        <item x="813"/>
        <item x="555"/>
        <item x="599"/>
        <item x="846"/>
        <item x="473"/>
        <item x="316"/>
        <item x="348"/>
        <item x="439"/>
        <item x="37"/>
        <item x="513"/>
        <item x="547"/>
        <item x="575"/>
        <item x="242"/>
        <item x="251"/>
        <item x="354"/>
        <item x="404"/>
        <item x="391"/>
        <item x="428"/>
        <item x="454"/>
        <item x="882"/>
        <item x="98"/>
        <item x="69"/>
        <item x="424"/>
        <item x="334"/>
        <item x="272"/>
        <item x="340"/>
        <item x="425"/>
        <item x="53"/>
        <item x="115"/>
        <item x="441"/>
        <item x="268"/>
        <item x="696"/>
        <item x="7"/>
        <item x="537"/>
        <item x="315"/>
        <item x="600"/>
        <item x="787"/>
        <item x="514"/>
        <item x="328"/>
        <item x="607"/>
        <item x="763"/>
        <item x="350"/>
        <item x="312"/>
        <item x="14"/>
        <item x="284"/>
        <item x="830"/>
        <item x="426"/>
        <item x="594"/>
        <item x="471"/>
        <item x="434"/>
        <item x="469"/>
        <item x="193"/>
        <item x="482"/>
        <item x="23"/>
        <item x="465"/>
        <item x="815"/>
        <item x="199"/>
        <item x="785"/>
        <item x="382"/>
        <item x="867"/>
        <item x="287"/>
        <item x="789"/>
        <item x="505"/>
        <item x="369"/>
        <item x="797"/>
        <item x="804"/>
        <item x="617"/>
        <item x="581"/>
        <item x="781"/>
        <item x="690"/>
        <item x="533"/>
        <item x="105"/>
        <item x="295"/>
        <item x="648"/>
        <item x="861"/>
        <item x="279"/>
        <item x="1"/>
        <item x="779"/>
        <item x="151"/>
        <item x="671"/>
        <item x="761"/>
        <item x="703"/>
        <item x="54"/>
        <item x="266"/>
        <item x="809"/>
        <item x="512"/>
        <item x="476"/>
        <item x="305"/>
        <item x="445"/>
        <item x="589"/>
        <item x="308"/>
        <item x="435"/>
        <item x="475"/>
        <item x="502"/>
        <item x="874"/>
        <item x="766"/>
        <item x="421"/>
        <item x="521"/>
        <item x="466"/>
        <item x="451"/>
        <item x="349"/>
        <item x="261"/>
        <item x="320"/>
        <item x="479"/>
        <item x="406"/>
        <item x="765"/>
        <item x="518"/>
        <item x="420"/>
        <item x="506"/>
        <item x="256"/>
        <item x="353"/>
        <item x="410"/>
        <item x="317"/>
        <item x="490"/>
        <item x="540"/>
        <item x="427"/>
        <item x="102"/>
        <item x="566"/>
        <item x="442"/>
        <item x="290"/>
        <item x="685"/>
        <item x="571"/>
        <item x="27"/>
        <item x="159"/>
        <item x="669"/>
        <item x="423"/>
        <item x="548"/>
        <item x="302"/>
        <item x="508"/>
        <item x="752"/>
        <item x="431"/>
        <item x="355"/>
        <item x="42"/>
        <item x="585"/>
        <item x="417"/>
        <item x="511"/>
        <item x="3"/>
        <item x="288"/>
        <item x="488"/>
        <item x="675"/>
        <item x="370"/>
        <item x="723"/>
        <item x="460"/>
        <item x="415"/>
        <item x="621"/>
        <item x="36"/>
        <item x="443"/>
        <item x="467"/>
        <item x="522"/>
        <item x="756"/>
        <item x="258"/>
        <item x="403"/>
        <item x="448"/>
        <item x="292"/>
        <item x="411"/>
        <item x="495"/>
        <item x="446"/>
        <item x="313"/>
        <item x="141"/>
        <item x="253"/>
        <item x="8"/>
        <item x="110"/>
        <item x="408"/>
        <item x="510"/>
        <item x="414"/>
        <item x="337"/>
        <item x="260"/>
        <item x="631"/>
        <item x="405"/>
        <item x="762"/>
        <item x="544"/>
        <item x="331"/>
        <item x="275"/>
        <item x="402"/>
        <item x="264"/>
        <item x="483"/>
        <item x="10"/>
        <item x="210"/>
        <item t="default"/>
      </items>
    </pivotField>
    <pivotField showAll="0"/>
    <pivotField showAll="0" defaultSubtotal="0">
      <items count="1">
        <item x="0"/>
      </items>
    </pivotField>
  </pivotFields>
  <rowFields count="1">
    <field x="0"/>
  </rowFields>
  <rowItems count="10">
    <i>
      <x/>
    </i>
    <i>
      <x v="1"/>
    </i>
    <i>
      <x v="2"/>
    </i>
    <i>
      <x v="3"/>
    </i>
    <i>
      <x v="4"/>
    </i>
    <i>
      <x v="5"/>
    </i>
    <i>
      <x v="6"/>
    </i>
    <i>
      <x v="7"/>
    </i>
    <i>
      <x v="8"/>
    </i>
    <i t="grand">
      <x/>
    </i>
  </rowItems>
  <colItems count="1">
    <i/>
  </colItems>
  <dataFields count="1">
    <dataField name="Average of DISCOUNT PERCENTAGE" fld="7" subtotal="average" baseField="0" baseItem="0" numFmtId="166"/>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2" format="5">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IN_CATEGORY" sourceName="MAIN CATEGORY">
  <pivotTables>
    <pivotTable tabId="3" name="PivotTable4"/>
    <pivotTable tabId="3" name="PivotTable6"/>
    <pivotTable tabId="3" name="PivotTable7"/>
    <pivotTable tabId="3" name="PivotTable8"/>
    <pivotTable tabId="3" name="PivotTable9"/>
  </pivotTables>
  <data>
    <tabular pivotCacheId="1">
      <items count="9">
        <i x="7" s="1"/>
        <i x="0" s="1"/>
        <i x="1" s="1"/>
        <i x="8" s="1"/>
        <i x="4" s="1"/>
        <i x="5" s="1"/>
        <i x="2" s="1"/>
        <i x="3"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SCOUNT_RANGE_BUCKET" sourceName="DISCOUNT RANGE BUCKET">
  <pivotTables>
    <pivotTable tabId="3" name="PivotTable4"/>
    <pivotTable tabId="3" name="PivotTable6"/>
    <pivotTable tabId="3" name="PivotTable7"/>
    <pivotTable tabId="3" name="PivotTable8"/>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ATING" sourceName="RATING">
  <pivotTables>
    <pivotTable tabId="3" name="PivotTable7"/>
    <pivotTable tabId="3" name="PivotTable9"/>
  </pivotTables>
  <data>
    <tabular pivotCacheId="1">
      <items count="26">
        <i x="23" s="1"/>
        <i x="21" s="1"/>
        <i x="24" s="1"/>
        <i x="18" s="1"/>
        <i x="25" s="1"/>
        <i x="17" s="1"/>
        <i x="19" s="1"/>
        <i x="14" s="1"/>
        <i x="8" s="1"/>
        <i x="10" s="1"/>
        <i x="12" s="1"/>
        <i x="9" s="1"/>
        <i x="7" s="1"/>
        <i x="11" s="1"/>
        <i x="2" s="1"/>
        <i x="1" s="1"/>
        <i x="3" s="1"/>
        <i x="0" s="1"/>
        <i x="4" s="1"/>
        <i x="5" s="1"/>
        <i x="6" s="1"/>
        <i x="13" s="1"/>
        <i x="16" s="1"/>
        <i x="20" s="1"/>
        <i x="15" s="1"/>
        <i x="2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IN CATEGORY" cache="Slicer_MAIN_CATEGORY" caption="By Category" columnCount="3" style="SlicerStyleLight2" rowHeight="257175"/>
  <slicer name="DISCOUNT RANGE BUCKET" cache="Slicer_DISCOUNT_RANGE_BUCKET" caption="By Discount" columnCount="2" style="SlicerStyleLight2" rowHeight="457200"/>
  <slicer name="By Ratings" cache="Slicer_RATING" caption="By Rating" columnCount="3" style="SlicerStyleLight2" rowHeight="257175"/>
</slicers>
</file>

<file path=xl/tables/table1.xml><?xml version="1.0" encoding="utf-8"?>
<table xmlns="http://schemas.openxmlformats.org/spreadsheetml/2006/main" id="1" name="Table1" displayName="Table1" ref="D1:P1376" totalsRowShown="0" headerRowDxfId="8">
  <autoFilter ref="D1:P1376"/>
  <tableColumns count="13">
    <tableColumn id="1" name="MAIN CATEGORY"/>
    <tableColumn id="2" name="SECOND CATEGORY"/>
    <tableColumn id="3" name="THIRD CATEGORY"/>
    <tableColumn id="4" name="FOURTH CATEGORY"/>
    <tableColumn id="5" name="DISCOUNTED-PRICE" dataDxfId="7"/>
    <tableColumn id="6" name="ACTUAL PRICE" dataDxfId="6"/>
    <tableColumn id="7" name="PRICE RANGE BUCKET " dataDxfId="5">
      <calculatedColumnFormula>IF(I2&lt;200, "&lt;₹200", IF(I2&lt;=500, "₹200–₹500", "&gt;₹500"))</calculatedColumnFormula>
    </tableColumn>
    <tableColumn id="8" name="DISCOUNT PERCENTAGE" dataDxfId="4"/>
    <tableColumn id="9" name="DISCOUNT RANGE BUCKET" dataDxfId="3">
      <calculatedColumnFormula>IF(K2&gt;=50%,"50% or More","&lt;50%")</calculatedColumnFormula>
    </tableColumn>
    <tableColumn id="10" name="RATING"/>
    <tableColumn id="11" name="RATING COUNT" dataDxfId="2" dataCellStyle="Comma"/>
    <tableColumn id="12" name="POTENTIAL REVENUE" dataDxfId="1">
      <calculatedColumnFormula>I2*N2</calculatedColumnFormula>
    </tableColumn>
    <tableColumn id="14" name="DISCOUNT 50%" dataDxfId="0">
      <calculatedColumnFormula>MAX(Table1[RATING COUNT])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3"/>
  <sheetViews>
    <sheetView workbookViewId="0">
      <selection activeCell="G16" sqref="G16"/>
    </sheetView>
  </sheetViews>
  <sheetFormatPr defaultRowHeight="15"/>
  <cols>
    <col min="1" max="1" width="20.6640625" bestFit="1" customWidth="1"/>
    <col min="2" max="2" width="30" bestFit="1" customWidth="1"/>
  </cols>
  <sheetData>
    <row r="3" spans="1:2">
      <c r="A3" s="8" t="s">
        <v>1595</v>
      </c>
      <c r="B3" t="s">
        <v>1601</v>
      </c>
    </row>
    <row r="4" spans="1:2">
      <c r="A4" s="9" t="s">
        <v>1552</v>
      </c>
      <c r="B4" s="10">
        <v>0.42</v>
      </c>
    </row>
    <row r="5" spans="1:2">
      <c r="A5" s="9" t="s">
        <v>1345</v>
      </c>
      <c r="B5" s="10">
        <v>0.94</v>
      </c>
    </row>
    <row r="6" spans="1:2">
      <c r="A6" s="9" t="s">
        <v>1352</v>
      </c>
      <c r="B6" s="10">
        <v>0.91</v>
      </c>
    </row>
    <row r="7" spans="1:2">
      <c r="A7" s="9" t="s">
        <v>1567</v>
      </c>
      <c r="B7" s="10">
        <v>0.53</v>
      </c>
    </row>
    <row r="8" spans="1:2">
      <c r="A8" s="9" t="s">
        <v>1416</v>
      </c>
      <c r="B8" s="10">
        <v>0.9</v>
      </c>
    </row>
    <row r="9" spans="1:2">
      <c r="A9" s="9" t="s">
        <v>1469</v>
      </c>
      <c r="B9" s="10">
        <v>0.57999999999999996</v>
      </c>
    </row>
    <row r="10" spans="1:2">
      <c r="A10" s="9" t="s">
        <v>1407</v>
      </c>
      <c r="B10" s="10">
        <v>0.6</v>
      </c>
    </row>
    <row r="11" spans="1:2">
      <c r="A11" s="9" t="s">
        <v>1412</v>
      </c>
      <c r="B11" s="10">
        <v>0.75</v>
      </c>
    </row>
    <row r="12" spans="1:2">
      <c r="A12" s="9" t="s">
        <v>1489</v>
      </c>
      <c r="B12" s="10">
        <v>0</v>
      </c>
    </row>
    <row r="13" spans="1:2">
      <c r="A13" s="9" t="s">
        <v>1596</v>
      </c>
      <c r="B13" s="10">
        <v>0.94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26"/>
  <sheetViews>
    <sheetView topLeftCell="D1" workbookViewId="0">
      <selection activeCell="F17" sqref="F17"/>
    </sheetView>
  </sheetViews>
  <sheetFormatPr defaultRowHeight="15"/>
  <cols>
    <col min="1" max="1" width="20.6640625" customWidth="1"/>
    <col min="2" max="2" width="24.21875" customWidth="1"/>
    <col min="3" max="3" width="29.109375" customWidth="1"/>
    <col min="4" max="4" width="20.6640625" customWidth="1"/>
    <col min="5" max="5" width="21.44140625" customWidth="1"/>
    <col min="6" max="6" width="28.6640625" customWidth="1"/>
    <col min="8" max="8" width="20.6640625" customWidth="1"/>
    <col min="9" max="9" width="30" customWidth="1"/>
  </cols>
  <sheetData>
    <row r="2" spans="1:9">
      <c r="A2" t="s">
        <v>1606</v>
      </c>
      <c r="D2" t="s">
        <v>1605</v>
      </c>
    </row>
    <row r="3" spans="1:9">
      <c r="A3" s="8" t="s">
        <v>1595</v>
      </c>
      <c r="B3" t="s">
        <v>1597</v>
      </c>
      <c r="D3" s="8" t="s">
        <v>1595</v>
      </c>
      <c r="E3" t="s">
        <v>1604</v>
      </c>
    </row>
    <row r="4" spans="1:9">
      <c r="A4" s="9" t="s">
        <v>1552</v>
      </c>
      <c r="B4" s="11">
        <v>0.42</v>
      </c>
      <c r="D4" s="9" t="s">
        <v>1552</v>
      </c>
      <c r="E4" s="13">
        <v>1118</v>
      </c>
      <c r="H4" s="9"/>
      <c r="I4" s="10"/>
    </row>
    <row r="5" spans="1:9">
      <c r="A5" s="9" t="s">
        <v>1345</v>
      </c>
      <c r="B5" s="11">
        <v>0.53755784061696665</v>
      </c>
      <c r="D5" s="9" t="s">
        <v>1345</v>
      </c>
      <c r="E5" s="13">
        <v>6806911</v>
      </c>
      <c r="H5" s="9"/>
      <c r="I5" s="10"/>
    </row>
    <row r="6" spans="1:9">
      <c r="A6" s="9" t="s">
        <v>1352</v>
      </c>
      <c r="B6" s="11">
        <v>0.50319999999999976</v>
      </c>
      <c r="D6" s="9" t="s">
        <v>1352</v>
      </c>
      <c r="E6" s="13">
        <v>15392395</v>
      </c>
      <c r="H6" s="9"/>
      <c r="I6" s="10"/>
    </row>
    <row r="7" spans="1:9">
      <c r="A7" s="9" t="s">
        <v>1567</v>
      </c>
      <c r="B7" s="11">
        <v>0.53</v>
      </c>
      <c r="D7" s="9" t="s">
        <v>1567</v>
      </c>
      <c r="E7" s="13">
        <v>3663</v>
      </c>
      <c r="H7" s="9"/>
      <c r="I7" s="10"/>
    </row>
    <row r="8" spans="1:9">
      <c r="A8" s="9" t="s">
        <v>1416</v>
      </c>
      <c r="B8" s="11">
        <v>0.40120535714285727</v>
      </c>
      <c r="D8" s="9" t="s">
        <v>1416</v>
      </c>
      <c r="E8" s="13">
        <v>2991069</v>
      </c>
      <c r="H8" s="9"/>
      <c r="I8" s="10"/>
    </row>
    <row r="9" spans="1:9">
      <c r="A9" s="9" t="s">
        <v>1469</v>
      </c>
      <c r="B9" s="11">
        <v>0.57499999999999996</v>
      </c>
      <c r="D9" s="9" t="s">
        <v>1469</v>
      </c>
      <c r="E9" s="13">
        <v>8566</v>
      </c>
      <c r="H9" s="9"/>
      <c r="I9" s="10"/>
    </row>
    <row r="10" spans="1:9">
      <c r="A10" s="9" t="s">
        <v>1407</v>
      </c>
      <c r="B10" s="11">
        <v>0.45999999999999996</v>
      </c>
      <c r="D10" s="9" t="s">
        <v>1407</v>
      </c>
      <c r="E10" s="13">
        <v>88882</v>
      </c>
      <c r="H10" s="9"/>
      <c r="I10" s="10"/>
    </row>
    <row r="11" spans="1:9">
      <c r="A11" s="9" t="s">
        <v>1412</v>
      </c>
      <c r="B11" s="11">
        <v>0.12354838709677421</v>
      </c>
      <c r="D11" s="9" t="s">
        <v>1412</v>
      </c>
      <c r="E11" s="13">
        <v>149675</v>
      </c>
      <c r="H11" s="9"/>
      <c r="I11" s="10"/>
    </row>
    <row r="12" spans="1:9">
      <c r="A12" s="9" t="s">
        <v>1489</v>
      </c>
      <c r="B12" s="11">
        <v>0</v>
      </c>
      <c r="D12" s="9" t="s">
        <v>1489</v>
      </c>
      <c r="E12" s="13">
        <v>15867</v>
      </c>
      <c r="H12" s="9"/>
      <c r="I12" s="10"/>
    </row>
    <row r="13" spans="1:9">
      <c r="A13" s="9" t="s">
        <v>1596</v>
      </c>
      <c r="B13" s="11">
        <v>0.47076363636363577</v>
      </c>
      <c r="D13" s="9" t="s">
        <v>1596</v>
      </c>
      <c r="E13" s="13">
        <v>25458146</v>
      </c>
      <c r="H13" s="9"/>
      <c r="I13" s="10"/>
    </row>
    <row r="15" spans="1:9">
      <c r="A15" s="12" t="s">
        <v>1607</v>
      </c>
      <c r="B15" s="11"/>
      <c r="E15" t="s">
        <v>1603</v>
      </c>
      <c r="H15" t="s">
        <v>1602</v>
      </c>
    </row>
    <row r="16" spans="1:9">
      <c r="A16" s="8" t="s">
        <v>1595</v>
      </c>
      <c r="B16" t="s">
        <v>1599</v>
      </c>
      <c r="C16" t="s">
        <v>1598</v>
      </c>
      <c r="E16" s="8" t="s">
        <v>1595</v>
      </c>
      <c r="F16" t="s">
        <v>1600</v>
      </c>
      <c r="H16" s="8" t="s">
        <v>1595</v>
      </c>
      <c r="I16" t="s">
        <v>1601</v>
      </c>
    </row>
    <row r="17" spans="1:9">
      <c r="A17" s="9" t="s">
        <v>1552</v>
      </c>
      <c r="B17" s="14">
        <v>4000</v>
      </c>
      <c r="C17" s="13">
        <v>2339</v>
      </c>
      <c r="E17" s="9" t="s">
        <v>1552</v>
      </c>
      <c r="F17" s="10">
        <v>1</v>
      </c>
      <c r="H17" s="9" t="s">
        <v>1552</v>
      </c>
      <c r="I17" s="10">
        <v>0.42</v>
      </c>
    </row>
    <row r="18" spans="1:9">
      <c r="A18" s="9" t="s">
        <v>1345</v>
      </c>
      <c r="B18" s="14">
        <v>1816.8541902313625</v>
      </c>
      <c r="C18" s="13">
        <v>921.26732647814913</v>
      </c>
      <c r="E18" s="9" t="s">
        <v>1345</v>
      </c>
      <c r="F18" s="10">
        <v>389</v>
      </c>
      <c r="H18" s="9" t="s">
        <v>1345</v>
      </c>
      <c r="I18" s="10">
        <v>0.94</v>
      </c>
    </row>
    <row r="19" spans="1:9">
      <c r="A19" s="9" t="s">
        <v>1352</v>
      </c>
      <c r="B19" s="14">
        <v>9889.194388777556</v>
      </c>
      <c r="C19" s="13">
        <v>6058.13</v>
      </c>
      <c r="E19" s="9" t="s">
        <v>1352</v>
      </c>
      <c r="F19" s="10">
        <v>500</v>
      </c>
      <c r="H19" s="9" t="s">
        <v>1352</v>
      </c>
      <c r="I19" s="10">
        <v>0.91</v>
      </c>
    </row>
    <row r="20" spans="1:9">
      <c r="A20" s="9" t="s">
        <v>1567</v>
      </c>
      <c r="B20" s="14">
        <v>1900</v>
      </c>
      <c r="C20" s="13">
        <v>899</v>
      </c>
      <c r="E20" s="9" t="s">
        <v>1567</v>
      </c>
      <c r="F20" s="10">
        <v>1</v>
      </c>
      <c r="H20" s="9" t="s">
        <v>1567</v>
      </c>
      <c r="I20" s="10">
        <v>0.53</v>
      </c>
    </row>
    <row r="21" spans="1:9">
      <c r="A21" s="9" t="s">
        <v>1416</v>
      </c>
      <c r="B21" s="14">
        <v>4162.0736607142853</v>
      </c>
      <c r="C21" s="13">
        <v>2330.6156473214287</v>
      </c>
      <c r="E21" s="9" t="s">
        <v>1416</v>
      </c>
      <c r="F21" s="10">
        <v>448</v>
      </c>
      <c r="H21" s="9" t="s">
        <v>1416</v>
      </c>
      <c r="I21" s="10">
        <v>0.9</v>
      </c>
    </row>
    <row r="22" spans="1:9">
      <c r="A22" s="9" t="s">
        <v>1469</v>
      </c>
      <c r="B22" s="14">
        <v>799</v>
      </c>
      <c r="C22" s="13">
        <v>337</v>
      </c>
      <c r="E22" s="9" t="s">
        <v>1469</v>
      </c>
      <c r="F22" s="10">
        <v>2</v>
      </c>
      <c r="H22" s="9" t="s">
        <v>1469</v>
      </c>
      <c r="I22" s="10">
        <v>0.57999999999999996</v>
      </c>
    </row>
    <row r="23" spans="1:9">
      <c r="A23" s="9" t="s">
        <v>1407</v>
      </c>
      <c r="B23" s="14">
        <v>1347</v>
      </c>
      <c r="C23" s="13">
        <v>638</v>
      </c>
      <c r="E23" s="9" t="s">
        <v>1407</v>
      </c>
      <c r="F23" s="10">
        <v>2</v>
      </c>
      <c r="H23" s="9" t="s">
        <v>1407</v>
      </c>
      <c r="I23" s="10">
        <v>0.6</v>
      </c>
    </row>
    <row r="24" spans="1:9">
      <c r="A24" s="9" t="s">
        <v>1412</v>
      </c>
      <c r="B24" s="14">
        <v>397.19354838709677</v>
      </c>
      <c r="C24" s="13">
        <v>301.58064516129031</v>
      </c>
      <c r="E24" s="9" t="s">
        <v>1412</v>
      </c>
      <c r="F24" s="10">
        <v>31</v>
      </c>
      <c r="H24" s="9" t="s">
        <v>1412</v>
      </c>
      <c r="I24" s="10">
        <v>0.75</v>
      </c>
    </row>
    <row r="25" spans="1:9">
      <c r="A25" s="9" t="s">
        <v>1489</v>
      </c>
      <c r="B25" s="14">
        <v>150</v>
      </c>
      <c r="C25" s="13">
        <v>150</v>
      </c>
      <c r="E25" s="9" t="s">
        <v>1489</v>
      </c>
      <c r="F25" s="10">
        <v>1</v>
      </c>
      <c r="H25" s="9" t="s">
        <v>1489</v>
      </c>
      <c r="I25" s="10">
        <v>0</v>
      </c>
    </row>
    <row r="26" spans="1:9">
      <c r="A26" s="9" t="s">
        <v>1596</v>
      </c>
      <c r="B26" s="14">
        <v>5479.4237845705966</v>
      </c>
      <c r="C26" s="13">
        <v>3233.6296727272725</v>
      </c>
      <c r="E26" s="9" t="s">
        <v>1596</v>
      </c>
      <c r="F26" s="10">
        <v>1375</v>
      </c>
      <c r="H26" s="9" t="s">
        <v>1596</v>
      </c>
      <c r="I26" s="10">
        <v>0.94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A3" workbookViewId="0">
      <selection activeCell="C39" sqref="C39"/>
    </sheetView>
  </sheetViews>
  <sheetFormatPr defaultRowHeight="15"/>
  <cols>
    <col min="12" max="12"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W1466"/>
  <sheetViews>
    <sheetView topLeftCell="O1" zoomScaleNormal="100" workbookViewId="0">
      <selection activeCell="P5" sqref="P5"/>
    </sheetView>
  </sheetViews>
  <sheetFormatPr defaultColWidth="11.5546875" defaultRowHeight="15"/>
  <cols>
    <col min="2" max="2" width="17.77734375" customWidth="1"/>
    <col min="3" max="3" width="0.33203125" customWidth="1"/>
    <col min="4" max="4" width="38.21875" customWidth="1"/>
    <col min="5" max="5" width="35.21875" bestFit="1" customWidth="1"/>
    <col min="6" max="6" width="25.5546875" bestFit="1" customWidth="1"/>
    <col min="7" max="7" width="35.5546875" bestFit="1" customWidth="1"/>
    <col min="8" max="8" width="21.44140625" style="7" customWidth="1"/>
    <col min="9" max="9" width="16.6640625" style="7" customWidth="1"/>
    <col min="10" max="10" width="24.33203125" style="7" customWidth="1"/>
    <col min="11" max="11" width="24.88671875" customWidth="1"/>
    <col min="12" max="12" width="26.88671875" customWidth="1"/>
    <col min="14" max="14" width="17" style="2" customWidth="1"/>
    <col min="15" max="15" width="29.6640625" bestFit="1" customWidth="1"/>
    <col min="16" max="16" width="17.6640625" bestFit="1" customWidth="1"/>
    <col min="17" max="17" width="22.33203125" bestFit="1" customWidth="1"/>
    <col min="84" max="84" width="10.77734375" customWidth="1"/>
    <col min="85" max="85" width="11.5546875" hidden="1" customWidth="1"/>
    <col min="86" max="86" width="2" hidden="1" customWidth="1"/>
    <col min="87" max="91" width="11.5546875" hidden="1" customWidth="1"/>
    <col min="92" max="92" width="0.109375" hidden="1" customWidth="1"/>
    <col min="93" max="93" width="11.5546875" customWidth="1"/>
    <col min="94" max="94" width="0.109375" customWidth="1"/>
    <col min="95" max="101" width="11.5546875" hidden="1" customWidth="1"/>
  </cols>
  <sheetData>
    <row r="1" spans="1:16" ht="15.75">
      <c r="A1" t="s">
        <v>1609</v>
      </c>
      <c r="B1" s="3" t="s">
        <v>1339</v>
      </c>
      <c r="C1" s="3"/>
      <c r="D1" s="3" t="s">
        <v>1588</v>
      </c>
      <c r="E1" s="3" t="s">
        <v>1589</v>
      </c>
      <c r="F1" s="3" t="s">
        <v>1590</v>
      </c>
      <c r="G1" s="3" t="s">
        <v>1591</v>
      </c>
      <c r="H1" s="6" t="s">
        <v>1340</v>
      </c>
      <c r="I1" s="6" t="s">
        <v>1341</v>
      </c>
      <c r="J1" s="6" t="s">
        <v>1593</v>
      </c>
      <c r="K1" s="3" t="s">
        <v>1344</v>
      </c>
      <c r="L1" s="3" t="s">
        <v>1594</v>
      </c>
      <c r="M1" s="3" t="s">
        <v>1342</v>
      </c>
      <c r="N1" s="4" t="s">
        <v>1343</v>
      </c>
      <c r="O1" s="3" t="s">
        <v>1592</v>
      </c>
      <c r="P1" s="3" t="s">
        <v>1608</v>
      </c>
    </row>
    <row r="2" spans="1:16">
      <c r="A2" t="s">
        <v>1610</v>
      </c>
      <c r="B2" t="s">
        <v>0</v>
      </c>
      <c r="D2" t="s">
        <v>1345</v>
      </c>
      <c r="E2" t="s">
        <v>1346</v>
      </c>
      <c r="F2" t="s">
        <v>1347</v>
      </c>
      <c r="G2" t="s">
        <v>1348</v>
      </c>
      <c r="H2" s="7">
        <v>399</v>
      </c>
      <c r="I2" s="7">
        <v>1099</v>
      </c>
      <c r="K2" s="1">
        <v>0.64</v>
      </c>
      <c r="L2" s="1" t="str">
        <f t="shared" ref="L2:L65" si="0">IF(K2&gt;=50%,"50% or More","&lt;50%")</f>
        <v>50% or More</v>
      </c>
      <c r="M2">
        <v>4.2</v>
      </c>
      <c r="N2" s="2">
        <v>24269</v>
      </c>
      <c r="O2" s="5">
        <f t="shared" ref="O2:O65" si="1">I2*N2</f>
        <v>26671631</v>
      </c>
      <c r="P2">
        <f>MAX(Table1[RATING COUNT])</f>
        <v>426973</v>
      </c>
    </row>
    <row r="3" spans="1:16">
      <c r="A3" t="s">
        <v>1611</v>
      </c>
      <c r="B3" t="s">
        <v>1</v>
      </c>
      <c r="D3" t="s">
        <v>1345</v>
      </c>
      <c r="E3" t="s">
        <v>1346</v>
      </c>
      <c r="F3" t="s">
        <v>1347</v>
      </c>
      <c r="G3" t="s">
        <v>1348</v>
      </c>
      <c r="H3" s="7">
        <v>199</v>
      </c>
      <c r="I3" s="7">
        <v>349</v>
      </c>
      <c r="J3" s="7" t="str">
        <f t="shared" ref="J3:J66" si="2">IF(I3&lt;200, "&lt;₹200", IF(I3&lt;=500, "₹200–₹500", "&gt;₹500"))</f>
        <v>₹200–₹500</v>
      </c>
      <c r="K3" s="1">
        <v>0.43</v>
      </c>
      <c r="L3" s="1" t="str">
        <f t="shared" si="0"/>
        <v>&lt;50%</v>
      </c>
      <c r="M3">
        <v>4</v>
      </c>
      <c r="N3" s="2">
        <v>43994</v>
      </c>
      <c r="O3" s="5">
        <f t="shared" si="1"/>
        <v>15353906</v>
      </c>
      <c r="P3">
        <f>MAX(Table1[RATING COUNT])</f>
        <v>426973</v>
      </c>
    </row>
    <row r="4" spans="1:16">
      <c r="A4" t="s">
        <v>1612</v>
      </c>
      <c r="B4" t="s">
        <v>2</v>
      </c>
      <c r="D4" t="s">
        <v>1345</v>
      </c>
      <c r="E4" t="s">
        <v>1346</v>
      </c>
      <c r="F4" t="s">
        <v>1347</v>
      </c>
      <c r="G4" t="s">
        <v>1348</v>
      </c>
      <c r="H4" s="7">
        <v>199</v>
      </c>
      <c r="I4" s="7">
        <v>1899</v>
      </c>
      <c r="J4" s="7" t="str">
        <f t="shared" si="2"/>
        <v>&gt;₹500</v>
      </c>
      <c r="K4" s="1">
        <v>0.9</v>
      </c>
      <c r="L4" s="1" t="str">
        <f t="shared" si="0"/>
        <v>50% or More</v>
      </c>
      <c r="M4">
        <v>3.9</v>
      </c>
      <c r="N4" s="2">
        <v>7928</v>
      </c>
      <c r="O4" s="5">
        <f t="shared" si="1"/>
        <v>15055272</v>
      </c>
      <c r="P4">
        <f>MAX(Table1[RATING COUNT])</f>
        <v>426973</v>
      </c>
    </row>
    <row r="5" spans="1:16">
      <c r="A5" t="s">
        <v>1613</v>
      </c>
      <c r="B5" t="s">
        <v>3</v>
      </c>
      <c r="D5" t="s">
        <v>1345</v>
      </c>
      <c r="E5" t="s">
        <v>1346</v>
      </c>
      <c r="F5" t="s">
        <v>1347</v>
      </c>
      <c r="G5" t="s">
        <v>1348</v>
      </c>
      <c r="H5" s="7">
        <v>329</v>
      </c>
      <c r="I5" s="7">
        <v>699</v>
      </c>
      <c r="J5" s="7" t="str">
        <f t="shared" si="2"/>
        <v>&gt;₹500</v>
      </c>
      <c r="K5" s="1">
        <v>0.53</v>
      </c>
      <c r="L5" s="1" t="str">
        <f t="shared" si="0"/>
        <v>50% or More</v>
      </c>
      <c r="M5">
        <v>4.2</v>
      </c>
      <c r="N5" s="2">
        <v>94363</v>
      </c>
      <c r="O5" s="5">
        <f t="shared" si="1"/>
        <v>65959737</v>
      </c>
      <c r="P5">
        <f>MAX(Table1[RATING COUNT])</f>
        <v>426973</v>
      </c>
    </row>
    <row r="6" spans="1:16">
      <c r="A6" t="s">
        <v>1614</v>
      </c>
      <c r="B6" t="s">
        <v>4</v>
      </c>
      <c r="D6" t="s">
        <v>1345</v>
      </c>
      <c r="E6" t="s">
        <v>1346</v>
      </c>
      <c r="F6" t="s">
        <v>1347</v>
      </c>
      <c r="G6" t="s">
        <v>1348</v>
      </c>
      <c r="H6" s="7">
        <v>154</v>
      </c>
      <c r="I6" s="7">
        <v>399</v>
      </c>
      <c r="J6" s="7" t="str">
        <f t="shared" si="2"/>
        <v>₹200–₹500</v>
      </c>
      <c r="K6" s="1">
        <v>0.61</v>
      </c>
      <c r="L6" s="1" t="str">
        <f t="shared" si="0"/>
        <v>50% or More</v>
      </c>
      <c r="M6">
        <v>4.2</v>
      </c>
      <c r="N6" s="2">
        <v>16905</v>
      </c>
      <c r="O6" s="5">
        <f t="shared" si="1"/>
        <v>6745095</v>
      </c>
      <c r="P6">
        <f>MAX(Table1[RATING COUNT])</f>
        <v>426973</v>
      </c>
    </row>
    <row r="7" spans="1:16">
      <c r="A7" t="s">
        <v>1615</v>
      </c>
      <c r="B7" t="s">
        <v>5</v>
      </c>
      <c r="D7" t="s">
        <v>1345</v>
      </c>
      <c r="E7" t="s">
        <v>1346</v>
      </c>
      <c r="F7" t="s">
        <v>1347</v>
      </c>
      <c r="G7" t="s">
        <v>1348</v>
      </c>
      <c r="H7" s="7">
        <v>149</v>
      </c>
      <c r="I7" s="7">
        <v>1000</v>
      </c>
      <c r="J7" s="7" t="str">
        <f t="shared" si="2"/>
        <v>&gt;₹500</v>
      </c>
      <c r="K7" s="1">
        <v>0.85</v>
      </c>
      <c r="L7" s="1" t="str">
        <f t="shared" si="0"/>
        <v>50% or More</v>
      </c>
      <c r="M7">
        <v>3.9</v>
      </c>
      <c r="N7" s="2">
        <v>24871</v>
      </c>
      <c r="O7" s="5">
        <f t="shared" si="1"/>
        <v>24871000</v>
      </c>
      <c r="P7">
        <f>MAX(Table1[RATING COUNT])</f>
        <v>426973</v>
      </c>
    </row>
    <row r="8" spans="1:16">
      <c r="A8" t="s">
        <v>1616</v>
      </c>
      <c r="B8" t="s">
        <v>6</v>
      </c>
      <c r="D8" t="s">
        <v>1345</v>
      </c>
      <c r="E8" t="s">
        <v>1346</v>
      </c>
      <c r="F8" t="s">
        <v>1347</v>
      </c>
      <c r="G8" t="s">
        <v>1348</v>
      </c>
      <c r="H8" s="7">
        <v>176.63</v>
      </c>
      <c r="I8" s="7">
        <v>499</v>
      </c>
      <c r="J8" s="7" t="str">
        <f t="shared" si="2"/>
        <v>₹200–₹500</v>
      </c>
      <c r="K8" s="1">
        <v>0.65</v>
      </c>
      <c r="L8" s="1" t="str">
        <f t="shared" si="0"/>
        <v>50% or More</v>
      </c>
      <c r="M8">
        <v>4.0999999999999996</v>
      </c>
      <c r="N8" s="2">
        <v>15188</v>
      </c>
      <c r="O8" s="5">
        <f t="shared" si="1"/>
        <v>7578812</v>
      </c>
      <c r="P8">
        <f>MAX(Table1[RATING COUNT])</f>
        <v>426973</v>
      </c>
    </row>
    <row r="9" spans="1:16">
      <c r="A9" t="s">
        <v>1617</v>
      </c>
      <c r="B9" t="s">
        <v>7</v>
      </c>
      <c r="D9" t="s">
        <v>1345</v>
      </c>
      <c r="E9" t="s">
        <v>1346</v>
      </c>
      <c r="F9" t="s">
        <v>1347</v>
      </c>
      <c r="G9" t="s">
        <v>1348</v>
      </c>
      <c r="H9" s="7">
        <v>229</v>
      </c>
      <c r="I9" s="7">
        <v>299</v>
      </c>
      <c r="J9" s="7" t="str">
        <f t="shared" si="2"/>
        <v>₹200–₹500</v>
      </c>
      <c r="K9" s="1">
        <v>0.23</v>
      </c>
      <c r="L9" s="1" t="str">
        <f t="shared" si="0"/>
        <v>&lt;50%</v>
      </c>
      <c r="M9">
        <v>4.3</v>
      </c>
      <c r="N9" s="2">
        <v>30411</v>
      </c>
      <c r="O9" s="5">
        <f t="shared" si="1"/>
        <v>9092889</v>
      </c>
      <c r="P9">
        <f>MAX(Table1[RATING COUNT])</f>
        <v>426973</v>
      </c>
    </row>
    <row r="10" spans="1:16">
      <c r="A10" t="s">
        <v>1618</v>
      </c>
      <c r="B10" t="s">
        <v>8</v>
      </c>
      <c r="D10" t="s">
        <v>1345</v>
      </c>
      <c r="E10" t="s">
        <v>1349</v>
      </c>
      <c r="F10" t="s">
        <v>1350</v>
      </c>
      <c r="G10" t="s">
        <v>1351</v>
      </c>
      <c r="H10" s="7">
        <v>499</v>
      </c>
      <c r="I10" s="7">
        <v>999</v>
      </c>
      <c r="J10" s="7" t="str">
        <f t="shared" si="2"/>
        <v>&gt;₹500</v>
      </c>
      <c r="K10" s="1">
        <v>0.5</v>
      </c>
      <c r="L10" s="1" t="str">
        <f t="shared" si="0"/>
        <v>50% or More</v>
      </c>
      <c r="M10">
        <v>4.2</v>
      </c>
      <c r="N10" s="2">
        <v>179691</v>
      </c>
      <c r="O10" s="5">
        <f t="shared" si="1"/>
        <v>179511309</v>
      </c>
      <c r="P10">
        <f>MAX(Table1[RATING COUNT])</f>
        <v>426973</v>
      </c>
    </row>
    <row r="11" spans="1:16">
      <c r="A11" t="s">
        <v>1619</v>
      </c>
      <c r="B11" t="s">
        <v>9</v>
      </c>
      <c r="D11" t="s">
        <v>1345</v>
      </c>
      <c r="E11" t="s">
        <v>1346</v>
      </c>
      <c r="F11" t="s">
        <v>1347</v>
      </c>
      <c r="G11" t="s">
        <v>1348</v>
      </c>
      <c r="H11" s="7">
        <v>199</v>
      </c>
      <c r="I11" s="7">
        <v>299</v>
      </c>
      <c r="J11" s="7" t="str">
        <f t="shared" si="2"/>
        <v>₹200–₹500</v>
      </c>
      <c r="K11" s="1">
        <v>0.33</v>
      </c>
      <c r="L11" s="1" t="str">
        <f t="shared" si="0"/>
        <v>&lt;50%</v>
      </c>
      <c r="M11">
        <v>4</v>
      </c>
      <c r="N11" s="2">
        <v>43994</v>
      </c>
      <c r="O11" s="5">
        <f t="shared" si="1"/>
        <v>13154206</v>
      </c>
      <c r="P11">
        <f>MAX(Table1[RATING COUNT])</f>
        <v>426973</v>
      </c>
    </row>
    <row r="12" spans="1:16">
      <c r="A12" t="s">
        <v>1620</v>
      </c>
      <c r="B12" t="s">
        <v>10</v>
      </c>
      <c r="D12" t="s">
        <v>1345</v>
      </c>
      <c r="E12" t="s">
        <v>1346</v>
      </c>
      <c r="F12" t="s">
        <v>1347</v>
      </c>
      <c r="G12" t="s">
        <v>1348</v>
      </c>
      <c r="H12" s="7">
        <v>154</v>
      </c>
      <c r="I12" s="7">
        <v>339</v>
      </c>
      <c r="J12" s="7" t="str">
        <f t="shared" si="2"/>
        <v>₹200–₹500</v>
      </c>
      <c r="K12" s="1">
        <v>0.55000000000000004</v>
      </c>
      <c r="L12" s="1" t="str">
        <f t="shared" si="0"/>
        <v>50% or More</v>
      </c>
      <c r="M12">
        <v>4.3</v>
      </c>
      <c r="N12" s="2">
        <v>13391</v>
      </c>
      <c r="O12" s="5">
        <f t="shared" si="1"/>
        <v>4539549</v>
      </c>
      <c r="P12">
        <f>MAX(Table1[RATING COUNT])</f>
        <v>426973</v>
      </c>
    </row>
    <row r="13" spans="1:16">
      <c r="A13" t="s">
        <v>1621</v>
      </c>
      <c r="B13" t="s">
        <v>11</v>
      </c>
      <c r="D13" t="s">
        <v>1345</v>
      </c>
      <c r="E13" t="s">
        <v>1346</v>
      </c>
      <c r="F13" t="s">
        <v>1347</v>
      </c>
      <c r="G13" t="s">
        <v>1348</v>
      </c>
      <c r="H13" s="7">
        <v>299</v>
      </c>
      <c r="I13" s="7">
        <v>799</v>
      </c>
      <c r="J13" s="7" t="str">
        <f t="shared" si="2"/>
        <v>&gt;₹500</v>
      </c>
      <c r="K13" s="1">
        <v>0.63</v>
      </c>
      <c r="L13" s="1" t="str">
        <f t="shared" si="0"/>
        <v>50% or More</v>
      </c>
      <c r="M13">
        <v>4.2</v>
      </c>
      <c r="N13" s="2">
        <v>94363</v>
      </c>
      <c r="O13" s="5">
        <f t="shared" si="1"/>
        <v>75396037</v>
      </c>
      <c r="P13">
        <f>MAX(Table1[RATING COUNT])</f>
        <v>426973</v>
      </c>
    </row>
    <row r="14" spans="1:16">
      <c r="A14" t="s">
        <v>1622</v>
      </c>
      <c r="B14" t="s">
        <v>12</v>
      </c>
      <c r="D14" t="s">
        <v>1352</v>
      </c>
      <c r="E14" t="s">
        <v>1353</v>
      </c>
      <c r="F14" t="s">
        <v>1354</v>
      </c>
      <c r="G14" t="s">
        <v>1348</v>
      </c>
      <c r="H14" s="7">
        <v>219</v>
      </c>
      <c r="I14" s="7">
        <v>700</v>
      </c>
      <c r="J14" s="7" t="str">
        <f t="shared" si="2"/>
        <v>&gt;₹500</v>
      </c>
      <c r="K14" s="1">
        <v>0.69</v>
      </c>
      <c r="L14" s="1" t="str">
        <f t="shared" si="0"/>
        <v>50% or More</v>
      </c>
      <c r="M14">
        <v>4.4000000000000004</v>
      </c>
      <c r="N14" s="2">
        <v>426973</v>
      </c>
      <c r="O14" s="5">
        <f t="shared" si="1"/>
        <v>298881100</v>
      </c>
      <c r="P14">
        <f>MAX(Table1[RATING COUNT])</f>
        <v>426973</v>
      </c>
    </row>
    <row r="15" spans="1:16">
      <c r="A15" t="s">
        <v>1623</v>
      </c>
      <c r="B15" t="s">
        <v>13</v>
      </c>
      <c r="D15" t="s">
        <v>1345</v>
      </c>
      <c r="E15" t="s">
        <v>1346</v>
      </c>
      <c r="F15" t="s">
        <v>1347</v>
      </c>
      <c r="G15" t="s">
        <v>1348</v>
      </c>
      <c r="H15" s="7">
        <v>350</v>
      </c>
      <c r="I15" s="7">
        <v>899</v>
      </c>
      <c r="J15" s="7" t="str">
        <f t="shared" si="2"/>
        <v>&gt;₹500</v>
      </c>
      <c r="K15" s="1">
        <v>0.61</v>
      </c>
      <c r="L15" s="1" t="str">
        <f t="shared" si="0"/>
        <v>50% or More</v>
      </c>
      <c r="M15">
        <v>4.2</v>
      </c>
      <c r="N15" s="2">
        <v>2262</v>
      </c>
      <c r="O15" s="5">
        <f t="shared" si="1"/>
        <v>2033538</v>
      </c>
      <c r="P15">
        <f>MAX(Table1[RATING COUNT])</f>
        <v>426973</v>
      </c>
    </row>
    <row r="16" spans="1:16">
      <c r="A16" t="s">
        <v>1624</v>
      </c>
      <c r="B16" t="s">
        <v>14</v>
      </c>
      <c r="D16" t="s">
        <v>1345</v>
      </c>
      <c r="E16" t="s">
        <v>1346</v>
      </c>
      <c r="F16" t="s">
        <v>1347</v>
      </c>
      <c r="G16" t="s">
        <v>1348</v>
      </c>
      <c r="H16" s="7">
        <v>159</v>
      </c>
      <c r="I16" s="7">
        <v>399</v>
      </c>
      <c r="J16" s="7" t="str">
        <f t="shared" si="2"/>
        <v>₹200–₹500</v>
      </c>
      <c r="K16" s="1">
        <v>0.6</v>
      </c>
      <c r="L16" s="1" t="str">
        <f t="shared" si="0"/>
        <v>50% or More</v>
      </c>
      <c r="M16">
        <v>4.0999999999999996</v>
      </c>
      <c r="N16" s="2">
        <v>4768</v>
      </c>
      <c r="O16" s="5">
        <f t="shared" si="1"/>
        <v>1902432</v>
      </c>
      <c r="P16">
        <f>MAX(Table1[RATING COUNT])</f>
        <v>426973</v>
      </c>
    </row>
    <row r="17" spans="1:16">
      <c r="A17" t="s">
        <v>1625</v>
      </c>
      <c r="B17" t="s">
        <v>15</v>
      </c>
      <c r="D17" t="s">
        <v>1345</v>
      </c>
      <c r="E17" t="s">
        <v>1346</v>
      </c>
      <c r="F17" t="s">
        <v>1347</v>
      </c>
      <c r="G17" t="s">
        <v>1348</v>
      </c>
      <c r="H17" s="7">
        <v>349</v>
      </c>
      <c r="I17" s="7">
        <v>399</v>
      </c>
      <c r="J17" s="7" t="str">
        <f t="shared" si="2"/>
        <v>₹200–₹500</v>
      </c>
      <c r="K17" s="1">
        <v>0.13</v>
      </c>
      <c r="L17" s="1" t="str">
        <f t="shared" si="0"/>
        <v>&lt;50%</v>
      </c>
      <c r="M17">
        <v>4.4000000000000004</v>
      </c>
      <c r="N17" s="2">
        <v>18757</v>
      </c>
      <c r="O17" s="5">
        <f t="shared" si="1"/>
        <v>7484043</v>
      </c>
      <c r="P17">
        <f>MAX(Table1[RATING COUNT])</f>
        <v>426973</v>
      </c>
    </row>
    <row r="18" spans="1:16">
      <c r="A18" t="s">
        <v>1626</v>
      </c>
      <c r="B18" t="s">
        <v>16</v>
      </c>
      <c r="D18" t="s">
        <v>1352</v>
      </c>
      <c r="E18" t="s">
        <v>1353</v>
      </c>
      <c r="F18" t="s">
        <v>1355</v>
      </c>
      <c r="G18" t="s">
        <v>1356</v>
      </c>
      <c r="H18" s="7">
        <v>13999</v>
      </c>
      <c r="I18" s="7">
        <v>24999</v>
      </c>
      <c r="J18" s="7" t="str">
        <f t="shared" si="2"/>
        <v>&gt;₹500</v>
      </c>
      <c r="K18" s="1">
        <v>0.44</v>
      </c>
      <c r="L18" s="1" t="str">
        <f t="shared" si="0"/>
        <v>&lt;50%</v>
      </c>
      <c r="M18">
        <v>4.2</v>
      </c>
      <c r="N18" s="2">
        <v>32840</v>
      </c>
      <c r="O18" s="5">
        <f t="shared" si="1"/>
        <v>820967160</v>
      </c>
      <c r="P18">
        <f>MAX(Table1[RATING COUNT])</f>
        <v>426973</v>
      </c>
    </row>
    <row r="19" spans="1:16">
      <c r="A19" t="s">
        <v>1627</v>
      </c>
      <c r="B19" t="s">
        <v>17</v>
      </c>
      <c r="D19" t="s">
        <v>1345</v>
      </c>
      <c r="E19" t="s">
        <v>1346</v>
      </c>
      <c r="F19" t="s">
        <v>1347</v>
      </c>
      <c r="G19" t="s">
        <v>1348</v>
      </c>
      <c r="H19" s="7">
        <v>249</v>
      </c>
      <c r="I19" s="7">
        <v>399</v>
      </c>
      <c r="J19" s="7" t="str">
        <f t="shared" si="2"/>
        <v>₹200–₹500</v>
      </c>
      <c r="K19" s="1">
        <v>0.38</v>
      </c>
      <c r="L19" s="1" t="str">
        <f t="shared" si="0"/>
        <v>&lt;50%</v>
      </c>
      <c r="M19">
        <v>4</v>
      </c>
      <c r="N19" s="2">
        <v>43994</v>
      </c>
      <c r="O19" s="5">
        <f t="shared" si="1"/>
        <v>17553606</v>
      </c>
      <c r="P19">
        <f>MAX(Table1[RATING COUNT])</f>
        <v>426973</v>
      </c>
    </row>
    <row r="20" spans="1:16">
      <c r="A20" t="s">
        <v>1628</v>
      </c>
      <c r="B20" t="s">
        <v>18</v>
      </c>
      <c r="D20" t="s">
        <v>1345</v>
      </c>
      <c r="E20" t="s">
        <v>1346</v>
      </c>
      <c r="F20" t="s">
        <v>1347</v>
      </c>
      <c r="G20" t="s">
        <v>1348</v>
      </c>
      <c r="H20" s="7">
        <v>199</v>
      </c>
      <c r="I20" s="7">
        <v>499</v>
      </c>
      <c r="J20" s="7" t="str">
        <f t="shared" si="2"/>
        <v>₹200–₹500</v>
      </c>
      <c r="K20" s="1">
        <v>0.6</v>
      </c>
      <c r="L20" s="1" t="str">
        <f t="shared" si="0"/>
        <v>50% or More</v>
      </c>
      <c r="M20">
        <v>4.0999999999999996</v>
      </c>
      <c r="N20" s="2">
        <v>13045</v>
      </c>
      <c r="O20" s="5">
        <f t="shared" si="1"/>
        <v>6509455</v>
      </c>
      <c r="P20">
        <f>MAX(Table1[RATING COUNT])</f>
        <v>426973</v>
      </c>
    </row>
    <row r="21" spans="1:16">
      <c r="A21" t="s">
        <v>1629</v>
      </c>
      <c r="B21" t="s">
        <v>19</v>
      </c>
      <c r="D21" t="s">
        <v>1352</v>
      </c>
      <c r="E21" t="s">
        <v>1353</v>
      </c>
      <c r="F21" t="s">
        <v>1355</v>
      </c>
      <c r="G21" t="s">
        <v>1356</v>
      </c>
      <c r="H21" s="7">
        <v>13490</v>
      </c>
      <c r="I21" s="7">
        <v>21990</v>
      </c>
      <c r="J21" s="7" t="str">
        <f t="shared" si="2"/>
        <v>&gt;₹500</v>
      </c>
      <c r="K21" s="1">
        <v>0.39</v>
      </c>
      <c r="L21" s="1" t="str">
        <f t="shared" si="0"/>
        <v>&lt;50%</v>
      </c>
      <c r="M21">
        <v>4.3</v>
      </c>
      <c r="N21" s="2">
        <v>11976</v>
      </c>
      <c r="O21" s="5">
        <f t="shared" si="1"/>
        <v>263352240</v>
      </c>
      <c r="P21">
        <f>MAX(Table1[RATING COUNT])</f>
        <v>426973</v>
      </c>
    </row>
    <row r="22" spans="1:16">
      <c r="A22" t="s">
        <v>1630</v>
      </c>
      <c r="B22" t="s">
        <v>20</v>
      </c>
      <c r="D22" t="s">
        <v>1345</v>
      </c>
      <c r="E22" t="s">
        <v>1346</v>
      </c>
      <c r="F22" t="s">
        <v>1347</v>
      </c>
      <c r="G22" t="s">
        <v>1348</v>
      </c>
      <c r="H22" s="7">
        <v>970</v>
      </c>
      <c r="I22" s="7">
        <v>1799</v>
      </c>
      <c r="J22" s="7" t="str">
        <f t="shared" si="2"/>
        <v>&gt;₹500</v>
      </c>
      <c r="K22" s="1">
        <v>0.46</v>
      </c>
      <c r="L22" s="1" t="str">
        <f t="shared" si="0"/>
        <v>&lt;50%</v>
      </c>
      <c r="M22">
        <v>4.5</v>
      </c>
      <c r="N22" s="2">
        <v>815</v>
      </c>
      <c r="O22" s="5">
        <f t="shared" si="1"/>
        <v>1466185</v>
      </c>
      <c r="P22">
        <f>MAX(Table1[RATING COUNT])</f>
        <v>426973</v>
      </c>
    </row>
    <row r="23" spans="1:16">
      <c r="A23" t="s">
        <v>1631</v>
      </c>
      <c r="B23" t="s">
        <v>21</v>
      </c>
      <c r="D23" t="s">
        <v>1352</v>
      </c>
      <c r="E23" t="s">
        <v>1353</v>
      </c>
      <c r="F23" t="s">
        <v>1354</v>
      </c>
      <c r="G23" t="s">
        <v>1348</v>
      </c>
      <c r="H23" s="7">
        <v>279</v>
      </c>
      <c r="I23" s="7">
        <v>499</v>
      </c>
      <c r="J23" s="7" t="str">
        <f t="shared" si="2"/>
        <v>₹200–₹500</v>
      </c>
      <c r="K23" s="1">
        <v>0.44</v>
      </c>
      <c r="L23" s="1" t="str">
        <f t="shared" si="0"/>
        <v>&lt;50%</v>
      </c>
      <c r="M23">
        <v>3.7</v>
      </c>
      <c r="N23" s="2">
        <v>10962</v>
      </c>
      <c r="O23" s="5">
        <f t="shared" si="1"/>
        <v>5470038</v>
      </c>
      <c r="P23">
        <f>MAX(Table1[RATING COUNT])</f>
        <v>426973</v>
      </c>
    </row>
    <row r="24" spans="1:16">
      <c r="A24" t="s">
        <v>1632</v>
      </c>
      <c r="B24" t="s">
        <v>22</v>
      </c>
      <c r="D24" t="s">
        <v>1352</v>
      </c>
      <c r="E24" t="s">
        <v>1353</v>
      </c>
      <c r="F24" t="s">
        <v>1355</v>
      </c>
      <c r="G24" t="s">
        <v>1356</v>
      </c>
      <c r="H24" s="7">
        <v>13490</v>
      </c>
      <c r="I24" s="7">
        <v>22900</v>
      </c>
      <c r="J24" s="7" t="str">
        <f t="shared" si="2"/>
        <v>&gt;₹500</v>
      </c>
      <c r="K24" s="1">
        <v>0.41</v>
      </c>
      <c r="L24" s="1" t="str">
        <f t="shared" si="0"/>
        <v>&lt;50%</v>
      </c>
      <c r="M24">
        <v>4.3</v>
      </c>
      <c r="N24" s="2">
        <v>16299</v>
      </c>
      <c r="O24" s="5">
        <f t="shared" si="1"/>
        <v>373247100</v>
      </c>
      <c r="P24">
        <f>MAX(Table1[RATING COUNT])</f>
        <v>426973</v>
      </c>
    </row>
    <row r="25" spans="1:16">
      <c r="A25" t="s">
        <v>1633</v>
      </c>
      <c r="B25" t="s">
        <v>23</v>
      </c>
      <c r="D25" t="s">
        <v>1345</v>
      </c>
      <c r="E25" t="s">
        <v>1346</v>
      </c>
      <c r="F25" t="s">
        <v>1347</v>
      </c>
      <c r="G25" t="s">
        <v>1348</v>
      </c>
      <c r="H25" s="7">
        <v>59</v>
      </c>
      <c r="I25" s="7">
        <v>199</v>
      </c>
      <c r="J25" s="7" t="str">
        <f t="shared" si="2"/>
        <v>&lt;₹200</v>
      </c>
      <c r="K25" s="1">
        <v>0.7</v>
      </c>
      <c r="L25" s="1" t="str">
        <f t="shared" si="0"/>
        <v>50% or More</v>
      </c>
      <c r="M25">
        <v>4</v>
      </c>
      <c r="N25" s="2">
        <v>9378</v>
      </c>
      <c r="O25" s="5">
        <f t="shared" si="1"/>
        <v>1866222</v>
      </c>
      <c r="P25">
        <f>MAX(Table1[RATING COUNT])</f>
        <v>426973</v>
      </c>
    </row>
    <row r="26" spans="1:16">
      <c r="A26" t="s">
        <v>1634</v>
      </c>
      <c r="B26" t="s">
        <v>24</v>
      </c>
      <c r="D26" t="s">
        <v>1352</v>
      </c>
      <c r="E26" t="s">
        <v>1353</v>
      </c>
      <c r="F26" t="s">
        <v>1355</v>
      </c>
      <c r="G26" t="s">
        <v>1356</v>
      </c>
      <c r="H26" s="7">
        <v>11499</v>
      </c>
      <c r="I26" s="7">
        <v>19990</v>
      </c>
      <c r="J26" s="7" t="str">
        <f t="shared" si="2"/>
        <v>&gt;₹500</v>
      </c>
      <c r="K26" s="1">
        <v>0.42</v>
      </c>
      <c r="L26" s="1" t="str">
        <f t="shared" si="0"/>
        <v>&lt;50%</v>
      </c>
      <c r="M26">
        <v>4.3</v>
      </c>
      <c r="N26" s="2">
        <v>4703</v>
      </c>
      <c r="O26" s="5">
        <f t="shared" si="1"/>
        <v>94012970</v>
      </c>
      <c r="P26">
        <f>MAX(Table1[RATING COUNT])</f>
        <v>426973</v>
      </c>
    </row>
    <row r="27" spans="1:16">
      <c r="A27" t="s">
        <v>1635</v>
      </c>
      <c r="B27" t="s">
        <v>25</v>
      </c>
      <c r="D27" t="s">
        <v>1352</v>
      </c>
      <c r="E27" t="s">
        <v>1353</v>
      </c>
      <c r="F27" t="s">
        <v>1354</v>
      </c>
      <c r="G27" t="s">
        <v>1348</v>
      </c>
      <c r="H27" s="7">
        <v>199</v>
      </c>
      <c r="I27" s="7">
        <v>699</v>
      </c>
      <c r="J27" s="7" t="str">
        <f t="shared" si="2"/>
        <v>&gt;₹500</v>
      </c>
      <c r="K27" s="1">
        <v>0.72</v>
      </c>
      <c r="L27" s="1" t="str">
        <f t="shared" si="0"/>
        <v>50% or More</v>
      </c>
      <c r="M27">
        <v>4.2</v>
      </c>
      <c r="N27" s="2">
        <v>12153</v>
      </c>
      <c r="O27" s="5">
        <f t="shared" si="1"/>
        <v>8494947</v>
      </c>
      <c r="P27">
        <f>MAX(Table1[RATING COUNT])</f>
        <v>426973</v>
      </c>
    </row>
    <row r="28" spans="1:16">
      <c r="A28" t="s">
        <v>1636</v>
      </c>
      <c r="B28" t="s">
        <v>26</v>
      </c>
      <c r="D28" t="s">
        <v>1352</v>
      </c>
      <c r="E28" t="s">
        <v>1353</v>
      </c>
      <c r="F28" t="s">
        <v>1355</v>
      </c>
      <c r="G28" t="s">
        <v>1356</v>
      </c>
      <c r="H28" s="7">
        <v>14999</v>
      </c>
      <c r="I28" s="7">
        <v>19999</v>
      </c>
      <c r="J28" s="7" t="str">
        <f t="shared" si="2"/>
        <v>&gt;₹500</v>
      </c>
      <c r="K28" s="1">
        <v>0.25</v>
      </c>
      <c r="L28" s="1" t="str">
        <f t="shared" si="0"/>
        <v>&lt;50%</v>
      </c>
      <c r="M28">
        <v>4.2</v>
      </c>
      <c r="N28" s="2">
        <v>34899</v>
      </c>
      <c r="O28" s="5">
        <f t="shared" si="1"/>
        <v>697945101</v>
      </c>
      <c r="P28">
        <f>MAX(Table1[RATING COUNT])</f>
        <v>426973</v>
      </c>
    </row>
    <row r="29" spans="1:16">
      <c r="A29" t="s">
        <v>1637</v>
      </c>
      <c r="B29" t="s">
        <v>27</v>
      </c>
      <c r="D29" t="s">
        <v>1345</v>
      </c>
      <c r="E29" t="s">
        <v>1346</v>
      </c>
      <c r="F29" t="s">
        <v>1347</v>
      </c>
      <c r="G29" t="s">
        <v>1348</v>
      </c>
      <c r="H29" s="7">
        <v>299</v>
      </c>
      <c r="I29" s="7">
        <v>399</v>
      </c>
      <c r="J29" s="7" t="str">
        <f t="shared" si="2"/>
        <v>₹200–₹500</v>
      </c>
      <c r="K29" s="1">
        <v>0.25</v>
      </c>
      <c r="L29" s="1" t="str">
        <f t="shared" si="0"/>
        <v>&lt;50%</v>
      </c>
      <c r="M29">
        <v>4</v>
      </c>
      <c r="N29" s="2">
        <v>2766</v>
      </c>
      <c r="O29" s="5">
        <f t="shared" si="1"/>
        <v>1103634</v>
      </c>
      <c r="P29">
        <f>MAX(Table1[RATING COUNT])</f>
        <v>426973</v>
      </c>
    </row>
    <row r="30" spans="1:16">
      <c r="A30" t="s">
        <v>1638</v>
      </c>
      <c r="B30" t="s">
        <v>28</v>
      </c>
      <c r="D30" t="s">
        <v>1345</v>
      </c>
      <c r="E30" t="s">
        <v>1346</v>
      </c>
      <c r="F30" t="s">
        <v>1347</v>
      </c>
      <c r="G30" t="s">
        <v>1348</v>
      </c>
      <c r="H30" s="7">
        <v>970</v>
      </c>
      <c r="I30" s="7">
        <v>1999</v>
      </c>
      <c r="J30" s="7" t="str">
        <f t="shared" si="2"/>
        <v>&gt;₹500</v>
      </c>
      <c r="K30" s="1">
        <v>0.51</v>
      </c>
      <c r="L30" s="1" t="str">
        <f t="shared" si="0"/>
        <v>50% or More</v>
      </c>
      <c r="M30">
        <v>4.4000000000000004</v>
      </c>
      <c r="N30" s="2">
        <v>184</v>
      </c>
      <c r="O30" s="5">
        <f t="shared" si="1"/>
        <v>367816</v>
      </c>
      <c r="P30">
        <f>MAX(Table1[RATING COUNT])</f>
        <v>426973</v>
      </c>
    </row>
    <row r="31" spans="1:16">
      <c r="A31" t="s">
        <v>1639</v>
      </c>
      <c r="B31" t="s">
        <v>29</v>
      </c>
      <c r="D31" t="s">
        <v>1345</v>
      </c>
      <c r="E31" t="s">
        <v>1346</v>
      </c>
      <c r="F31" t="s">
        <v>1347</v>
      </c>
      <c r="G31" t="s">
        <v>1348</v>
      </c>
      <c r="H31" s="7">
        <v>299</v>
      </c>
      <c r="I31" s="7">
        <v>999</v>
      </c>
      <c r="J31" s="7" t="str">
        <f t="shared" si="2"/>
        <v>&gt;₹500</v>
      </c>
      <c r="K31" s="1">
        <v>0.7</v>
      </c>
      <c r="L31" s="1" t="str">
        <f t="shared" si="0"/>
        <v>50% or More</v>
      </c>
      <c r="M31">
        <v>4.3</v>
      </c>
      <c r="N31" s="2">
        <v>20850</v>
      </c>
      <c r="O31" s="5">
        <f t="shared" si="1"/>
        <v>20829150</v>
      </c>
      <c r="P31">
        <f>MAX(Table1[RATING COUNT])</f>
        <v>426973</v>
      </c>
    </row>
    <row r="32" spans="1:16">
      <c r="A32" t="s">
        <v>1640</v>
      </c>
      <c r="B32" t="s">
        <v>30</v>
      </c>
      <c r="D32" t="s">
        <v>1345</v>
      </c>
      <c r="E32" t="s">
        <v>1346</v>
      </c>
      <c r="F32" t="s">
        <v>1347</v>
      </c>
      <c r="G32" t="s">
        <v>1348</v>
      </c>
      <c r="H32" s="7">
        <v>199</v>
      </c>
      <c r="I32" s="7">
        <v>750</v>
      </c>
      <c r="J32" s="7" t="str">
        <f t="shared" si="2"/>
        <v>&gt;₹500</v>
      </c>
      <c r="K32" s="1">
        <v>0.73</v>
      </c>
      <c r="L32" s="1" t="str">
        <f t="shared" si="0"/>
        <v>50% or More</v>
      </c>
      <c r="M32">
        <v>4.5</v>
      </c>
      <c r="N32" s="2">
        <v>74976</v>
      </c>
      <c r="O32" s="5">
        <f t="shared" si="1"/>
        <v>56232000</v>
      </c>
      <c r="P32">
        <f>MAX(Table1[RATING COUNT])</f>
        <v>426973</v>
      </c>
    </row>
    <row r="33" spans="1:16">
      <c r="A33" t="s">
        <v>1641</v>
      </c>
      <c r="B33" t="s">
        <v>31</v>
      </c>
      <c r="D33" t="s">
        <v>1345</v>
      </c>
      <c r="E33" t="s">
        <v>1346</v>
      </c>
      <c r="F33" t="s">
        <v>1347</v>
      </c>
      <c r="G33" t="s">
        <v>1348</v>
      </c>
      <c r="H33" s="7">
        <v>179</v>
      </c>
      <c r="I33" s="7">
        <v>499</v>
      </c>
      <c r="J33" s="7" t="str">
        <f t="shared" si="2"/>
        <v>₹200–₹500</v>
      </c>
      <c r="K33" s="1">
        <v>0.64</v>
      </c>
      <c r="L33" s="1" t="str">
        <f t="shared" si="0"/>
        <v>50% or More</v>
      </c>
      <c r="M33">
        <v>4</v>
      </c>
      <c r="N33" s="2">
        <v>1934</v>
      </c>
      <c r="O33" s="5">
        <f t="shared" si="1"/>
        <v>965066</v>
      </c>
      <c r="P33">
        <f>MAX(Table1[RATING COUNT])</f>
        <v>426973</v>
      </c>
    </row>
    <row r="34" spans="1:16">
      <c r="A34" t="s">
        <v>1642</v>
      </c>
      <c r="B34" t="s">
        <v>32</v>
      </c>
      <c r="D34" t="s">
        <v>1345</v>
      </c>
      <c r="E34" t="s">
        <v>1346</v>
      </c>
      <c r="F34" t="s">
        <v>1347</v>
      </c>
      <c r="G34" t="s">
        <v>1348</v>
      </c>
      <c r="H34" s="7">
        <v>389</v>
      </c>
      <c r="I34" s="7">
        <v>1099</v>
      </c>
      <c r="J34" s="7" t="str">
        <f t="shared" si="2"/>
        <v>&gt;₹500</v>
      </c>
      <c r="K34" s="1">
        <v>0.65</v>
      </c>
      <c r="L34" s="1" t="str">
        <f t="shared" si="0"/>
        <v>50% or More</v>
      </c>
      <c r="M34">
        <v>4.3</v>
      </c>
      <c r="N34" s="2">
        <v>974</v>
      </c>
      <c r="O34" s="5">
        <f t="shared" si="1"/>
        <v>1070426</v>
      </c>
      <c r="P34">
        <f>MAX(Table1[RATING COUNT])</f>
        <v>426973</v>
      </c>
    </row>
    <row r="35" spans="1:16">
      <c r="A35" t="s">
        <v>1643</v>
      </c>
      <c r="B35" t="s">
        <v>33</v>
      </c>
      <c r="D35" t="s">
        <v>1345</v>
      </c>
      <c r="E35" t="s">
        <v>1346</v>
      </c>
      <c r="F35" t="s">
        <v>1347</v>
      </c>
      <c r="G35" t="s">
        <v>1348</v>
      </c>
      <c r="H35" s="7">
        <v>599</v>
      </c>
      <c r="I35" s="7">
        <v>599</v>
      </c>
      <c r="J35" s="7" t="str">
        <f t="shared" si="2"/>
        <v>&gt;₹500</v>
      </c>
      <c r="K35" s="1">
        <v>0</v>
      </c>
      <c r="L35" s="1" t="str">
        <f t="shared" si="0"/>
        <v>&lt;50%</v>
      </c>
      <c r="M35">
        <v>4.3</v>
      </c>
      <c r="N35" s="2">
        <v>355</v>
      </c>
      <c r="O35" s="5">
        <f t="shared" si="1"/>
        <v>212645</v>
      </c>
      <c r="P35">
        <f>MAX(Table1[RATING COUNT])</f>
        <v>426973</v>
      </c>
    </row>
    <row r="36" spans="1:16">
      <c r="A36" t="s">
        <v>1644</v>
      </c>
      <c r="B36" t="s">
        <v>34</v>
      </c>
      <c r="D36" t="s">
        <v>1345</v>
      </c>
      <c r="E36" t="s">
        <v>1346</v>
      </c>
      <c r="F36" t="s">
        <v>1347</v>
      </c>
      <c r="G36" t="s">
        <v>1348</v>
      </c>
      <c r="H36" s="7">
        <v>199</v>
      </c>
      <c r="I36" s="7">
        <v>999</v>
      </c>
      <c r="J36" s="7" t="str">
        <f t="shared" si="2"/>
        <v>&gt;₹500</v>
      </c>
      <c r="K36" s="1">
        <v>0.8</v>
      </c>
      <c r="L36" s="1" t="str">
        <f t="shared" si="0"/>
        <v>50% or More</v>
      </c>
      <c r="M36">
        <v>3.9</v>
      </c>
      <c r="N36" s="2">
        <v>1075</v>
      </c>
      <c r="O36" s="5">
        <f t="shared" si="1"/>
        <v>1073925</v>
      </c>
      <c r="P36">
        <f>MAX(Table1[RATING COUNT])</f>
        <v>426973</v>
      </c>
    </row>
    <row r="37" spans="1:16">
      <c r="A37" t="s">
        <v>1645</v>
      </c>
      <c r="B37" t="s">
        <v>35</v>
      </c>
      <c r="D37" t="s">
        <v>1345</v>
      </c>
      <c r="E37" t="s">
        <v>1346</v>
      </c>
      <c r="F37" t="s">
        <v>1347</v>
      </c>
      <c r="G37" t="s">
        <v>1348</v>
      </c>
      <c r="H37" s="7">
        <v>99</v>
      </c>
      <c r="I37" s="7">
        <v>666.66</v>
      </c>
      <c r="J37" s="7" t="str">
        <f t="shared" si="2"/>
        <v>&gt;₹500</v>
      </c>
      <c r="K37" s="1">
        <v>0.85</v>
      </c>
      <c r="L37" s="1" t="str">
        <f t="shared" si="0"/>
        <v>50% or More</v>
      </c>
      <c r="M37">
        <v>3.9</v>
      </c>
      <c r="N37" s="2">
        <v>24871</v>
      </c>
      <c r="O37" s="5">
        <f t="shared" si="1"/>
        <v>16580500.859999999</v>
      </c>
      <c r="P37">
        <f>MAX(Table1[RATING COUNT])</f>
        <v>426973</v>
      </c>
    </row>
    <row r="38" spans="1:16">
      <c r="A38" t="s">
        <v>1646</v>
      </c>
      <c r="B38" t="s">
        <v>36</v>
      </c>
      <c r="D38" t="s">
        <v>1345</v>
      </c>
      <c r="E38" t="s">
        <v>1346</v>
      </c>
      <c r="F38" t="s">
        <v>1347</v>
      </c>
      <c r="G38" t="s">
        <v>1348</v>
      </c>
      <c r="H38" s="7">
        <v>899</v>
      </c>
      <c r="I38" s="7">
        <v>1900</v>
      </c>
      <c r="J38" s="7" t="str">
        <f t="shared" si="2"/>
        <v>&gt;₹500</v>
      </c>
      <c r="K38" s="1">
        <v>0.53</v>
      </c>
      <c r="L38" s="1" t="str">
        <f t="shared" si="0"/>
        <v>50% or More</v>
      </c>
      <c r="M38">
        <v>4.4000000000000004</v>
      </c>
      <c r="N38" s="2">
        <v>13552</v>
      </c>
      <c r="O38" s="5">
        <f t="shared" si="1"/>
        <v>25748800</v>
      </c>
      <c r="P38">
        <f>MAX(Table1[RATING COUNT])</f>
        <v>426973</v>
      </c>
    </row>
    <row r="39" spans="1:16">
      <c r="A39" t="s">
        <v>1647</v>
      </c>
      <c r="B39" t="s">
        <v>37</v>
      </c>
      <c r="D39" t="s">
        <v>1345</v>
      </c>
      <c r="E39" t="s">
        <v>1346</v>
      </c>
      <c r="F39" t="s">
        <v>1347</v>
      </c>
      <c r="G39" t="s">
        <v>1348</v>
      </c>
      <c r="H39" s="7">
        <v>199</v>
      </c>
      <c r="I39" s="7">
        <v>999</v>
      </c>
      <c r="J39" s="7" t="str">
        <f t="shared" si="2"/>
        <v>&gt;₹500</v>
      </c>
      <c r="K39" s="1">
        <v>0.8</v>
      </c>
      <c r="L39" s="1" t="str">
        <f t="shared" si="0"/>
        <v>50% or More</v>
      </c>
      <c r="M39">
        <v>4</v>
      </c>
      <c r="N39" s="2">
        <v>576</v>
      </c>
      <c r="O39" s="5">
        <f t="shared" si="1"/>
        <v>575424</v>
      </c>
      <c r="P39">
        <f>MAX(Table1[RATING COUNT])</f>
        <v>426973</v>
      </c>
    </row>
    <row r="40" spans="1:16">
      <c r="A40" t="s">
        <v>1648</v>
      </c>
      <c r="B40" t="s">
        <v>38</v>
      </c>
      <c r="D40" t="s">
        <v>1352</v>
      </c>
      <c r="E40" t="s">
        <v>1353</v>
      </c>
      <c r="F40" t="s">
        <v>1355</v>
      </c>
      <c r="G40" t="s">
        <v>1356</v>
      </c>
      <c r="H40" s="7">
        <v>32999</v>
      </c>
      <c r="I40" s="7">
        <v>45999</v>
      </c>
      <c r="J40" s="7" t="str">
        <f t="shared" si="2"/>
        <v>&gt;₹500</v>
      </c>
      <c r="K40" s="1">
        <v>0.28000000000000003</v>
      </c>
      <c r="L40" s="1" t="str">
        <f t="shared" si="0"/>
        <v>&lt;50%</v>
      </c>
      <c r="M40">
        <v>4.2</v>
      </c>
      <c r="N40" s="2">
        <v>7298</v>
      </c>
      <c r="O40" s="5">
        <f t="shared" si="1"/>
        <v>335700702</v>
      </c>
      <c r="P40">
        <f>MAX(Table1[RATING COUNT])</f>
        <v>426973</v>
      </c>
    </row>
    <row r="41" spans="1:16">
      <c r="A41" t="s">
        <v>1649</v>
      </c>
      <c r="B41" t="s">
        <v>39</v>
      </c>
      <c r="D41" t="s">
        <v>1345</v>
      </c>
      <c r="E41" t="s">
        <v>1346</v>
      </c>
      <c r="F41" t="s">
        <v>1347</v>
      </c>
      <c r="G41" t="s">
        <v>1348</v>
      </c>
      <c r="H41" s="7">
        <v>970</v>
      </c>
      <c r="I41" s="7">
        <v>1999</v>
      </c>
      <c r="J41" s="7" t="str">
        <f t="shared" si="2"/>
        <v>&gt;₹500</v>
      </c>
      <c r="K41" s="1">
        <v>0.51</v>
      </c>
      <c r="L41" s="1" t="str">
        <f t="shared" si="0"/>
        <v>50% or More</v>
      </c>
      <c r="M41">
        <v>4.2</v>
      </c>
      <c r="N41" s="2">
        <v>462</v>
      </c>
      <c r="O41" s="5">
        <f t="shared" si="1"/>
        <v>923538</v>
      </c>
      <c r="P41">
        <f>MAX(Table1[RATING COUNT])</f>
        <v>426973</v>
      </c>
    </row>
    <row r="42" spans="1:16">
      <c r="A42" t="s">
        <v>1650</v>
      </c>
      <c r="B42" t="s">
        <v>40</v>
      </c>
      <c r="D42" t="s">
        <v>1345</v>
      </c>
      <c r="E42" t="s">
        <v>1346</v>
      </c>
      <c r="F42" t="s">
        <v>1347</v>
      </c>
      <c r="G42" t="s">
        <v>1348</v>
      </c>
      <c r="H42" s="7">
        <v>209</v>
      </c>
      <c r="I42" s="7">
        <v>695</v>
      </c>
      <c r="J42" s="7" t="str">
        <f t="shared" si="2"/>
        <v>&gt;₹500</v>
      </c>
      <c r="K42" s="1">
        <v>0.7</v>
      </c>
      <c r="L42" s="1" t="str">
        <f t="shared" si="0"/>
        <v>50% or More</v>
      </c>
      <c r="M42">
        <v>4.5</v>
      </c>
      <c r="N42" s="2">
        <v>107687</v>
      </c>
      <c r="O42" s="5">
        <f t="shared" si="1"/>
        <v>74842465</v>
      </c>
      <c r="P42">
        <f>MAX(Table1[RATING COUNT])</f>
        <v>426973</v>
      </c>
    </row>
    <row r="43" spans="1:16">
      <c r="A43" t="s">
        <v>1651</v>
      </c>
      <c r="B43" t="s">
        <v>41</v>
      </c>
      <c r="D43" t="s">
        <v>1352</v>
      </c>
      <c r="E43" t="s">
        <v>1353</v>
      </c>
      <c r="F43" t="s">
        <v>1355</v>
      </c>
      <c r="G43" t="s">
        <v>1356</v>
      </c>
      <c r="H43" s="7">
        <v>19999</v>
      </c>
      <c r="I43" s="7">
        <v>34999</v>
      </c>
      <c r="J43" s="7" t="str">
        <f t="shared" si="2"/>
        <v>&gt;₹500</v>
      </c>
      <c r="K43" s="1">
        <v>0.43</v>
      </c>
      <c r="L43" s="1" t="str">
        <f t="shared" si="0"/>
        <v>&lt;50%</v>
      </c>
      <c r="M43">
        <v>4.3</v>
      </c>
      <c r="N43" s="2">
        <v>27151</v>
      </c>
      <c r="O43" s="5">
        <f t="shared" si="1"/>
        <v>950257849</v>
      </c>
      <c r="P43">
        <f>MAX(Table1[RATING COUNT])</f>
        <v>426973</v>
      </c>
    </row>
    <row r="44" spans="1:16">
      <c r="A44" t="s">
        <v>1652</v>
      </c>
      <c r="B44" t="s">
        <v>42</v>
      </c>
      <c r="D44" t="s">
        <v>1345</v>
      </c>
      <c r="E44" t="s">
        <v>1346</v>
      </c>
      <c r="F44" t="s">
        <v>1347</v>
      </c>
      <c r="G44" t="s">
        <v>1348</v>
      </c>
      <c r="H44" s="7">
        <v>399</v>
      </c>
      <c r="I44" s="7">
        <v>1099</v>
      </c>
      <c r="J44" s="7" t="str">
        <f t="shared" si="2"/>
        <v>&gt;₹500</v>
      </c>
      <c r="K44" s="1">
        <v>0.64</v>
      </c>
      <c r="L44" s="1" t="str">
        <f t="shared" si="0"/>
        <v>50% or More</v>
      </c>
      <c r="M44">
        <v>4.2</v>
      </c>
      <c r="N44" s="2">
        <v>24269</v>
      </c>
      <c r="O44" s="5">
        <f t="shared" si="1"/>
        <v>26671631</v>
      </c>
      <c r="P44">
        <f>MAX(Table1[RATING COUNT])</f>
        <v>426973</v>
      </c>
    </row>
    <row r="45" spans="1:16">
      <c r="A45" t="s">
        <v>1653</v>
      </c>
      <c r="B45" t="s">
        <v>43</v>
      </c>
      <c r="D45" t="s">
        <v>1345</v>
      </c>
      <c r="E45" t="s">
        <v>1349</v>
      </c>
      <c r="F45" t="s">
        <v>1350</v>
      </c>
      <c r="G45" t="s">
        <v>1351</v>
      </c>
      <c r="H45" s="7">
        <v>999</v>
      </c>
      <c r="I45" s="7">
        <v>1599</v>
      </c>
      <c r="J45" s="7" t="str">
        <f t="shared" si="2"/>
        <v>&gt;₹500</v>
      </c>
      <c r="K45" s="1">
        <v>0.38</v>
      </c>
      <c r="L45" s="1" t="str">
        <f t="shared" si="0"/>
        <v>&lt;50%</v>
      </c>
      <c r="M45">
        <v>4.3</v>
      </c>
      <c r="N45" s="2">
        <v>12093</v>
      </c>
      <c r="O45" s="5">
        <f t="shared" si="1"/>
        <v>19336707</v>
      </c>
      <c r="P45">
        <f>MAX(Table1[RATING COUNT])</f>
        <v>426973</v>
      </c>
    </row>
    <row r="46" spans="1:16">
      <c r="A46" t="s">
        <v>1654</v>
      </c>
      <c r="B46" t="s">
        <v>44</v>
      </c>
      <c r="D46" t="s">
        <v>1345</v>
      </c>
      <c r="E46" t="s">
        <v>1346</v>
      </c>
      <c r="F46" t="s">
        <v>1347</v>
      </c>
      <c r="G46" t="s">
        <v>1348</v>
      </c>
      <c r="H46" s="7">
        <v>59</v>
      </c>
      <c r="I46" s="7">
        <v>199</v>
      </c>
      <c r="J46" s="7" t="str">
        <f t="shared" si="2"/>
        <v>&lt;₹200</v>
      </c>
      <c r="K46" s="1">
        <v>0.7</v>
      </c>
      <c r="L46" s="1" t="str">
        <f t="shared" si="0"/>
        <v>50% or More</v>
      </c>
      <c r="M46">
        <v>4</v>
      </c>
      <c r="N46" s="2">
        <v>9378</v>
      </c>
      <c r="O46" s="5">
        <f t="shared" si="1"/>
        <v>1866222</v>
      </c>
      <c r="P46">
        <f>MAX(Table1[RATING COUNT])</f>
        <v>426973</v>
      </c>
    </row>
    <row r="47" spans="1:16">
      <c r="A47" t="s">
        <v>1655</v>
      </c>
      <c r="B47" t="s">
        <v>45</v>
      </c>
      <c r="D47" t="s">
        <v>1345</v>
      </c>
      <c r="E47" t="s">
        <v>1346</v>
      </c>
      <c r="F47" t="s">
        <v>1347</v>
      </c>
      <c r="G47" t="s">
        <v>1348</v>
      </c>
      <c r="H47" s="7">
        <v>333</v>
      </c>
      <c r="I47" s="7">
        <v>999</v>
      </c>
      <c r="J47" s="7" t="str">
        <f t="shared" si="2"/>
        <v>&gt;₹500</v>
      </c>
      <c r="K47" s="1">
        <v>0.67</v>
      </c>
      <c r="L47" s="1" t="str">
        <f t="shared" si="0"/>
        <v>50% or More</v>
      </c>
      <c r="M47">
        <v>3.3</v>
      </c>
      <c r="N47" s="2">
        <v>9792</v>
      </c>
      <c r="O47" s="5">
        <f t="shared" si="1"/>
        <v>9782208</v>
      </c>
      <c r="P47">
        <f>MAX(Table1[RATING COUNT])</f>
        <v>426973</v>
      </c>
    </row>
    <row r="48" spans="1:16">
      <c r="A48" t="s">
        <v>1656</v>
      </c>
      <c r="B48" t="s">
        <v>46</v>
      </c>
      <c r="D48" t="s">
        <v>1345</v>
      </c>
      <c r="E48" t="s">
        <v>1349</v>
      </c>
      <c r="F48" t="s">
        <v>1350</v>
      </c>
      <c r="G48" t="s">
        <v>1351</v>
      </c>
      <c r="H48" s="7">
        <v>507</v>
      </c>
      <c r="I48" s="7">
        <v>1208</v>
      </c>
      <c r="J48" s="7" t="str">
        <f t="shared" si="2"/>
        <v>&gt;₹500</v>
      </c>
      <c r="K48" s="1">
        <v>0.57999999999999996</v>
      </c>
      <c r="L48" s="1" t="str">
        <f t="shared" si="0"/>
        <v>50% or More</v>
      </c>
      <c r="M48">
        <v>4.0999999999999996</v>
      </c>
      <c r="N48" s="2">
        <v>8131</v>
      </c>
      <c r="O48" s="5">
        <f t="shared" si="1"/>
        <v>9822248</v>
      </c>
      <c r="P48">
        <f>MAX(Table1[RATING COUNT])</f>
        <v>426973</v>
      </c>
    </row>
    <row r="49" spans="1:16">
      <c r="A49" t="s">
        <v>1657</v>
      </c>
      <c r="B49" t="s">
        <v>47</v>
      </c>
      <c r="D49" t="s">
        <v>1352</v>
      </c>
      <c r="E49" t="s">
        <v>1353</v>
      </c>
      <c r="F49" t="s">
        <v>1354</v>
      </c>
      <c r="G49" t="s">
        <v>1348</v>
      </c>
      <c r="H49" s="7">
        <v>309</v>
      </c>
      <c r="I49" s="7">
        <v>475</v>
      </c>
      <c r="J49" s="7" t="str">
        <f t="shared" si="2"/>
        <v>₹200–₹500</v>
      </c>
      <c r="K49" s="1">
        <v>0.35</v>
      </c>
      <c r="L49" s="1" t="str">
        <f t="shared" si="0"/>
        <v>&lt;50%</v>
      </c>
      <c r="M49">
        <v>4.4000000000000004</v>
      </c>
      <c r="N49" s="2">
        <v>426973</v>
      </c>
      <c r="O49" s="5">
        <f t="shared" si="1"/>
        <v>202812175</v>
      </c>
      <c r="P49">
        <f>MAX(Table1[RATING COUNT])</f>
        <v>426973</v>
      </c>
    </row>
    <row r="50" spans="1:16">
      <c r="A50" t="s">
        <v>1658</v>
      </c>
      <c r="B50" t="s">
        <v>48</v>
      </c>
      <c r="D50" t="s">
        <v>1352</v>
      </c>
      <c r="E50" t="s">
        <v>1353</v>
      </c>
      <c r="F50" t="s">
        <v>1354</v>
      </c>
      <c r="G50" t="s">
        <v>1357</v>
      </c>
      <c r="H50" s="7">
        <v>399</v>
      </c>
      <c r="I50" s="7">
        <v>999</v>
      </c>
      <c r="J50" s="7" t="str">
        <f t="shared" si="2"/>
        <v>&gt;₹500</v>
      </c>
      <c r="K50" s="1">
        <v>0.6</v>
      </c>
      <c r="L50" s="1" t="str">
        <f t="shared" si="0"/>
        <v>50% or More</v>
      </c>
      <c r="M50">
        <v>3.6</v>
      </c>
      <c r="N50" s="2">
        <v>493</v>
      </c>
      <c r="O50" s="5">
        <f t="shared" si="1"/>
        <v>492507</v>
      </c>
      <c r="P50">
        <f>MAX(Table1[RATING COUNT])</f>
        <v>426973</v>
      </c>
    </row>
    <row r="51" spans="1:16">
      <c r="A51" t="s">
        <v>1659</v>
      </c>
      <c r="B51" t="s">
        <v>49</v>
      </c>
      <c r="D51" t="s">
        <v>1345</v>
      </c>
      <c r="E51" t="s">
        <v>1346</v>
      </c>
      <c r="F51" t="s">
        <v>1347</v>
      </c>
      <c r="G51" t="s">
        <v>1348</v>
      </c>
      <c r="H51" s="7">
        <v>199</v>
      </c>
      <c r="I51" s="7">
        <v>395</v>
      </c>
      <c r="J51" s="7" t="str">
        <f t="shared" si="2"/>
        <v>₹200–₹500</v>
      </c>
      <c r="K51" s="1">
        <v>0.5</v>
      </c>
      <c r="L51" s="1" t="str">
        <f t="shared" si="0"/>
        <v>50% or More</v>
      </c>
      <c r="M51">
        <v>4.2</v>
      </c>
      <c r="N51" s="2">
        <v>92595</v>
      </c>
      <c r="O51" s="5">
        <f t="shared" si="1"/>
        <v>36575025</v>
      </c>
      <c r="P51">
        <f>MAX(Table1[RATING COUNT])</f>
        <v>426973</v>
      </c>
    </row>
    <row r="52" spans="1:16">
      <c r="A52" t="s">
        <v>1660</v>
      </c>
      <c r="B52" t="s">
        <v>50</v>
      </c>
      <c r="D52" t="s">
        <v>1345</v>
      </c>
      <c r="E52" t="s">
        <v>1349</v>
      </c>
      <c r="F52" t="s">
        <v>1350</v>
      </c>
      <c r="G52" t="s">
        <v>1351</v>
      </c>
      <c r="H52" s="7">
        <v>1199</v>
      </c>
      <c r="I52" s="7">
        <v>2199</v>
      </c>
      <c r="J52" s="7" t="str">
        <f t="shared" si="2"/>
        <v>&gt;₹500</v>
      </c>
      <c r="K52" s="1">
        <v>0.45</v>
      </c>
      <c r="L52" s="1" t="str">
        <f t="shared" si="0"/>
        <v>&lt;50%</v>
      </c>
      <c r="M52">
        <v>4.4000000000000004</v>
      </c>
      <c r="N52" s="2">
        <v>24780</v>
      </c>
      <c r="O52" s="5">
        <f t="shared" si="1"/>
        <v>54491220</v>
      </c>
      <c r="P52">
        <f>MAX(Table1[RATING COUNT])</f>
        <v>426973</v>
      </c>
    </row>
    <row r="53" spans="1:16">
      <c r="A53" t="s">
        <v>1661</v>
      </c>
      <c r="B53" t="s">
        <v>51</v>
      </c>
      <c r="D53" t="s">
        <v>1345</v>
      </c>
      <c r="E53" t="s">
        <v>1346</v>
      </c>
      <c r="F53" t="s">
        <v>1347</v>
      </c>
      <c r="G53" t="s">
        <v>1348</v>
      </c>
      <c r="H53" s="7">
        <v>179</v>
      </c>
      <c r="I53" s="7">
        <v>500</v>
      </c>
      <c r="J53" s="7" t="str">
        <f t="shared" si="2"/>
        <v>₹200–₹500</v>
      </c>
      <c r="K53" s="1">
        <v>0.64</v>
      </c>
      <c r="L53" s="1" t="str">
        <f t="shared" si="0"/>
        <v>50% or More</v>
      </c>
      <c r="M53">
        <v>4.2</v>
      </c>
      <c r="N53" s="2">
        <v>92595</v>
      </c>
      <c r="O53" s="5">
        <f t="shared" si="1"/>
        <v>46297500</v>
      </c>
      <c r="P53">
        <f>MAX(Table1[RATING COUNT])</f>
        <v>426973</v>
      </c>
    </row>
    <row r="54" spans="1:16">
      <c r="A54" t="s">
        <v>1662</v>
      </c>
      <c r="B54" t="s">
        <v>52</v>
      </c>
      <c r="D54" t="s">
        <v>1345</v>
      </c>
      <c r="E54" t="s">
        <v>1346</v>
      </c>
      <c r="F54" t="s">
        <v>1347</v>
      </c>
      <c r="G54" t="s">
        <v>1348</v>
      </c>
      <c r="H54" s="7">
        <v>799</v>
      </c>
      <c r="I54" s="7">
        <v>2100</v>
      </c>
      <c r="J54" s="7" t="str">
        <f t="shared" si="2"/>
        <v>&gt;₹500</v>
      </c>
      <c r="K54" s="1">
        <v>0.62</v>
      </c>
      <c r="L54" s="1" t="str">
        <f t="shared" si="0"/>
        <v>50% or More</v>
      </c>
      <c r="M54">
        <v>4.3</v>
      </c>
      <c r="N54" s="2">
        <v>8188</v>
      </c>
      <c r="O54" s="5">
        <f t="shared" si="1"/>
        <v>17194800</v>
      </c>
      <c r="P54">
        <f>MAX(Table1[RATING COUNT])</f>
        <v>426973</v>
      </c>
    </row>
    <row r="55" spans="1:16">
      <c r="A55" t="s">
        <v>1663</v>
      </c>
      <c r="B55" t="s">
        <v>53</v>
      </c>
      <c r="D55" t="s">
        <v>1352</v>
      </c>
      <c r="E55" t="s">
        <v>1353</v>
      </c>
      <c r="F55" t="s">
        <v>1355</v>
      </c>
      <c r="G55" t="s">
        <v>1358</v>
      </c>
      <c r="H55" s="7">
        <v>6999</v>
      </c>
      <c r="I55" s="7">
        <v>12999</v>
      </c>
      <c r="J55" s="7" t="str">
        <f t="shared" si="2"/>
        <v>&gt;₹500</v>
      </c>
      <c r="K55" s="1">
        <v>0.46</v>
      </c>
      <c r="L55" s="1" t="str">
        <f t="shared" si="0"/>
        <v>&lt;50%</v>
      </c>
      <c r="M55">
        <v>4.2</v>
      </c>
      <c r="N55" s="2">
        <v>4003</v>
      </c>
      <c r="O55" s="5">
        <f t="shared" si="1"/>
        <v>52034997</v>
      </c>
      <c r="P55">
        <f>MAX(Table1[RATING COUNT])</f>
        <v>426973</v>
      </c>
    </row>
    <row r="56" spans="1:16">
      <c r="A56" t="s">
        <v>1664</v>
      </c>
      <c r="B56" t="s">
        <v>54</v>
      </c>
      <c r="D56" t="s">
        <v>1345</v>
      </c>
      <c r="E56" t="s">
        <v>1346</v>
      </c>
      <c r="F56" t="s">
        <v>1347</v>
      </c>
      <c r="G56" t="s">
        <v>1348</v>
      </c>
      <c r="H56" s="7">
        <v>199</v>
      </c>
      <c r="I56" s="7">
        <v>349</v>
      </c>
      <c r="J56" s="7" t="str">
        <f t="shared" si="2"/>
        <v>₹200–₹500</v>
      </c>
      <c r="K56" s="1">
        <v>0.43</v>
      </c>
      <c r="L56" s="1" t="str">
        <f t="shared" si="0"/>
        <v>&lt;50%</v>
      </c>
      <c r="M56">
        <v>4.0999999999999996</v>
      </c>
      <c r="N56" s="2">
        <v>314</v>
      </c>
      <c r="O56" s="5">
        <f t="shared" si="1"/>
        <v>109586</v>
      </c>
      <c r="P56">
        <f>MAX(Table1[RATING COUNT])</f>
        <v>426973</v>
      </c>
    </row>
    <row r="57" spans="1:16">
      <c r="A57" t="s">
        <v>1665</v>
      </c>
      <c r="B57" t="s">
        <v>55</v>
      </c>
      <c r="D57" t="s">
        <v>1352</v>
      </c>
      <c r="E57" t="s">
        <v>1353</v>
      </c>
      <c r="F57" t="s">
        <v>1354</v>
      </c>
      <c r="G57" t="s">
        <v>1357</v>
      </c>
      <c r="H57" s="7">
        <v>230</v>
      </c>
      <c r="I57" s="7">
        <v>499</v>
      </c>
      <c r="J57" s="7" t="str">
        <f t="shared" si="2"/>
        <v>₹200–₹500</v>
      </c>
      <c r="K57" s="1">
        <v>0.54</v>
      </c>
      <c r="L57" s="1" t="str">
        <f t="shared" si="0"/>
        <v>50% or More</v>
      </c>
      <c r="M57">
        <v>3.7</v>
      </c>
      <c r="N57" s="2">
        <v>2960</v>
      </c>
      <c r="O57" s="5">
        <f t="shared" si="1"/>
        <v>1477040</v>
      </c>
      <c r="P57">
        <f>MAX(Table1[RATING COUNT])</f>
        <v>426973</v>
      </c>
    </row>
    <row r="58" spans="1:16">
      <c r="A58" t="s">
        <v>1666</v>
      </c>
      <c r="B58" t="s">
        <v>56</v>
      </c>
      <c r="D58" t="s">
        <v>1345</v>
      </c>
      <c r="E58" t="s">
        <v>1349</v>
      </c>
      <c r="F58" t="s">
        <v>1350</v>
      </c>
      <c r="G58" t="s">
        <v>1351</v>
      </c>
      <c r="H58" s="7">
        <v>649</v>
      </c>
      <c r="I58" s="7">
        <v>1399</v>
      </c>
      <c r="J58" s="7" t="str">
        <f t="shared" si="2"/>
        <v>&gt;₹500</v>
      </c>
      <c r="K58" s="1">
        <v>0.54</v>
      </c>
      <c r="L58" s="1" t="str">
        <f t="shared" si="0"/>
        <v>50% or More</v>
      </c>
      <c r="M58">
        <v>4.2</v>
      </c>
      <c r="N58" s="2">
        <v>179691</v>
      </c>
      <c r="O58" s="5">
        <f t="shared" si="1"/>
        <v>251387709</v>
      </c>
      <c r="P58">
        <f>MAX(Table1[RATING COUNT])</f>
        <v>426973</v>
      </c>
    </row>
    <row r="59" spans="1:16">
      <c r="A59" t="s">
        <v>1667</v>
      </c>
      <c r="B59" t="s">
        <v>57</v>
      </c>
      <c r="D59" t="s">
        <v>1352</v>
      </c>
      <c r="E59" t="s">
        <v>1353</v>
      </c>
      <c r="F59" t="s">
        <v>1355</v>
      </c>
      <c r="G59" t="s">
        <v>1356</v>
      </c>
      <c r="H59" s="7">
        <v>15999</v>
      </c>
      <c r="I59" s="7">
        <v>21999</v>
      </c>
      <c r="J59" s="7" t="str">
        <f t="shared" si="2"/>
        <v>&gt;₹500</v>
      </c>
      <c r="K59" s="1">
        <v>0.27</v>
      </c>
      <c r="L59" s="1" t="str">
        <f t="shared" si="0"/>
        <v>&lt;50%</v>
      </c>
      <c r="M59">
        <v>4.2</v>
      </c>
      <c r="N59" s="2">
        <v>34899</v>
      </c>
      <c r="O59" s="5">
        <f t="shared" si="1"/>
        <v>767743101</v>
      </c>
      <c r="P59">
        <f>MAX(Table1[RATING COUNT])</f>
        <v>426973</v>
      </c>
    </row>
    <row r="60" spans="1:16">
      <c r="A60" t="s">
        <v>1668</v>
      </c>
      <c r="B60" t="s">
        <v>58</v>
      </c>
      <c r="D60" t="s">
        <v>1345</v>
      </c>
      <c r="E60" t="s">
        <v>1346</v>
      </c>
      <c r="F60" t="s">
        <v>1347</v>
      </c>
      <c r="G60" t="s">
        <v>1348</v>
      </c>
      <c r="H60" s="7">
        <v>348</v>
      </c>
      <c r="I60" s="7">
        <v>1499</v>
      </c>
      <c r="J60" s="7" t="str">
        <f t="shared" si="2"/>
        <v>&gt;₹500</v>
      </c>
      <c r="K60" s="1">
        <v>0.77</v>
      </c>
      <c r="L60" s="1" t="str">
        <f t="shared" si="0"/>
        <v>50% or More</v>
      </c>
      <c r="M60">
        <v>4.2</v>
      </c>
      <c r="N60" s="2">
        <v>656</v>
      </c>
      <c r="O60" s="5">
        <f t="shared" si="1"/>
        <v>983344</v>
      </c>
      <c r="P60">
        <f>MAX(Table1[RATING COUNT])</f>
        <v>426973</v>
      </c>
    </row>
    <row r="61" spans="1:16">
      <c r="A61" t="s">
        <v>1669</v>
      </c>
      <c r="B61" t="s">
        <v>59</v>
      </c>
      <c r="D61" t="s">
        <v>1345</v>
      </c>
      <c r="E61" t="s">
        <v>1346</v>
      </c>
      <c r="F61" t="s">
        <v>1347</v>
      </c>
      <c r="G61" t="s">
        <v>1348</v>
      </c>
      <c r="H61" s="7">
        <v>154</v>
      </c>
      <c r="I61" s="7">
        <v>349</v>
      </c>
      <c r="J61" s="7" t="str">
        <f t="shared" si="2"/>
        <v>₹200–₹500</v>
      </c>
      <c r="K61" s="1">
        <v>0.56000000000000005</v>
      </c>
      <c r="L61" s="1" t="str">
        <f t="shared" si="0"/>
        <v>50% or More</v>
      </c>
      <c r="M61">
        <v>4.3</v>
      </c>
      <c r="N61" s="2">
        <v>7064</v>
      </c>
      <c r="O61" s="5">
        <f t="shared" si="1"/>
        <v>2465336</v>
      </c>
      <c r="P61">
        <f>MAX(Table1[RATING COUNT])</f>
        <v>426973</v>
      </c>
    </row>
    <row r="62" spans="1:16">
      <c r="A62" t="s">
        <v>1670</v>
      </c>
      <c r="B62" t="s">
        <v>60</v>
      </c>
      <c r="D62" t="s">
        <v>1352</v>
      </c>
      <c r="E62" t="s">
        <v>1353</v>
      </c>
      <c r="F62" t="s">
        <v>1354</v>
      </c>
      <c r="G62" t="s">
        <v>1357</v>
      </c>
      <c r="H62" s="7">
        <v>179</v>
      </c>
      <c r="I62" s="7">
        <v>799</v>
      </c>
      <c r="J62" s="7" t="str">
        <f t="shared" si="2"/>
        <v>&gt;₹500</v>
      </c>
      <c r="K62" s="1">
        <v>0.78</v>
      </c>
      <c r="L62" s="1" t="str">
        <f t="shared" si="0"/>
        <v>50% or More</v>
      </c>
      <c r="M62">
        <v>3.7</v>
      </c>
      <c r="N62" s="2">
        <v>2201</v>
      </c>
      <c r="O62" s="5">
        <f t="shared" si="1"/>
        <v>1758599</v>
      </c>
      <c r="P62">
        <f>MAX(Table1[RATING COUNT])</f>
        <v>426973</v>
      </c>
    </row>
    <row r="63" spans="1:16">
      <c r="A63" t="s">
        <v>1671</v>
      </c>
      <c r="B63" t="s">
        <v>61</v>
      </c>
      <c r="D63" t="s">
        <v>1352</v>
      </c>
      <c r="E63" t="s">
        <v>1353</v>
      </c>
      <c r="F63" t="s">
        <v>1355</v>
      </c>
      <c r="G63" t="s">
        <v>1356</v>
      </c>
      <c r="H63" s="7">
        <v>32990</v>
      </c>
      <c r="I63" s="7">
        <v>47900</v>
      </c>
      <c r="J63" s="7" t="str">
        <f t="shared" si="2"/>
        <v>&gt;₹500</v>
      </c>
      <c r="K63" s="1">
        <v>0.31</v>
      </c>
      <c r="L63" s="1" t="str">
        <f t="shared" si="0"/>
        <v>&lt;50%</v>
      </c>
      <c r="M63">
        <v>4.3</v>
      </c>
      <c r="N63" s="2">
        <v>7109</v>
      </c>
      <c r="O63" s="5">
        <f t="shared" si="1"/>
        <v>340521100</v>
      </c>
      <c r="P63">
        <f>MAX(Table1[RATING COUNT])</f>
        <v>426973</v>
      </c>
    </row>
    <row r="64" spans="1:16">
      <c r="A64" t="s">
        <v>1672</v>
      </c>
      <c r="B64" t="s">
        <v>62</v>
      </c>
      <c r="D64" t="s">
        <v>1345</v>
      </c>
      <c r="E64" t="s">
        <v>1346</v>
      </c>
      <c r="F64" t="s">
        <v>1347</v>
      </c>
      <c r="G64" t="s">
        <v>1348</v>
      </c>
      <c r="H64" s="7">
        <v>139</v>
      </c>
      <c r="I64" s="7">
        <v>999</v>
      </c>
      <c r="J64" s="7" t="str">
        <f t="shared" si="2"/>
        <v>&gt;₹500</v>
      </c>
      <c r="K64" s="1">
        <v>0.86</v>
      </c>
      <c r="L64" s="1" t="str">
        <f t="shared" si="0"/>
        <v>50% or More</v>
      </c>
      <c r="M64">
        <v>4</v>
      </c>
      <c r="N64" s="2">
        <v>1313</v>
      </c>
      <c r="O64" s="5">
        <f t="shared" si="1"/>
        <v>1311687</v>
      </c>
      <c r="P64">
        <f>MAX(Table1[RATING COUNT])</f>
        <v>426973</v>
      </c>
    </row>
    <row r="65" spans="1:16">
      <c r="A65" t="s">
        <v>1673</v>
      </c>
      <c r="B65" t="s">
        <v>63</v>
      </c>
      <c r="D65" t="s">
        <v>1345</v>
      </c>
      <c r="E65" t="s">
        <v>1346</v>
      </c>
      <c r="F65" t="s">
        <v>1347</v>
      </c>
      <c r="G65" t="s">
        <v>1348</v>
      </c>
      <c r="H65" s="7">
        <v>329</v>
      </c>
      <c r="I65" s="7">
        <v>845</v>
      </c>
      <c r="J65" s="7" t="str">
        <f t="shared" si="2"/>
        <v>&gt;₹500</v>
      </c>
      <c r="K65" s="1">
        <v>0.61</v>
      </c>
      <c r="L65" s="1" t="str">
        <f t="shared" si="0"/>
        <v>50% or More</v>
      </c>
      <c r="M65">
        <v>4.2</v>
      </c>
      <c r="N65" s="2">
        <v>29746</v>
      </c>
      <c r="O65" s="5">
        <f t="shared" si="1"/>
        <v>25135370</v>
      </c>
      <c r="P65">
        <f>MAX(Table1[RATING COUNT])</f>
        <v>426973</v>
      </c>
    </row>
    <row r="66" spans="1:16">
      <c r="A66" t="s">
        <v>1674</v>
      </c>
      <c r="B66" t="s">
        <v>64</v>
      </c>
      <c r="D66" t="s">
        <v>1352</v>
      </c>
      <c r="E66" t="s">
        <v>1353</v>
      </c>
      <c r="F66" t="s">
        <v>1355</v>
      </c>
      <c r="G66" t="s">
        <v>1356</v>
      </c>
      <c r="H66" s="7">
        <v>13999</v>
      </c>
      <c r="I66" s="7">
        <v>24999</v>
      </c>
      <c r="J66" s="7" t="str">
        <f t="shared" si="2"/>
        <v>&gt;₹500</v>
      </c>
      <c r="K66" s="1">
        <v>0.44</v>
      </c>
      <c r="L66" s="1" t="str">
        <f t="shared" ref="L66:L129" si="3">IF(K66&gt;=50%,"50% or More","&lt;50%")</f>
        <v>&lt;50%</v>
      </c>
      <c r="M66">
        <v>4.2</v>
      </c>
      <c r="N66" s="2">
        <v>45238</v>
      </c>
      <c r="O66" s="5">
        <f t="shared" ref="O66:O129" si="4">I66*N66</f>
        <v>1130904762</v>
      </c>
      <c r="P66">
        <f>MAX(Table1[RATING COUNT])</f>
        <v>426973</v>
      </c>
    </row>
    <row r="67" spans="1:16">
      <c r="A67" t="s">
        <v>1675</v>
      </c>
      <c r="B67" t="s">
        <v>65</v>
      </c>
      <c r="D67" t="s">
        <v>1352</v>
      </c>
      <c r="E67" t="s">
        <v>1353</v>
      </c>
      <c r="F67" t="s">
        <v>1354</v>
      </c>
      <c r="G67" t="s">
        <v>1348</v>
      </c>
      <c r="H67" s="7">
        <v>309</v>
      </c>
      <c r="I67" s="7">
        <v>1400</v>
      </c>
      <c r="J67" s="7" t="str">
        <f t="shared" ref="J67:J130" si="5">IF(I67&lt;200, "&lt;₹200", IF(I67&lt;=500, "₹200–₹500", "&gt;₹500"))</f>
        <v>&gt;₹500</v>
      </c>
      <c r="K67" s="1">
        <v>0.78</v>
      </c>
      <c r="L67" s="1" t="str">
        <f t="shared" si="3"/>
        <v>50% or More</v>
      </c>
      <c r="M67">
        <v>4.4000000000000004</v>
      </c>
      <c r="N67" s="2">
        <v>426973</v>
      </c>
      <c r="O67" s="5">
        <f t="shared" si="4"/>
        <v>597762200</v>
      </c>
      <c r="P67">
        <f>MAX(Table1[RATING COUNT])</f>
        <v>426973</v>
      </c>
    </row>
    <row r="68" spans="1:16">
      <c r="A68" t="s">
        <v>1676</v>
      </c>
      <c r="B68" t="s">
        <v>66</v>
      </c>
      <c r="D68" t="s">
        <v>1345</v>
      </c>
      <c r="E68" t="s">
        <v>1346</v>
      </c>
      <c r="F68" t="s">
        <v>1347</v>
      </c>
      <c r="G68" t="s">
        <v>1348</v>
      </c>
      <c r="H68" s="7">
        <v>263</v>
      </c>
      <c r="I68" s="7">
        <v>699</v>
      </c>
      <c r="J68" s="7" t="str">
        <f t="shared" si="5"/>
        <v>&gt;₹500</v>
      </c>
      <c r="K68" s="1">
        <v>0.62</v>
      </c>
      <c r="L68" s="1" t="str">
        <f t="shared" si="3"/>
        <v>50% or More</v>
      </c>
      <c r="M68">
        <v>4.0999999999999996</v>
      </c>
      <c r="N68" s="2">
        <v>450</v>
      </c>
      <c r="O68" s="5">
        <f t="shared" si="4"/>
        <v>314550</v>
      </c>
      <c r="P68">
        <f>MAX(Table1[RATING COUNT])</f>
        <v>426973</v>
      </c>
    </row>
    <row r="69" spans="1:16">
      <c r="A69" t="s">
        <v>1677</v>
      </c>
      <c r="B69" t="s">
        <v>67</v>
      </c>
      <c r="D69" t="s">
        <v>1352</v>
      </c>
      <c r="E69" t="s">
        <v>1353</v>
      </c>
      <c r="F69" t="s">
        <v>1355</v>
      </c>
      <c r="G69" t="s">
        <v>1358</v>
      </c>
      <c r="H69" s="7">
        <v>7999</v>
      </c>
      <c r="I69" s="7">
        <v>14990</v>
      </c>
      <c r="J69" s="7" t="str">
        <f t="shared" si="5"/>
        <v>&gt;₹500</v>
      </c>
      <c r="K69" s="1">
        <v>0.47</v>
      </c>
      <c r="L69" s="1" t="str">
        <f t="shared" si="3"/>
        <v>&lt;50%</v>
      </c>
      <c r="M69">
        <v>4.3</v>
      </c>
      <c r="N69" s="2">
        <v>457</v>
      </c>
      <c r="O69" s="5">
        <f t="shared" si="4"/>
        <v>6850430</v>
      </c>
      <c r="P69">
        <f>MAX(Table1[RATING COUNT])</f>
        <v>426973</v>
      </c>
    </row>
    <row r="70" spans="1:16">
      <c r="A70" t="s">
        <v>1678</v>
      </c>
      <c r="B70" t="s">
        <v>68</v>
      </c>
      <c r="D70" t="s">
        <v>1352</v>
      </c>
      <c r="E70" t="s">
        <v>1353</v>
      </c>
      <c r="F70" t="s">
        <v>1354</v>
      </c>
      <c r="G70" t="s">
        <v>1359</v>
      </c>
      <c r="H70" s="7">
        <v>1599</v>
      </c>
      <c r="I70" s="7">
        <v>2999</v>
      </c>
      <c r="J70" s="7" t="str">
        <f t="shared" si="5"/>
        <v>&gt;₹500</v>
      </c>
      <c r="K70" s="1">
        <v>0.47</v>
      </c>
      <c r="L70" s="1" t="str">
        <f t="shared" si="3"/>
        <v>&lt;50%</v>
      </c>
      <c r="M70">
        <v>4.2</v>
      </c>
      <c r="N70" s="2">
        <v>2727</v>
      </c>
      <c r="O70" s="5">
        <f t="shared" si="4"/>
        <v>8178273</v>
      </c>
      <c r="P70">
        <f>MAX(Table1[RATING COUNT])</f>
        <v>426973</v>
      </c>
    </row>
    <row r="71" spans="1:16">
      <c r="A71" t="s">
        <v>1679</v>
      </c>
      <c r="B71" t="s">
        <v>69</v>
      </c>
      <c r="D71" t="s">
        <v>1345</v>
      </c>
      <c r="E71" t="s">
        <v>1346</v>
      </c>
      <c r="F71" t="s">
        <v>1347</v>
      </c>
      <c r="G71" t="s">
        <v>1348</v>
      </c>
      <c r="H71" s="7">
        <v>219</v>
      </c>
      <c r="I71" s="7">
        <v>700</v>
      </c>
      <c r="J71" s="7" t="str">
        <f t="shared" si="5"/>
        <v>&gt;₹500</v>
      </c>
      <c r="K71" s="1">
        <v>0.69</v>
      </c>
      <c r="L71" s="1" t="str">
        <f t="shared" si="3"/>
        <v>50% or More</v>
      </c>
      <c r="M71">
        <v>4.3</v>
      </c>
      <c r="N71" s="2">
        <v>20053</v>
      </c>
      <c r="O71" s="5">
        <f t="shared" si="4"/>
        <v>14037100</v>
      </c>
      <c r="P71">
        <f>MAX(Table1[RATING COUNT])</f>
        <v>426973</v>
      </c>
    </row>
    <row r="72" spans="1:16">
      <c r="A72" t="s">
        <v>1680</v>
      </c>
      <c r="B72" t="s">
        <v>70</v>
      </c>
      <c r="D72" t="s">
        <v>1345</v>
      </c>
      <c r="E72" t="s">
        <v>1346</v>
      </c>
      <c r="F72" t="s">
        <v>1347</v>
      </c>
      <c r="G72" t="s">
        <v>1348</v>
      </c>
      <c r="H72" s="7">
        <v>349</v>
      </c>
      <c r="I72" s="7">
        <v>899</v>
      </c>
      <c r="J72" s="7" t="str">
        <f t="shared" si="5"/>
        <v>&gt;₹500</v>
      </c>
      <c r="K72" s="1">
        <v>0.61</v>
      </c>
      <c r="L72" s="1" t="str">
        <f t="shared" si="3"/>
        <v>50% or More</v>
      </c>
      <c r="M72">
        <v>4.5</v>
      </c>
      <c r="N72" s="2">
        <v>149</v>
      </c>
      <c r="O72" s="5">
        <f t="shared" si="4"/>
        <v>133951</v>
      </c>
      <c r="P72">
        <f>MAX(Table1[RATING COUNT])</f>
        <v>426973</v>
      </c>
    </row>
    <row r="73" spans="1:16">
      <c r="A73" t="s">
        <v>1681</v>
      </c>
      <c r="B73" t="s">
        <v>71</v>
      </c>
      <c r="D73" t="s">
        <v>1345</v>
      </c>
      <c r="E73" t="s">
        <v>1346</v>
      </c>
      <c r="F73" t="s">
        <v>1347</v>
      </c>
      <c r="G73" t="s">
        <v>1348</v>
      </c>
      <c r="H73" s="7">
        <v>349</v>
      </c>
      <c r="I73" s="7">
        <v>599</v>
      </c>
      <c r="J73" s="7" t="str">
        <f t="shared" si="5"/>
        <v>&gt;₹500</v>
      </c>
      <c r="K73" s="1">
        <v>0.42</v>
      </c>
      <c r="L73" s="1" t="str">
        <f t="shared" si="3"/>
        <v>&lt;50%</v>
      </c>
      <c r="M73">
        <v>4.0999999999999996</v>
      </c>
      <c r="N73" s="2">
        <v>210</v>
      </c>
      <c r="O73" s="5">
        <f t="shared" si="4"/>
        <v>125790</v>
      </c>
      <c r="P73">
        <f>MAX(Table1[RATING COUNT])</f>
        <v>426973</v>
      </c>
    </row>
    <row r="74" spans="1:16">
      <c r="A74" t="s">
        <v>1682</v>
      </c>
      <c r="B74" t="s">
        <v>72</v>
      </c>
      <c r="D74" t="s">
        <v>1352</v>
      </c>
      <c r="E74" t="s">
        <v>1353</v>
      </c>
      <c r="F74" t="s">
        <v>1355</v>
      </c>
      <c r="G74" t="s">
        <v>1356</v>
      </c>
      <c r="H74" s="7">
        <v>26999</v>
      </c>
      <c r="I74" s="7">
        <v>42999</v>
      </c>
      <c r="J74" s="7" t="str">
        <f t="shared" si="5"/>
        <v>&gt;₹500</v>
      </c>
      <c r="K74" s="1">
        <v>0.37</v>
      </c>
      <c r="L74" s="1" t="str">
        <f t="shared" si="3"/>
        <v>&lt;50%</v>
      </c>
      <c r="M74">
        <v>4.2</v>
      </c>
      <c r="N74" s="2">
        <v>45238</v>
      </c>
      <c r="O74" s="5">
        <f t="shared" si="4"/>
        <v>1945188762</v>
      </c>
      <c r="P74">
        <f>MAX(Table1[RATING COUNT])</f>
        <v>426973</v>
      </c>
    </row>
    <row r="75" spans="1:16">
      <c r="A75" t="s">
        <v>1683</v>
      </c>
      <c r="B75" t="s">
        <v>73</v>
      </c>
      <c r="D75" t="s">
        <v>1345</v>
      </c>
      <c r="E75" t="s">
        <v>1346</v>
      </c>
      <c r="F75" t="s">
        <v>1347</v>
      </c>
      <c r="G75" t="s">
        <v>1348</v>
      </c>
      <c r="H75" s="7">
        <v>115</v>
      </c>
      <c r="I75" s="7">
        <v>499</v>
      </c>
      <c r="J75" s="7" t="str">
        <f t="shared" si="5"/>
        <v>₹200–₹500</v>
      </c>
      <c r="K75" s="1">
        <v>0.77</v>
      </c>
      <c r="L75" s="1" t="str">
        <f t="shared" si="3"/>
        <v>50% or More</v>
      </c>
      <c r="M75">
        <v>4</v>
      </c>
      <c r="N75" s="2">
        <v>7732</v>
      </c>
      <c r="O75" s="5">
        <f t="shared" si="4"/>
        <v>3858268</v>
      </c>
      <c r="P75">
        <f>MAX(Table1[RATING COUNT])</f>
        <v>426973</v>
      </c>
    </row>
    <row r="76" spans="1:16">
      <c r="A76" t="s">
        <v>1684</v>
      </c>
      <c r="B76" t="s">
        <v>74</v>
      </c>
      <c r="D76" t="s">
        <v>1345</v>
      </c>
      <c r="E76" t="s">
        <v>1346</v>
      </c>
      <c r="F76" t="s">
        <v>1347</v>
      </c>
      <c r="G76" t="s">
        <v>1348</v>
      </c>
      <c r="H76" s="7">
        <v>399</v>
      </c>
      <c r="I76" s="7">
        <v>999</v>
      </c>
      <c r="J76" s="7" t="str">
        <f t="shared" si="5"/>
        <v>&gt;₹500</v>
      </c>
      <c r="K76" s="1">
        <v>0.6</v>
      </c>
      <c r="L76" s="1" t="str">
        <f t="shared" si="3"/>
        <v>50% or More</v>
      </c>
      <c r="M76">
        <v>4.0999999999999996</v>
      </c>
      <c r="N76" s="2">
        <v>1780</v>
      </c>
      <c r="O76" s="5">
        <f t="shared" si="4"/>
        <v>1778220</v>
      </c>
      <c r="P76">
        <f>MAX(Table1[RATING COUNT])</f>
        <v>426973</v>
      </c>
    </row>
    <row r="77" spans="1:16">
      <c r="A77" t="s">
        <v>1685</v>
      </c>
      <c r="B77" t="s">
        <v>75</v>
      </c>
      <c r="D77" t="s">
        <v>1345</v>
      </c>
      <c r="E77" t="s">
        <v>1346</v>
      </c>
      <c r="F77" t="s">
        <v>1347</v>
      </c>
      <c r="G77" t="s">
        <v>1348</v>
      </c>
      <c r="H77" s="7">
        <v>199</v>
      </c>
      <c r="I77" s="7">
        <v>499</v>
      </c>
      <c r="J77" s="7" t="str">
        <f t="shared" si="5"/>
        <v>₹200–₹500</v>
      </c>
      <c r="K77" s="1">
        <v>0.6</v>
      </c>
      <c r="L77" s="1" t="str">
        <f t="shared" si="3"/>
        <v>50% or More</v>
      </c>
      <c r="M77">
        <v>4.0999999999999996</v>
      </c>
      <c r="N77" s="2">
        <v>602</v>
      </c>
      <c r="O77" s="5">
        <f t="shared" si="4"/>
        <v>300398</v>
      </c>
      <c r="P77">
        <f>MAX(Table1[RATING COUNT])</f>
        <v>426973</v>
      </c>
    </row>
    <row r="78" spans="1:16">
      <c r="A78" t="s">
        <v>1686</v>
      </c>
      <c r="B78" t="s">
        <v>76</v>
      </c>
      <c r="D78" t="s">
        <v>1345</v>
      </c>
      <c r="E78" t="s">
        <v>1346</v>
      </c>
      <c r="F78" t="s">
        <v>1347</v>
      </c>
      <c r="G78" t="s">
        <v>1348</v>
      </c>
      <c r="H78" s="7">
        <v>179</v>
      </c>
      <c r="I78" s="7">
        <v>399</v>
      </c>
      <c r="J78" s="7" t="str">
        <f t="shared" si="5"/>
        <v>₹200–₹500</v>
      </c>
      <c r="K78" s="1">
        <v>0.55000000000000004</v>
      </c>
      <c r="L78" s="1" t="str">
        <f t="shared" si="3"/>
        <v>50% or More</v>
      </c>
      <c r="M78">
        <v>4</v>
      </c>
      <c r="N78" s="2">
        <v>1423</v>
      </c>
      <c r="O78" s="5">
        <f t="shared" si="4"/>
        <v>567777</v>
      </c>
      <c r="P78">
        <f>MAX(Table1[RATING COUNT])</f>
        <v>426973</v>
      </c>
    </row>
    <row r="79" spans="1:16">
      <c r="A79" t="s">
        <v>1687</v>
      </c>
      <c r="B79" t="s">
        <v>77</v>
      </c>
      <c r="D79" t="s">
        <v>1352</v>
      </c>
      <c r="E79" t="s">
        <v>1353</v>
      </c>
      <c r="F79" t="s">
        <v>1355</v>
      </c>
      <c r="G79" t="s">
        <v>1356</v>
      </c>
      <c r="H79" s="7">
        <v>10901</v>
      </c>
      <c r="I79" s="7">
        <v>30990</v>
      </c>
      <c r="J79" s="7" t="str">
        <f t="shared" si="5"/>
        <v>&gt;₹500</v>
      </c>
      <c r="K79" s="1">
        <v>0.65</v>
      </c>
      <c r="L79" s="1" t="str">
        <f t="shared" si="3"/>
        <v>50% or More</v>
      </c>
      <c r="M79">
        <v>4.0999999999999996</v>
      </c>
      <c r="N79" s="2">
        <v>398</v>
      </c>
      <c r="O79" s="5">
        <f t="shared" si="4"/>
        <v>12334020</v>
      </c>
      <c r="P79">
        <f>MAX(Table1[RATING COUNT])</f>
        <v>426973</v>
      </c>
    </row>
    <row r="80" spans="1:16">
      <c r="A80" t="s">
        <v>1688</v>
      </c>
      <c r="B80" t="s">
        <v>78</v>
      </c>
      <c r="D80" t="s">
        <v>1345</v>
      </c>
      <c r="E80" t="s">
        <v>1346</v>
      </c>
      <c r="F80" t="s">
        <v>1347</v>
      </c>
      <c r="G80" t="s">
        <v>1348</v>
      </c>
      <c r="H80" s="7">
        <v>209</v>
      </c>
      <c r="I80" s="7">
        <v>499</v>
      </c>
      <c r="J80" s="7" t="str">
        <f t="shared" si="5"/>
        <v>₹200–₹500</v>
      </c>
      <c r="K80" s="1">
        <v>0.57999999999999996</v>
      </c>
      <c r="L80" s="1" t="str">
        <f t="shared" si="3"/>
        <v>50% or More</v>
      </c>
      <c r="M80">
        <v>3.9</v>
      </c>
      <c r="N80" s="2">
        <v>536</v>
      </c>
      <c r="O80" s="5">
        <f t="shared" si="4"/>
        <v>267464</v>
      </c>
      <c r="P80">
        <f>MAX(Table1[RATING COUNT])</f>
        <v>426973</v>
      </c>
    </row>
    <row r="81" spans="1:16">
      <c r="A81" t="s">
        <v>1689</v>
      </c>
      <c r="B81" t="s">
        <v>79</v>
      </c>
      <c r="D81" t="s">
        <v>1352</v>
      </c>
      <c r="E81" t="s">
        <v>1353</v>
      </c>
      <c r="F81" t="s">
        <v>1354</v>
      </c>
      <c r="G81" t="s">
        <v>1357</v>
      </c>
      <c r="H81" s="7">
        <v>1434</v>
      </c>
      <c r="I81" s="7">
        <v>3999</v>
      </c>
      <c r="J81" s="7" t="str">
        <f t="shared" si="5"/>
        <v>&gt;₹500</v>
      </c>
      <c r="K81" s="1">
        <v>0.64</v>
      </c>
      <c r="L81" s="1" t="str">
        <f t="shared" si="3"/>
        <v>50% or More</v>
      </c>
      <c r="M81">
        <v>4</v>
      </c>
      <c r="N81" s="2">
        <v>32</v>
      </c>
      <c r="O81" s="5">
        <f t="shared" si="4"/>
        <v>127968</v>
      </c>
      <c r="P81">
        <f>MAX(Table1[RATING COUNT])</f>
        <v>426973</v>
      </c>
    </row>
    <row r="82" spans="1:16">
      <c r="A82" t="s">
        <v>1690</v>
      </c>
      <c r="B82" t="s">
        <v>80</v>
      </c>
      <c r="D82" t="s">
        <v>1345</v>
      </c>
      <c r="E82" t="s">
        <v>1346</v>
      </c>
      <c r="F82" t="s">
        <v>1347</v>
      </c>
      <c r="G82" t="s">
        <v>1348</v>
      </c>
      <c r="H82" s="7">
        <v>399</v>
      </c>
      <c r="I82" s="7">
        <v>1099</v>
      </c>
      <c r="J82" s="7" t="str">
        <f t="shared" si="5"/>
        <v>&gt;₹500</v>
      </c>
      <c r="K82" s="1">
        <v>0.64</v>
      </c>
      <c r="L82" s="1" t="str">
        <f t="shared" si="3"/>
        <v>50% or More</v>
      </c>
      <c r="M82">
        <v>4.2</v>
      </c>
      <c r="N82" s="2">
        <v>24269</v>
      </c>
      <c r="O82" s="5">
        <f t="shared" si="4"/>
        <v>26671631</v>
      </c>
      <c r="P82">
        <f>MAX(Table1[RATING COUNT])</f>
        <v>426973</v>
      </c>
    </row>
    <row r="83" spans="1:16">
      <c r="A83" t="s">
        <v>1691</v>
      </c>
      <c r="B83" t="s">
        <v>81</v>
      </c>
      <c r="D83" t="s">
        <v>1345</v>
      </c>
      <c r="E83" t="s">
        <v>1346</v>
      </c>
      <c r="F83" t="s">
        <v>1347</v>
      </c>
      <c r="G83" t="s">
        <v>1348</v>
      </c>
      <c r="H83" s="7">
        <v>139</v>
      </c>
      <c r="I83" s="7">
        <v>249</v>
      </c>
      <c r="J83" s="7" t="str">
        <f t="shared" si="5"/>
        <v>₹200–₹500</v>
      </c>
      <c r="K83" s="1">
        <v>0.44</v>
      </c>
      <c r="L83" s="1" t="str">
        <f t="shared" si="3"/>
        <v>&lt;50%</v>
      </c>
      <c r="M83">
        <v>4</v>
      </c>
      <c r="N83" s="2">
        <v>9378</v>
      </c>
      <c r="O83" s="5">
        <f t="shared" si="4"/>
        <v>2335122</v>
      </c>
      <c r="P83">
        <f>MAX(Table1[RATING COUNT])</f>
        <v>426973</v>
      </c>
    </row>
    <row r="84" spans="1:16">
      <c r="A84" t="s">
        <v>1692</v>
      </c>
      <c r="B84" t="s">
        <v>82</v>
      </c>
      <c r="D84" t="s">
        <v>1352</v>
      </c>
      <c r="E84" t="s">
        <v>1353</v>
      </c>
      <c r="F84" t="s">
        <v>1355</v>
      </c>
      <c r="G84" t="s">
        <v>1356</v>
      </c>
      <c r="H84" s="7">
        <v>7299</v>
      </c>
      <c r="I84" s="7">
        <v>19125</v>
      </c>
      <c r="J84" s="7" t="str">
        <f t="shared" si="5"/>
        <v>&gt;₹500</v>
      </c>
      <c r="K84" s="1">
        <v>0.62</v>
      </c>
      <c r="L84" s="1" t="str">
        <f t="shared" si="3"/>
        <v>50% or More</v>
      </c>
      <c r="M84">
        <v>3.4</v>
      </c>
      <c r="N84" s="2">
        <v>902</v>
      </c>
      <c r="O84" s="5">
        <f t="shared" si="4"/>
        <v>17250750</v>
      </c>
      <c r="P84">
        <f>MAX(Table1[RATING COUNT])</f>
        <v>426973</v>
      </c>
    </row>
    <row r="85" spans="1:16">
      <c r="A85" t="s">
        <v>1693</v>
      </c>
      <c r="B85" t="s">
        <v>83</v>
      </c>
      <c r="D85" t="s">
        <v>1345</v>
      </c>
      <c r="E85" t="s">
        <v>1346</v>
      </c>
      <c r="F85" t="s">
        <v>1347</v>
      </c>
      <c r="G85" t="s">
        <v>1348</v>
      </c>
      <c r="H85" s="7">
        <v>299</v>
      </c>
      <c r="I85" s="7">
        <v>799</v>
      </c>
      <c r="J85" s="7" t="str">
        <f t="shared" si="5"/>
        <v>&gt;₹500</v>
      </c>
      <c r="K85" s="1">
        <v>0.63</v>
      </c>
      <c r="L85" s="1" t="str">
        <f t="shared" si="3"/>
        <v>50% or More</v>
      </c>
      <c r="M85">
        <v>4.4000000000000004</v>
      </c>
      <c r="N85" s="2">
        <v>28791</v>
      </c>
      <c r="O85" s="5">
        <f t="shared" si="4"/>
        <v>23004009</v>
      </c>
      <c r="P85">
        <f>MAX(Table1[RATING COUNT])</f>
        <v>426973</v>
      </c>
    </row>
    <row r="86" spans="1:16">
      <c r="A86" t="s">
        <v>1694</v>
      </c>
      <c r="B86" t="s">
        <v>84</v>
      </c>
      <c r="D86" t="s">
        <v>1345</v>
      </c>
      <c r="E86" t="s">
        <v>1346</v>
      </c>
      <c r="F86" t="s">
        <v>1347</v>
      </c>
      <c r="G86" t="s">
        <v>1348</v>
      </c>
      <c r="H86" s="7">
        <v>325</v>
      </c>
      <c r="I86" s="7">
        <v>1299</v>
      </c>
      <c r="J86" s="7" t="str">
        <f t="shared" si="5"/>
        <v>&gt;₹500</v>
      </c>
      <c r="K86" s="1">
        <v>0.75</v>
      </c>
      <c r="L86" s="1" t="str">
        <f t="shared" si="3"/>
        <v>50% or More</v>
      </c>
      <c r="M86">
        <v>4.2</v>
      </c>
      <c r="N86" s="2">
        <v>10576</v>
      </c>
      <c r="O86" s="5">
        <f t="shared" si="4"/>
        <v>13738224</v>
      </c>
      <c r="P86">
        <f>MAX(Table1[RATING COUNT])</f>
        <v>426973</v>
      </c>
    </row>
    <row r="87" spans="1:16">
      <c r="A87" t="s">
        <v>1695</v>
      </c>
      <c r="B87" t="s">
        <v>85</v>
      </c>
      <c r="D87" t="s">
        <v>1352</v>
      </c>
      <c r="E87" t="s">
        <v>1353</v>
      </c>
      <c r="F87" t="s">
        <v>1355</v>
      </c>
      <c r="G87" t="s">
        <v>1356</v>
      </c>
      <c r="H87" s="7">
        <v>29999</v>
      </c>
      <c r="I87" s="7">
        <v>39999</v>
      </c>
      <c r="J87" s="7" t="str">
        <f t="shared" si="5"/>
        <v>&gt;₹500</v>
      </c>
      <c r="K87" s="1">
        <v>0.25</v>
      </c>
      <c r="L87" s="1" t="str">
        <f t="shared" si="3"/>
        <v>&lt;50%</v>
      </c>
      <c r="M87">
        <v>4.2</v>
      </c>
      <c r="N87" s="2">
        <v>7298</v>
      </c>
      <c r="O87" s="5">
        <f t="shared" si="4"/>
        <v>291912702</v>
      </c>
      <c r="P87">
        <f>MAX(Table1[RATING COUNT])</f>
        <v>426973</v>
      </c>
    </row>
    <row r="88" spans="1:16">
      <c r="A88" t="s">
        <v>1696</v>
      </c>
      <c r="B88" t="s">
        <v>86</v>
      </c>
      <c r="D88" t="s">
        <v>1352</v>
      </c>
      <c r="E88" t="s">
        <v>1353</v>
      </c>
      <c r="F88" t="s">
        <v>1355</v>
      </c>
      <c r="G88" t="s">
        <v>1356</v>
      </c>
      <c r="H88" s="7">
        <v>27999</v>
      </c>
      <c r="I88" s="7">
        <v>40990</v>
      </c>
      <c r="J88" s="7" t="str">
        <f t="shared" si="5"/>
        <v>&gt;₹500</v>
      </c>
      <c r="K88" s="1">
        <v>0.32</v>
      </c>
      <c r="L88" s="1" t="str">
        <f t="shared" si="3"/>
        <v>&lt;50%</v>
      </c>
      <c r="M88">
        <v>4.3</v>
      </c>
      <c r="N88" s="2">
        <v>4703</v>
      </c>
      <c r="O88" s="5">
        <f t="shared" si="4"/>
        <v>192775970</v>
      </c>
      <c r="P88">
        <f>MAX(Table1[RATING COUNT])</f>
        <v>426973</v>
      </c>
    </row>
    <row r="89" spans="1:16">
      <c r="A89" t="s">
        <v>1697</v>
      </c>
      <c r="B89" t="s">
        <v>87</v>
      </c>
      <c r="D89" t="s">
        <v>1352</v>
      </c>
      <c r="E89" t="s">
        <v>1353</v>
      </c>
      <c r="F89" t="s">
        <v>1355</v>
      </c>
      <c r="G89" t="s">
        <v>1356</v>
      </c>
      <c r="H89" s="7">
        <v>30990</v>
      </c>
      <c r="I89" s="7">
        <v>52900</v>
      </c>
      <c r="J89" s="7" t="str">
        <f t="shared" si="5"/>
        <v>&gt;₹500</v>
      </c>
      <c r="K89" s="1">
        <v>0.41</v>
      </c>
      <c r="L89" s="1" t="str">
        <f t="shared" si="3"/>
        <v>&lt;50%</v>
      </c>
      <c r="M89">
        <v>4.3</v>
      </c>
      <c r="N89" s="2">
        <v>7109</v>
      </c>
      <c r="O89" s="5">
        <f t="shared" si="4"/>
        <v>376066100</v>
      </c>
      <c r="P89">
        <f>MAX(Table1[RATING COUNT])</f>
        <v>426973</v>
      </c>
    </row>
    <row r="90" spans="1:16">
      <c r="A90" t="s">
        <v>1698</v>
      </c>
      <c r="B90" t="s">
        <v>88</v>
      </c>
      <c r="D90" t="s">
        <v>1345</v>
      </c>
      <c r="E90" t="s">
        <v>1346</v>
      </c>
      <c r="F90" t="s">
        <v>1347</v>
      </c>
      <c r="G90" t="s">
        <v>1348</v>
      </c>
      <c r="H90" s="7">
        <v>199</v>
      </c>
      <c r="I90" s="7">
        <v>999</v>
      </c>
      <c r="J90" s="7" t="str">
        <f t="shared" si="5"/>
        <v>&gt;₹500</v>
      </c>
      <c r="K90" s="1">
        <v>0.8</v>
      </c>
      <c r="L90" s="1" t="str">
        <f t="shared" si="3"/>
        <v>50% or More</v>
      </c>
      <c r="M90">
        <v>4.5</v>
      </c>
      <c r="N90" s="2">
        <v>127</v>
      </c>
      <c r="O90" s="5">
        <f t="shared" si="4"/>
        <v>126873</v>
      </c>
      <c r="P90">
        <f>MAX(Table1[RATING COUNT])</f>
        <v>426973</v>
      </c>
    </row>
    <row r="91" spans="1:16">
      <c r="A91" t="s">
        <v>1699</v>
      </c>
      <c r="B91" t="s">
        <v>89</v>
      </c>
      <c r="D91" t="s">
        <v>1345</v>
      </c>
      <c r="E91" t="s">
        <v>1346</v>
      </c>
      <c r="F91" t="s">
        <v>1347</v>
      </c>
      <c r="G91" t="s">
        <v>1348</v>
      </c>
      <c r="H91" s="7">
        <v>649</v>
      </c>
      <c r="I91" s="7">
        <v>1999</v>
      </c>
      <c r="J91" s="7" t="str">
        <f t="shared" si="5"/>
        <v>&gt;₹500</v>
      </c>
      <c r="K91" s="1">
        <v>0.68</v>
      </c>
      <c r="L91" s="1" t="str">
        <f t="shared" si="3"/>
        <v>50% or More</v>
      </c>
      <c r="M91">
        <v>4.2</v>
      </c>
      <c r="N91" s="2">
        <v>24269</v>
      </c>
      <c r="O91" s="5">
        <f t="shared" si="4"/>
        <v>48513731</v>
      </c>
      <c r="P91">
        <f>MAX(Table1[RATING COUNT])</f>
        <v>426973</v>
      </c>
    </row>
    <row r="92" spans="1:16">
      <c r="A92" t="s">
        <v>1700</v>
      </c>
      <c r="B92" t="s">
        <v>90</v>
      </c>
      <c r="D92" t="s">
        <v>1345</v>
      </c>
      <c r="E92" t="s">
        <v>1349</v>
      </c>
      <c r="F92" t="s">
        <v>1350</v>
      </c>
      <c r="G92" t="s">
        <v>1351</v>
      </c>
      <c r="H92" s="7">
        <v>269</v>
      </c>
      <c r="I92" s="7">
        <v>800</v>
      </c>
      <c r="J92" s="7" t="str">
        <f t="shared" si="5"/>
        <v>&gt;₹500</v>
      </c>
      <c r="K92" s="1">
        <v>0.66</v>
      </c>
      <c r="L92" s="1" t="str">
        <f t="shared" si="3"/>
        <v>50% or More</v>
      </c>
      <c r="M92">
        <v>3.6</v>
      </c>
      <c r="N92" s="2">
        <v>10134</v>
      </c>
      <c r="O92" s="5">
        <f t="shared" si="4"/>
        <v>8107200</v>
      </c>
      <c r="P92">
        <f>MAX(Table1[RATING COUNT])</f>
        <v>426973</v>
      </c>
    </row>
    <row r="93" spans="1:16">
      <c r="A93" t="s">
        <v>1701</v>
      </c>
      <c r="B93" t="s">
        <v>91</v>
      </c>
      <c r="D93" t="s">
        <v>1352</v>
      </c>
      <c r="E93" t="s">
        <v>1353</v>
      </c>
      <c r="F93" t="s">
        <v>1355</v>
      </c>
      <c r="G93" t="s">
        <v>1356</v>
      </c>
      <c r="H93" s="7">
        <v>24999</v>
      </c>
      <c r="I93" s="7">
        <v>31999</v>
      </c>
      <c r="J93" s="7" t="str">
        <f t="shared" si="5"/>
        <v>&gt;₹500</v>
      </c>
      <c r="K93" s="1">
        <v>0.22</v>
      </c>
      <c r="L93" s="1" t="str">
        <f t="shared" si="3"/>
        <v>&lt;50%</v>
      </c>
      <c r="M93">
        <v>4.2</v>
      </c>
      <c r="N93" s="2">
        <v>34899</v>
      </c>
      <c r="O93" s="5">
        <f t="shared" si="4"/>
        <v>1116733101</v>
      </c>
      <c r="P93">
        <f>MAX(Table1[RATING COUNT])</f>
        <v>426973</v>
      </c>
    </row>
    <row r="94" spans="1:16">
      <c r="A94" t="s">
        <v>1702</v>
      </c>
      <c r="B94" t="s">
        <v>92</v>
      </c>
      <c r="D94" t="s">
        <v>1345</v>
      </c>
      <c r="E94" t="s">
        <v>1346</v>
      </c>
      <c r="F94" t="s">
        <v>1347</v>
      </c>
      <c r="G94" t="s">
        <v>1348</v>
      </c>
      <c r="H94" s="7">
        <v>299</v>
      </c>
      <c r="I94" s="7">
        <v>699</v>
      </c>
      <c r="J94" s="7" t="str">
        <f t="shared" si="5"/>
        <v>&gt;₹500</v>
      </c>
      <c r="K94" s="1">
        <v>0.56999999999999995</v>
      </c>
      <c r="L94" s="1" t="str">
        <f t="shared" si="3"/>
        <v>50% or More</v>
      </c>
      <c r="M94">
        <v>4.2</v>
      </c>
      <c r="N94" s="2">
        <v>94363</v>
      </c>
      <c r="O94" s="5">
        <f t="shared" si="4"/>
        <v>65959737</v>
      </c>
      <c r="P94">
        <f>MAX(Table1[RATING COUNT])</f>
        <v>426973</v>
      </c>
    </row>
    <row r="95" spans="1:16">
      <c r="A95" t="s">
        <v>1703</v>
      </c>
      <c r="B95" t="s">
        <v>93</v>
      </c>
      <c r="D95" t="s">
        <v>1345</v>
      </c>
      <c r="E95" t="s">
        <v>1346</v>
      </c>
      <c r="F95" t="s">
        <v>1347</v>
      </c>
      <c r="G95" t="s">
        <v>1348</v>
      </c>
      <c r="H95" s="7">
        <v>199</v>
      </c>
      <c r="I95" s="7">
        <v>999</v>
      </c>
      <c r="J95" s="7" t="str">
        <f t="shared" si="5"/>
        <v>&gt;₹500</v>
      </c>
      <c r="K95" s="1">
        <v>0.8</v>
      </c>
      <c r="L95" s="1" t="str">
        <f t="shared" si="3"/>
        <v>50% or More</v>
      </c>
      <c r="M95">
        <v>4.0999999999999996</v>
      </c>
      <c r="N95" s="2">
        <v>425</v>
      </c>
      <c r="O95" s="5">
        <f t="shared" si="4"/>
        <v>424575</v>
      </c>
      <c r="P95">
        <f>MAX(Table1[RATING COUNT])</f>
        <v>426973</v>
      </c>
    </row>
    <row r="96" spans="1:16">
      <c r="A96" t="s">
        <v>1704</v>
      </c>
      <c r="B96" t="s">
        <v>94</v>
      </c>
      <c r="D96" t="s">
        <v>1352</v>
      </c>
      <c r="E96" t="s">
        <v>1353</v>
      </c>
      <c r="F96" t="s">
        <v>1355</v>
      </c>
      <c r="G96" t="s">
        <v>1356</v>
      </c>
      <c r="H96" s="7">
        <v>18990</v>
      </c>
      <c r="I96" s="7">
        <v>40990</v>
      </c>
      <c r="J96" s="7" t="str">
        <f t="shared" si="5"/>
        <v>&gt;₹500</v>
      </c>
      <c r="K96" s="1">
        <v>0.54</v>
      </c>
      <c r="L96" s="1" t="str">
        <f t="shared" si="3"/>
        <v>50% or More</v>
      </c>
      <c r="M96">
        <v>4.2</v>
      </c>
      <c r="N96" s="2">
        <v>6659</v>
      </c>
      <c r="O96" s="5">
        <f t="shared" si="4"/>
        <v>272952410</v>
      </c>
      <c r="P96">
        <f>MAX(Table1[RATING COUNT])</f>
        <v>426973</v>
      </c>
    </row>
    <row r="97" spans="1:16">
      <c r="A97" t="s">
        <v>1705</v>
      </c>
      <c r="B97" t="s">
        <v>95</v>
      </c>
      <c r="D97" t="s">
        <v>1345</v>
      </c>
      <c r="E97" t="s">
        <v>1349</v>
      </c>
      <c r="F97" t="s">
        <v>1350</v>
      </c>
      <c r="G97" t="s">
        <v>1351</v>
      </c>
      <c r="H97" s="7">
        <v>290</v>
      </c>
      <c r="I97" s="7">
        <v>349</v>
      </c>
      <c r="J97" s="7" t="str">
        <f t="shared" si="5"/>
        <v>₹200–₹500</v>
      </c>
      <c r="K97" s="1">
        <v>0.17</v>
      </c>
      <c r="L97" s="1" t="str">
        <f t="shared" si="3"/>
        <v>&lt;50%</v>
      </c>
      <c r="M97">
        <v>3.7</v>
      </c>
      <c r="N97" s="2">
        <v>1977</v>
      </c>
      <c r="O97" s="5">
        <f t="shared" si="4"/>
        <v>689973</v>
      </c>
      <c r="P97">
        <f>MAX(Table1[RATING COUNT])</f>
        <v>426973</v>
      </c>
    </row>
    <row r="98" spans="1:16">
      <c r="A98" t="s">
        <v>1706</v>
      </c>
      <c r="B98" t="s">
        <v>96</v>
      </c>
      <c r="D98" t="s">
        <v>1352</v>
      </c>
      <c r="E98" t="s">
        <v>1353</v>
      </c>
      <c r="F98" t="s">
        <v>1354</v>
      </c>
      <c r="G98" t="s">
        <v>1357</v>
      </c>
      <c r="H98" s="7">
        <v>249</v>
      </c>
      <c r="I98" s="7">
        <v>799</v>
      </c>
      <c r="J98" s="7" t="str">
        <f t="shared" si="5"/>
        <v>&gt;₹500</v>
      </c>
      <c r="K98" s="1">
        <v>0.69</v>
      </c>
      <c r="L98" s="1" t="str">
        <f t="shared" si="3"/>
        <v>50% or More</v>
      </c>
      <c r="M98">
        <v>3.8</v>
      </c>
      <c r="N98" s="2">
        <v>1079</v>
      </c>
      <c r="O98" s="5">
        <f t="shared" si="4"/>
        <v>862121</v>
      </c>
      <c r="P98">
        <f>MAX(Table1[RATING COUNT])</f>
        <v>426973</v>
      </c>
    </row>
    <row r="99" spans="1:16">
      <c r="A99" t="s">
        <v>1707</v>
      </c>
      <c r="B99" t="s">
        <v>97</v>
      </c>
      <c r="D99" t="s">
        <v>1345</v>
      </c>
      <c r="E99" t="s">
        <v>1346</v>
      </c>
      <c r="F99" t="s">
        <v>1347</v>
      </c>
      <c r="G99" t="s">
        <v>1348</v>
      </c>
      <c r="H99" s="7">
        <v>345</v>
      </c>
      <c r="I99" s="7">
        <v>999</v>
      </c>
      <c r="J99" s="7" t="str">
        <f t="shared" si="5"/>
        <v>&gt;₹500</v>
      </c>
      <c r="K99" s="1">
        <v>0.65</v>
      </c>
      <c r="L99" s="1" t="str">
        <f t="shared" si="3"/>
        <v>50% or More</v>
      </c>
      <c r="M99">
        <v>3.7</v>
      </c>
      <c r="N99" s="2">
        <v>1097</v>
      </c>
      <c r="O99" s="5">
        <f t="shared" si="4"/>
        <v>1095903</v>
      </c>
      <c r="P99">
        <f>MAX(Table1[RATING COUNT])</f>
        <v>426973</v>
      </c>
    </row>
    <row r="100" spans="1:16">
      <c r="A100" t="s">
        <v>1708</v>
      </c>
      <c r="B100" t="s">
        <v>98</v>
      </c>
      <c r="D100" t="s">
        <v>1345</v>
      </c>
      <c r="E100" t="s">
        <v>1349</v>
      </c>
      <c r="F100" t="s">
        <v>1350</v>
      </c>
      <c r="G100" t="s">
        <v>1351</v>
      </c>
      <c r="H100" s="7">
        <v>1099</v>
      </c>
      <c r="I100" s="7">
        <v>1899</v>
      </c>
      <c r="J100" s="7" t="str">
        <f t="shared" si="5"/>
        <v>&gt;₹500</v>
      </c>
      <c r="K100" s="1">
        <v>0.42</v>
      </c>
      <c r="L100" s="1" t="str">
        <f t="shared" si="3"/>
        <v>&lt;50%</v>
      </c>
      <c r="M100">
        <v>4.5</v>
      </c>
      <c r="N100" s="2">
        <v>22420</v>
      </c>
      <c r="O100" s="5">
        <f t="shared" si="4"/>
        <v>42575580</v>
      </c>
      <c r="P100">
        <f>MAX(Table1[RATING COUNT])</f>
        <v>426973</v>
      </c>
    </row>
    <row r="101" spans="1:16">
      <c r="A101" t="s">
        <v>1709</v>
      </c>
      <c r="B101" t="s">
        <v>99</v>
      </c>
      <c r="D101" t="s">
        <v>1345</v>
      </c>
      <c r="E101" t="s">
        <v>1346</v>
      </c>
      <c r="F101" t="s">
        <v>1347</v>
      </c>
      <c r="G101" t="s">
        <v>1348</v>
      </c>
      <c r="H101" s="7">
        <v>719</v>
      </c>
      <c r="I101" s="7">
        <v>1499</v>
      </c>
      <c r="J101" s="7" t="str">
        <f t="shared" si="5"/>
        <v>&gt;₹500</v>
      </c>
      <c r="K101" s="1">
        <v>0.52</v>
      </c>
      <c r="L101" s="1" t="str">
        <f t="shared" si="3"/>
        <v>50% or More</v>
      </c>
      <c r="M101">
        <v>4.0999999999999996</v>
      </c>
      <c r="N101" s="2">
        <v>1045</v>
      </c>
      <c r="O101" s="5">
        <f t="shared" si="4"/>
        <v>1566455</v>
      </c>
      <c r="P101">
        <f>MAX(Table1[RATING COUNT])</f>
        <v>426973</v>
      </c>
    </row>
    <row r="102" spans="1:16">
      <c r="A102" t="s">
        <v>1710</v>
      </c>
      <c r="B102" t="s">
        <v>100</v>
      </c>
      <c r="D102" t="s">
        <v>1352</v>
      </c>
      <c r="E102" t="s">
        <v>1353</v>
      </c>
      <c r="F102" t="s">
        <v>1354</v>
      </c>
      <c r="G102" t="s">
        <v>1357</v>
      </c>
      <c r="H102" s="7">
        <v>349</v>
      </c>
      <c r="I102" s="7">
        <v>1499</v>
      </c>
      <c r="J102" s="7" t="str">
        <f t="shared" si="5"/>
        <v>&gt;₹500</v>
      </c>
      <c r="K102" s="1">
        <v>0.77</v>
      </c>
      <c r="L102" s="1" t="str">
        <f t="shared" si="3"/>
        <v>50% or More</v>
      </c>
      <c r="M102">
        <v>4.3</v>
      </c>
      <c r="N102" s="2">
        <v>4145</v>
      </c>
      <c r="O102" s="5">
        <f t="shared" si="4"/>
        <v>6213355</v>
      </c>
      <c r="P102">
        <f>MAX(Table1[RATING COUNT])</f>
        <v>426973</v>
      </c>
    </row>
    <row r="103" spans="1:16">
      <c r="A103" t="s">
        <v>1711</v>
      </c>
      <c r="B103" t="s">
        <v>101</v>
      </c>
      <c r="D103" t="s">
        <v>1345</v>
      </c>
      <c r="E103" t="s">
        <v>1346</v>
      </c>
      <c r="F103" t="s">
        <v>1347</v>
      </c>
      <c r="G103" t="s">
        <v>1348</v>
      </c>
      <c r="H103" s="7">
        <v>849</v>
      </c>
      <c r="I103" s="7">
        <v>1809</v>
      </c>
      <c r="J103" s="7" t="str">
        <f t="shared" si="5"/>
        <v>&gt;₹500</v>
      </c>
      <c r="K103" s="1">
        <v>0.53</v>
      </c>
      <c r="L103" s="1" t="str">
        <f t="shared" si="3"/>
        <v>50% or More</v>
      </c>
      <c r="M103">
        <v>4.3</v>
      </c>
      <c r="N103" s="2">
        <v>6547</v>
      </c>
      <c r="O103" s="5">
        <f t="shared" si="4"/>
        <v>11843523</v>
      </c>
      <c r="P103">
        <f>MAX(Table1[RATING COUNT])</f>
        <v>426973</v>
      </c>
    </row>
    <row r="104" spans="1:16">
      <c r="A104" t="s">
        <v>1712</v>
      </c>
      <c r="B104" t="s">
        <v>102</v>
      </c>
      <c r="D104" t="s">
        <v>1352</v>
      </c>
      <c r="E104" t="s">
        <v>1353</v>
      </c>
      <c r="F104" t="s">
        <v>1354</v>
      </c>
      <c r="G104" t="s">
        <v>1357</v>
      </c>
      <c r="H104" s="7">
        <v>299</v>
      </c>
      <c r="I104" s="7">
        <v>899</v>
      </c>
      <c r="J104" s="7" t="str">
        <f t="shared" si="5"/>
        <v>&gt;₹500</v>
      </c>
      <c r="K104" s="1">
        <v>0.67</v>
      </c>
      <c r="L104" s="1" t="str">
        <f t="shared" si="3"/>
        <v>50% or More</v>
      </c>
      <c r="M104">
        <v>4</v>
      </c>
      <c r="N104" s="2">
        <v>1588</v>
      </c>
      <c r="O104" s="5">
        <f t="shared" si="4"/>
        <v>1427612</v>
      </c>
      <c r="P104">
        <f>MAX(Table1[RATING COUNT])</f>
        <v>426973</v>
      </c>
    </row>
    <row r="105" spans="1:16">
      <c r="A105" t="s">
        <v>1713</v>
      </c>
      <c r="B105" t="s">
        <v>103</v>
      </c>
      <c r="D105" t="s">
        <v>1352</v>
      </c>
      <c r="E105" t="s">
        <v>1353</v>
      </c>
      <c r="F105" t="s">
        <v>1355</v>
      </c>
      <c r="G105" t="s">
        <v>1356</v>
      </c>
      <c r="H105" s="7">
        <v>21999</v>
      </c>
      <c r="I105" s="7">
        <v>29999</v>
      </c>
      <c r="J105" s="7" t="str">
        <f t="shared" si="5"/>
        <v>&gt;₹500</v>
      </c>
      <c r="K105" s="1">
        <v>0.27</v>
      </c>
      <c r="L105" s="1" t="str">
        <f t="shared" si="3"/>
        <v>&lt;50%</v>
      </c>
      <c r="M105">
        <v>4.2</v>
      </c>
      <c r="N105" s="2">
        <v>32840</v>
      </c>
      <c r="O105" s="5">
        <f t="shared" si="4"/>
        <v>985167160</v>
      </c>
      <c r="P105">
        <f>MAX(Table1[RATING COUNT])</f>
        <v>426973</v>
      </c>
    </row>
    <row r="106" spans="1:16">
      <c r="A106" t="s">
        <v>1714</v>
      </c>
      <c r="B106" t="s">
        <v>104</v>
      </c>
      <c r="D106" t="s">
        <v>1345</v>
      </c>
      <c r="E106" t="s">
        <v>1346</v>
      </c>
      <c r="F106" t="s">
        <v>1347</v>
      </c>
      <c r="G106" t="s">
        <v>1348</v>
      </c>
      <c r="H106" s="7">
        <v>349</v>
      </c>
      <c r="I106" s="7">
        <v>999</v>
      </c>
      <c r="J106" s="7" t="str">
        <f t="shared" si="5"/>
        <v>&gt;₹500</v>
      </c>
      <c r="K106" s="1">
        <v>0.65</v>
      </c>
      <c r="L106" s="1" t="str">
        <f t="shared" si="3"/>
        <v>50% or More</v>
      </c>
      <c r="M106">
        <v>4.2</v>
      </c>
      <c r="N106" s="2">
        <v>13120</v>
      </c>
      <c r="O106" s="5">
        <f t="shared" si="4"/>
        <v>13106880</v>
      </c>
      <c r="P106">
        <f>MAX(Table1[RATING COUNT])</f>
        <v>426973</v>
      </c>
    </row>
    <row r="107" spans="1:16">
      <c r="A107" t="s">
        <v>1715</v>
      </c>
      <c r="B107" t="s">
        <v>105</v>
      </c>
      <c r="D107" t="s">
        <v>1345</v>
      </c>
      <c r="E107" t="s">
        <v>1346</v>
      </c>
      <c r="F107" t="s">
        <v>1347</v>
      </c>
      <c r="G107" t="s">
        <v>1348</v>
      </c>
      <c r="H107" s="7">
        <v>399</v>
      </c>
      <c r="I107" s="7">
        <v>999</v>
      </c>
      <c r="J107" s="7" t="str">
        <f t="shared" si="5"/>
        <v>&gt;₹500</v>
      </c>
      <c r="K107" s="1">
        <v>0.6</v>
      </c>
      <c r="L107" s="1" t="str">
        <f t="shared" si="3"/>
        <v>50% or More</v>
      </c>
      <c r="M107">
        <v>4.3</v>
      </c>
      <c r="N107" s="2">
        <v>2806</v>
      </c>
      <c r="O107" s="5">
        <f t="shared" si="4"/>
        <v>2803194</v>
      </c>
      <c r="P107">
        <f>MAX(Table1[RATING COUNT])</f>
        <v>426973</v>
      </c>
    </row>
    <row r="108" spans="1:16">
      <c r="A108" t="s">
        <v>1716</v>
      </c>
      <c r="B108" t="s">
        <v>106</v>
      </c>
      <c r="D108" t="s">
        <v>1345</v>
      </c>
      <c r="E108" t="s">
        <v>1346</v>
      </c>
      <c r="F108" t="s">
        <v>1347</v>
      </c>
      <c r="G108" t="s">
        <v>1348</v>
      </c>
      <c r="H108" s="7">
        <v>449</v>
      </c>
      <c r="I108" s="7">
        <v>1299</v>
      </c>
      <c r="J108" s="7" t="str">
        <f t="shared" si="5"/>
        <v>&gt;₹500</v>
      </c>
      <c r="K108" s="1">
        <v>0.65</v>
      </c>
      <c r="L108" s="1" t="str">
        <f t="shared" si="3"/>
        <v>50% or More</v>
      </c>
      <c r="M108">
        <v>4.2</v>
      </c>
      <c r="N108" s="2">
        <v>24269</v>
      </c>
      <c r="O108" s="5">
        <f t="shared" si="4"/>
        <v>31525431</v>
      </c>
      <c r="P108">
        <f>MAX(Table1[RATING COUNT])</f>
        <v>426973</v>
      </c>
    </row>
    <row r="109" spans="1:16">
      <c r="A109" t="s">
        <v>1717</v>
      </c>
      <c r="B109" t="s">
        <v>107</v>
      </c>
      <c r="D109" t="s">
        <v>1345</v>
      </c>
      <c r="E109" t="s">
        <v>1346</v>
      </c>
      <c r="F109" t="s">
        <v>1347</v>
      </c>
      <c r="G109" t="s">
        <v>1348</v>
      </c>
      <c r="H109" s="7">
        <v>299</v>
      </c>
      <c r="I109" s="7">
        <v>999</v>
      </c>
      <c r="J109" s="7" t="str">
        <f t="shared" si="5"/>
        <v>&gt;₹500</v>
      </c>
      <c r="K109" s="1">
        <v>0.7</v>
      </c>
      <c r="L109" s="1" t="str">
        <f t="shared" si="3"/>
        <v>50% or More</v>
      </c>
      <c r="M109">
        <v>4.3</v>
      </c>
      <c r="N109" s="2">
        <v>766</v>
      </c>
      <c r="O109" s="5">
        <f t="shared" si="4"/>
        <v>765234</v>
      </c>
      <c r="P109">
        <f>MAX(Table1[RATING COUNT])</f>
        <v>426973</v>
      </c>
    </row>
    <row r="110" spans="1:16">
      <c r="A110" t="s">
        <v>1718</v>
      </c>
      <c r="B110" t="s">
        <v>108</v>
      </c>
      <c r="D110" t="s">
        <v>1352</v>
      </c>
      <c r="E110" t="s">
        <v>1353</v>
      </c>
      <c r="F110" t="s">
        <v>1355</v>
      </c>
      <c r="G110" t="s">
        <v>1356</v>
      </c>
      <c r="H110" s="7">
        <v>37999</v>
      </c>
      <c r="I110" s="7">
        <v>65000</v>
      </c>
      <c r="J110" s="7" t="str">
        <f t="shared" si="5"/>
        <v>&gt;₹500</v>
      </c>
      <c r="K110" s="1">
        <v>0.42</v>
      </c>
      <c r="L110" s="1" t="str">
        <f t="shared" si="3"/>
        <v>&lt;50%</v>
      </c>
      <c r="M110">
        <v>4.3</v>
      </c>
      <c r="N110" s="2">
        <v>3587</v>
      </c>
      <c r="O110" s="5">
        <f t="shared" si="4"/>
        <v>233155000</v>
      </c>
      <c r="P110">
        <f>MAX(Table1[RATING COUNT])</f>
        <v>426973</v>
      </c>
    </row>
    <row r="111" spans="1:16">
      <c r="A111" t="s">
        <v>1719</v>
      </c>
      <c r="B111" t="s">
        <v>109</v>
      </c>
      <c r="D111" t="s">
        <v>1345</v>
      </c>
      <c r="E111" t="s">
        <v>1346</v>
      </c>
      <c r="F111" t="s">
        <v>1347</v>
      </c>
      <c r="G111" t="s">
        <v>1348</v>
      </c>
      <c r="H111" s="7">
        <v>99</v>
      </c>
      <c r="I111" s="7">
        <v>800</v>
      </c>
      <c r="J111" s="7" t="str">
        <f t="shared" si="5"/>
        <v>&gt;₹500</v>
      </c>
      <c r="K111" s="1">
        <v>0.88</v>
      </c>
      <c r="L111" s="1" t="str">
        <f t="shared" si="3"/>
        <v>50% or More</v>
      </c>
      <c r="M111">
        <v>3.9</v>
      </c>
      <c r="N111" s="2">
        <v>24871</v>
      </c>
      <c r="O111" s="5">
        <f t="shared" si="4"/>
        <v>19896800</v>
      </c>
      <c r="P111">
        <f>MAX(Table1[RATING COUNT])</f>
        <v>426973</v>
      </c>
    </row>
    <row r="112" spans="1:16">
      <c r="A112" t="s">
        <v>1720</v>
      </c>
      <c r="B112" t="s">
        <v>110</v>
      </c>
      <c r="D112" t="s">
        <v>1352</v>
      </c>
      <c r="E112" t="s">
        <v>1353</v>
      </c>
      <c r="F112" t="s">
        <v>1355</v>
      </c>
      <c r="G112" t="s">
        <v>1358</v>
      </c>
      <c r="H112" s="7">
        <v>7390</v>
      </c>
      <c r="I112" s="7">
        <v>20000</v>
      </c>
      <c r="J112" s="7" t="str">
        <f t="shared" si="5"/>
        <v>&gt;₹500</v>
      </c>
      <c r="K112" s="1">
        <v>0.63</v>
      </c>
      <c r="L112" s="1" t="str">
        <f t="shared" si="3"/>
        <v>50% or More</v>
      </c>
      <c r="M112">
        <v>4.0999999999999996</v>
      </c>
      <c r="N112" s="2">
        <v>2581</v>
      </c>
      <c r="O112" s="5">
        <f t="shared" si="4"/>
        <v>51620000</v>
      </c>
      <c r="P112">
        <f>MAX(Table1[RATING COUNT])</f>
        <v>426973</v>
      </c>
    </row>
    <row r="113" spans="1:16">
      <c r="A113" t="s">
        <v>1721</v>
      </c>
      <c r="B113" t="s">
        <v>111</v>
      </c>
      <c r="D113" t="s">
        <v>1345</v>
      </c>
      <c r="E113" t="s">
        <v>1346</v>
      </c>
      <c r="F113" t="s">
        <v>1347</v>
      </c>
      <c r="G113" t="s">
        <v>1348</v>
      </c>
      <c r="H113" s="7">
        <v>273.10000000000002</v>
      </c>
      <c r="I113" s="7">
        <v>999</v>
      </c>
      <c r="J113" s="7" t="str">
        <f t="shared" si="5"/>
        <v>&gt;₹500</v>
      </c>
      <c r="K113" s="1">
        <v>0.73</v>
      </c>
      <c r="L113" s="1" t="str">
        <f t="shared" si="3"/>
        <v>50% or More</v>
      </c>
      <c r="M113">
        <v>4.3</v>
      </c>
      <c r="N113" s="2">
        <v>20850</v>
      </c>
      <c r="O113" s="5">
        <f t="shared" si="4"/>
        <v>20829150</v>
      </c>
      <c r="P113">
        <f>MAX(Table1[RATING COUNT])</f>
        <v>426973</v>
      </c>
    </row>
    <row r="114" spans="1:16">
      <c r="A114" t="s">
        <v>1722</v>
      </c>
      <c r="B114" t="s">
        <v>112</v>
      </c>
      <c r="D114" t="s">
        <v>1352</v>
      </c>
      <c r="E114" t="s">
        <v>1353</v>
      </c>
      <c r="F114" t="s">
        <v>1355</v>
      </c>
      <c r="G114" t="s">
        <v>1356</v>
      </c>
      <c r="H114" s="7">
        <v>15990</v>
      </c>
      <c r="I114" s="7">
        <v>23990</v>
      </c>
      <c r="J114" s="7" t="str">
        <f t="shared" si="5"/>
        <v>&gt;₹500</v>
      </c>
      <c r="K114" s="1">
        <v>0.33</v>
      </c>
      <c r="L114" s="1" t="str">
        <f t="shared" si="3"/>
        <v>&lt;50%</v>
      </c>
      <c r="M114">
        <v>4.3</v>
      </c>
      <c r="N114" s="2">
        <v>1035</v>
      </c>
      <c r="O114" s="5">
        <f t="shared" si="4"/>
        <v>24829650</v>
      </c>
      <c r="P114">
        <f>MAX(Table1[RATING COUNT])</f>
        <v>426973</v>
      </c>
    </row>
    <row r="115" spans="1:16">
      <c r="A115" t="s">
        <v>1723</v>
      </c>
      <c r="B115" t="s">
        <v>113</v>
      </c>
      <c r="D115" t="s">
        <v>1345</v>
      </c>
      <c r="E115" t="s">
        <v>1346</v>
      </c>
      <c r="F115" t="s">
        <v>1347</v>
      </c>
      <c r="G115" t="s">
        <v>1348</v>
      </c>
      <c r="H115" s="7">
        <v>399</v>
      </c>
      <c r="I115" s="7">
        <v>999</v>
      </c>
      <c r="J115" s="7" t="str">
        <f t="shared" si="5"/>
        <v>&gt;₹500</v>
      </c>
      <c r="K115" s="1">
        <v>0.6</v>
      </c>
      <c r="L115" s="1" t="str">
        <f t="shared" si="3"/>
        <v>50% or More</v>
      </c>
      <c r="M115">
        <v>4.0999999999999996</v>
      </c>
      <c r="N115" s="2">
        <v>1780</v>
      </c>
      <c r="O115" s="5">
        <f t="shared" si="4"/>
        <v>1778220</v>
      </c>
      <c r="P115">
        <f>MAX(Table1[RATING COUNT])</f>
        <v>426973</v>
      </c>
    </row>
    <row r="116" spans="1:16">
      <c r="A116" t="s">
        <v>1724</v>
      </c>
      <c r="B116" t="s">
        <v>114</v>
      </c>
      <c r="D116" t="s">
        <v>1352</v>
      </c>
      <c r="E116" t="s">
        <v>1353</v>
      </c>
      <c r="F116" t="s">
        <v>1354</v>
      </c>
      <c r="G116" t="s">
        <v>1357</v>
      </c>
      <c r="H116" s="7">
        <v>399</v>
      </c>
      <c r="I116" s="7">
        <v>1999</v>
      </c>
      <c r="J116" s="7" t="str">
        <f t="shared" si="5"/>
        <v>&gt;₹500</v>
      </c>
      <c r="K116" s="1">
        <v>0.8</v>
      </c>
      <c r="L116" s="1" t="str">
        <f t="shared" si="3"/>
        <v>50% or More</v>
      </c>
      <c r="M116">
        <v>4.5</v>
      </c>
      <c r="N116" s="2">
        <v>505</v>
      </c>
      <c r="O116" s="5">
        <f t="shared" si="4"/>
        <v>1009495</v>
      </c>
      <c r="P116">
        <f>MAX(Table1[RATING COUNT])</f>
        <v>426973</v>
      </c>
    </row>
    <row r="117" spans="1:16">
      <c r="A117" t="s">
        <v>1725</v>
      </c>
      <c r="B117" t="s">
        <v>115</v>
      </c>
      <c r="D117" t="s">
        <v>1345</v>
      </c>
      <c r="E117" t="s">
        <v>1346</v>
      </c>
      <c r="F117" t="s">
        <v>1347</v>
      </c>
      <c r="G117" t="s">
        <v>1348</v>
      </c>
      <c r="H117" s="7">
        <v>210</v>
      </c>
      <c r="I117" s="7">
        <v>399</v>
      </c>
      <c r="J117" s="7" t="str">
        <f t="shared" si="5"/>
        <v>₹200–₹500</v>
      </c>
      <c r="K117" s="1">
        <v>0.47</v>
      </c>
      <c r="L117" s="1" t="str">
        <f t="shared" si="3"/>
        <v>&lt;50%</v>
      </c>
      <c r="M117">
        <v>4.0999999999999996</v>
      </c>
      <c r="N117" s="2">
        <v>1717</v>
      </c>
      <c r="O117" s="5">
        <f t="shared" si="4"/>
        <v>685083</v>
      </c>
      <c r="P117">
        <f>MAX(Table1[RATING COUNT])</f>
        <v>426973</v>
      </c>
    </row>
    <row r="118" spans="1:16">
      <c r="A118" t="s">
        <v>1726</v>
      </c>
      <c r="B118" t="s">
        <v>116</v>
      </c>
      <c r="D118" t="s">
        <v>1352</v>
      </c>
      <c r="E118" t="s">
        <v>1353</v>
      </c>
      <c r="F118" t="s">
        <v>1354</v>
      </c>
      <c r="G118" t="s">
        <v>1357</v>
      </c>
      <c r="H118" s="7">
        <v>1299</v>
      </c>
      <c r="I118" s="7">
        <v>1999</v>
      </c>
      <c r="J118" s="7" t="str">
        <f t="shared" si="5"/>
        <v>&gt;₹500</v>
      </c>
      <c r="K118" s="1">
        <v>0.35</v>
      </c>
      <c r="L118" s="1" t="str">
        <f t="shared" si="3"/>
        <v>&lt;50%</v>
      </c>
      <c r="M118">
        <v>3.6</v>
      </c>
      <c r="N118" s="2">
        <v>590</v>
      </c>
      <c r="O118" s="5">
        <f t="shared" si="4"/>
        <v>1179410</v>
      </c>
      <c r="P118">
        <f>MAX(Table1[RATING COUNT])</f>
        <v>426973</v>
      </c>
    </row>
    <row r="119" spans="1:16">
      <c r="A119" t="s">
        <v>1727</v>
      </c>
      <c r="B119" t="s">
        <v>117</v>
      </c>
      <c r="D119" t="s">
        <v>1345</v>
      </c>
      <c r="E119" t="s">
        <v>1346</v>
      </c>
      <c r="F119" t="s">
        <v>1347</v>
      </c>
      <c r="G119" t="s">
        <v>1348</v>
      </c>
      <c r="H119" s="7">
        <v>347</v>
      </c>
      <c r="I119" s="7">
        <v>999</v>
      </c>
      <c r="J119" s="7" t="str">
        <f t="shared" si="5"/>
        <v>&gt;₹500</v>
      </c>
      <c r="K119" s="1">
        <v>0.65</v>
      </c>
      <c r="L119" s="1" t="str">
        <f t="shared" si="3"/>
        <v>50% or More</v>
      </c>
      <c r="M119">
        <v>3.5</v>
      </c>
      <c r="N119" s="2">
        <v>1121</v>
      </c>
      <c r="O119" s="5">
        <f t="shared" si="4"/>
        <v>1119879</v>
      </c>
      <c r="P119">
        <f>MAX(Table1[RATING COUNT])</f>
        <v>426973</v>
      </c>
    </row>
    <row r="120" spans="1:16">
      <c r="A120" t="s">
        <v>1728</v>
      </c>
      <c r="B120" t="s">
        <v>118</v>
      </c>
      <c r="D120" t="s">
        <v>1345</v>
      </c>
      <c r="E120" t="s">
        <v>1346</v>
      </c>
      <c r="F120" t="s">
        <v>1347</v>
      </c>
      <c r="G120" t="s">
        <v>1348</v>
      </c>
      <c r="H120" s="7">
        <v>149</v>
      </c>
      <c r="I120" s="7">
        <v>999</v>
      </c>
      <c r="J120" s="7" t="str">
        <f t="shared" si="5"/>
        <v>&gt;₹500</v>
      </c>
      <c r="K120" s="1">
        <v>0.85</v>
      </c>
      <c r="L120" s="1" t="str">
        <f t="shared" si="3"/>
        <v>50% or More</v>
      </c>
      <c r="M120">
        <v>4</v>
      </c>
      <c r="N120" s="2">
        <v>1313</v>
      </c>
      <c r="O120" s="5">
        <f t="shared" si="4"/>
        <v>1311687</v>
      </c>
      <c r="P120">
        <f>MAX(Table1[RATING COUNT])</f>
        <v>426973</v>
      </c>
    </row>
    <row r="121" spans="1:16">
      <c r="A121" t="s">
        <v>1729</v>
      </c>
      <c r="B121" t="s">
        <v>119</v>
      </c>
      <c r="D121" t="s">
        <v>1345</v>
      </c>
      <c r="E121" t="s">
        <v>1346</v>
      </c>
      <c r="F121" t="s">
        <v>1347</v>
      </c>
      <c r="G121" t="s">
        <v>1348</v>
      </c>
      <c r="H121" s="7">
        <v>228</v>
      </c>
      <c r="I121" s="7">
        <v>899</v>
      </c>
      <c r="J121" s="7" t="str">
        <f t="shared" si="5"/>
        <v>&gt;₹500</v>
      </c>
      <c r="K121" s="1">
        <v>0.75</v>
      </c>
      <c r="L121" s="1" t="str">
        <f t="shared" si="3"/>
        <v>50% or More</v>
      </c>
      <c r="M121">
        <v>3.8</v>
      </c>
      <c r="N121" s="2">
        <v>132</v>
      </c>
      <c r="O121" s="5">
        <f t="shared" si="4"/>
        <v>118668</v>
      </c>
      <c r="P121">
        <f>MAX(Table1[RATING COUNT])</f>
        <v>426973</v>
      </c>
    </row>
    <row r="122" spans="1:16">
      <c r="A122" t="s">
        <v>1730</v>
      </c>
      <c r="B122" t="s">
        <v>120</v>
      </c>
      <c r="D122" t="s">
        <v>1345</v>
      </c>
      <c r="E122" t="s">
        <v>1346</v>
      </c>
      <c r="F122" t="s">
        <v>1347</v>
      </c>
      <c r="G122" t="s">
        <v>1348</v>
      </c>
      <c r="H122" s="7">
        <v>1599</v>
      </c>
      <c r="I122" s="7">
        <v>1999</v>
      </c>
      <c r="J122" s="7" t="str">
        <f t="shared" si="5"/>
        <v>&gt;₹500</v>
      </c>
      <c r="K122" s="1">
        <v>0.2</v>
      </c>
      <c r="L122" s="1" t="str">
        <f t="shared" si="3"/>
        <v>&lt;50%</v>
      </c>
      <c r="M122">
        <v>4.4000000000000004</v>
      </c>
      <c r="N122" s="2">
        <v>1951</v>
      </c>
      <c r="O122" s="5">
        <f t="shared" si="4"/>
        <v>3900049</v>
      </c>
      <c r="P122">
        <f>MAX(Table1[RATING COUNT])</f>
        <v>426973</v>
      </c>
    </row>
    <row r="123" spans="1:16">
      <c r="A123" t="s">
        <v>1731</v>
      </c>
      <c r="B123" t="s">
        <v>121</v>
      </c>
      <c r="D123" t="s">
        <v>1352</v>
      </c>
      <c r="E123" t="s">
        <v>1353</v>
      </c>
      <c r="F123" t="s">
        <v>1354</v>
      </c>
      <c r="G123" t="s">
        <v>1357</v>
      </c>
      <c r="H123" s="7">
        <v>1499</v>
      </c>
      <c r="I123" s="7">
        <v>3999</v>
      </c>
      <c r="J123" s="7" t="str">
        <f t="shared" si="5"/>
        <v>&gt;₹500</v>
      </c>
      <c r="K123" s="1">
        <v>0.63</v>
      </c>
      <c r="L123" s="1" t="str">
        <f t="shared" si="3"/>
        <v>50% or More</v>
      </c>
      <c r="M123">
        <v>3.7</v>
      </c>
      <c r="N123" s="2">
        <v>37</v>
      </c>
      <c r="O123" s="5">
        <f t="shared" si="4"/>
        <v>147963</v>
      </c>
      <c r="P123">
        <f>MAX(Table1[RATING COUNT])</f>
        <v>426973</v>
      </c>
    </row>
    <row r="124" spans="1:16">
      <c r="A124" t="s">
        <v>1732</v>
      </c>
      <c r="B124" t="s">
        <v>122</v>
      </c>
      <c r="D124" t="s">
        <v>1352</v>
      </c>
      <c r="E124" t="s">
        <v>1353</v>
      </c>
      <c r="F124" t="s">
        <v>1355</v>
      </c>
      <c r="G124" t="s">
        <v>1356</v>
      </c>
      <c r="H124" s="7">
        <v>8499</v>
      </c>
      <c r="I124" s="7">
        <v>15999</v>
      </c>
      <c r="J124" s="7" t="str">
        <f t="shared" si="5"/>
        <v>&gt;₹500</v>
      </c>
      <c r="K124" s="1">
        <v>0.47</v>
      </c>
      <c r="L124" s="1" t="str">
        <f t="shared" si="3"/>
        <v>&lt;50%</v>
      </c>
      <c r="M124">
        <v>4.3</v>
      </c>
      <c r="N124" s="2">
        <v>592</v>
      </c>
      <c r="O124" s="5">
        <f t="shared" si="4"/>
        <v>9471408</v>
      </c>
      <c r="P124">
        <f>MAX(Table1[RATING COUNT])</f>
        <v>426973</v>
      </c>
    </row>
    <row r="125" spans="1:16">
      <c r="A125" t="s">
        <v>1733</v>
      </c>
      <c r="B125" t="s">
        <v>123</v>
      </c>
      <c r="D125" t="s">
        <v>1352</v>
      </c>
      <c r="E125" t="s">
        <v>1353</v>
      </c>
      <c r="F125" t="s">
        <v>1355</v>
      </c>
      <c r="G125" t="s">
        <v>1356</v>
      </c>
      <c r="H125" s="7">
        <v>20990</v>
      </c>
      <c r="I125" s="7">
        <v>44990</v>
      </c>
      <c r="J125" s="7" t="str">
        <f t="shared" si="5"/>
        <v>&gt;₹500</v>
      </c>
      <c r="K125" s="1">
        <v>0.53</v>
      </c>
      <c r="L125" s="1" t="str">
        <f t="shared" si="3"/>
        <v>50% or More</v>
      </c>
      <c r="M125">
        <v>4.0999999999999996</v>
      </c>
      <c r="N125" s="2">
        <v>1259</v>
      </c>
      <c r="O125" s="5">
        <f t="shared" si="4"/>
        <v>56642410</v>
      </c>
      <c r="P125">
        <f>MAX(Table1[RATING COUNT])</f>
        <v>426973</v>
      </c>
    </row>
    <row r="126" spans="1:16">
      <c r="A126" t="s">
        <v>1734</v>
      </c>
      <c r="B126" t="s">
        <v>124</v>
      </c>
      <c r="D126" t="s">
        <v>1352</v>
      </c>
      <c r="E126" t="s">
        <v>1353</v>
      </c>
      <c r="F126" t="s">
        <v>1355</v>
      </c>
      <c r="G126" t="s">
        <v>1356</v>
      </c>
      <c r="H126" s="7">
        <v>32999</v>
      </c>
      <c r="I126" s="7">
        <v>44999</v>
      </c>
      <c r="J126" s="7" t="str">
        <f t="shared" si="5"/>
        <v>&gt;₹500</v>
      </c>
      <c r="K126" s="1">
        <v>0.27</v>
      </c>
      <c r="L126" s="1" t="str">
        <f t="shared" si="3"/>
        <v>&lt;50%</v>
      </c>
      <c r="M126">
        <v>4.2</v>
      </c>
      <c r="N126" s="2">
        <v>45238</v>
      </c>
      <c r="O126" s="5">
        <f t="shared" si="4"/>
        <v>2035664762</v>
      </c>
      <c r="P126">
        <f>MAX(Table1[RATING COUNT])</f>
        <v>426973</v>
      </c>
    </row>
    <row r="127" spans="1:16">
      <c r="A127" t="s">
        <v>1735</v>
      </c>
      <c r="B127" t="s">
        <v>125</v>
      </c>
      <c r="D127" t="s">
        <v>1352</v>
      </c>
      <c r="E127" t="s">
        <v>1353</v>
      </c>
      <c r="F127" t="s">
        <v>1354</v>
      </c>
      <c r="G127" t="s">
        <v>1348</v>
      </c>
      <c r="H127" s="7">
        <v>799</v>
      </c>
      <c r="I127" s="7">
        <v>1700</v>
      </c>
      <c r="J127" s="7" t="str">
        <f t="shared" si="5"/>
        <v>&gt;₹500</v>
      </c>
      <c r="K127" s="1">
        <v>0.53</v>
      </c>
      <c r="L127" s="1" t="str">
        <f t="shared" si="3"/>
        <v>50% or More</v>
      </c>
      <c r="M127">
        <v>4.0999999999999996</v>
      </c>
      <c r="N127" s="2">
        <v>28638</v>
      </c>
      <c r="O127" s="5">
        <f t="shared" si="4"/>
        <v>48684600</v>
      </c>
      <c r="P127">
        <f>MAX(Table1[RATING COUNT])</f>
        <v>426973</v>
      </c>
    </row>
    <row r="128" spans="1:16">
      <c r="A128" t="s">
        <v>1736</v>
      </c>
      <c r="B128" t="s">
        <v>126</v>
      </c>
      <c r="D128" t="s">
        <v>1352</v>
      </c>
      <c r="E128" t="s">
        <v>1353</v>
      </c>
      <c r="F128" t="s">
        <v>1354</v>
      </c>
      <c r="G128" t="s">
        <v>1348</v>
      </c>
      <c r="H128" s="7">
        <v>229</v>
      </c>
      <c r="I128" s="7">
        <v>595</v>
      </c>
      <c r="J128" s="7" t="str">
        <f t="shared" si="5"/>
        <v>&gt;₹500</v>
      </c>
      <c r="K128" s="1">
        <v>0.62</v>
      </c>
      <c r="L128" s="1" t="str">
        <f t="shared" si="3"/>
        <v>50% or More</v>
      </c>
      <c r="M128">
        <v>4.3</v>
      </c>
      <c r="N128" s="2">
        <v>12835</v>
      </c>
      <c r="O128" s="5">
        <f t="shared" si="4"/>
        <v>7636825</v>
      </c>
      <c r="P128">
        <f>MAX(Table1[RATING COUNT])</f>
        <v>426973</v>
      </c>
    </row>
    <row r="129" spans="1:16">
      <c r="A129" t="s">
        <v>1737</v>
      </c>
      <c r="B129" t="s">
        <v>127</v>
      </c>
      <c r="D129" t="s">
        <v>1352</v>
      </c>
      <c r="E129" t="s">
        <v>1353</v>
      </c>
      <c r="F129" t="s">
        <v>1355</v>
      </c>
      <c r="G129" t="s">
        <v>1356</v>
      </c>
      <c r="H129" s="7">
        <v>9999</v>
      </c>
      <c r="I129" s="7">
        <v>27990</v>
      </c>
      <c r="J129" s="7" t="str">
        <f t="shared" si="5"/>
        <v>&gt;₹500</v>
      </c>
      <c r="K129" s="1">
        <v>0.64</v>
      </c>
      <c r="L129" s="1" t="str">
        <f t="shared" si="3"/>
        <v>50% or More</v>
      </c>
      <c r="M129">
        <v>4.2</v>
      </c>
      <c r="N129" s="2">
        <v>1269</v>
      </c>
      <c r="O129" s="5">
        <f t="shared" si="4"/>
        <v>35519310</v>
      </c>
      <c r="P129">
        <f>MAX(Table1[RATING COUNT])</f>
        <v>426973</v>
      </c>
    </row>
    <row r="130" spans="1:16">
      <c r="A130" t="s">
        <v>1738</v>
      </c>
      <c r="B130" t="s">
        <v>128</v>
      </c>
      <c r="D130" t="s">
        <v>1352</v>
      </c>
      <c r="E130" t="s">
        <v>1353</v>
      </c>
      <c r="F130" t="s">
        <v>1354</v>
      </c>
      <c r="G130" t="s">
        <v>1357</v>
      </c>
      <c r="H130" s="7">
        <v>349</v>
      </c>
      <c r="I130" s="7">
        <v>599</v>
      </c>
      <c r="J130" s="7" t="str">
        <f t="shared" si="5"/>
        <v>&gt;₹500</v>
      </c>
      <c r="K130" s="1">
        <v>0.42</v>
      </c>
      <c r="L130" s="1" t="str">
        <f t="shared" ref="L130:L193" si="6">IF(K130&gt;=50%,"50% or More","&lt;50%")</f>
        <v>&lt;50%</v>
      </c>
      <c r="M130">
        <v>4.2</v>
      </c>
      <c r="N130" s="2">
        <v>284</v>
      </c>
      <c r="O130" s="5">
        <f t="shared" ref="O130:O193" si="7">I130*N130</f>
        <v>170116</v>
      </c>
      <c r="P130">
        <f>MAX(Table1[RATING COUNT])</f>
        <v>426973</v>
      </c>
    </row>
    <row r="131" spans="1:16">
      <c r="A131" t="s">
        <v>1739</v>
      </c>
      <c r="B131" t="s">
        <v>129</v>
      </c>
      <c r="D131" t="s">
        <v>1352</v>
      </c>
      <c r="E131" t="s">
        <v>1353</v>
      </c>
      <c r="F131" t="s">
        <v>1354</v>
      </c>
      <c r="G131" t="s">
        <v>1348</v>
      </c>
      <c r="H131" s="7">
        <v>489</v>
      </c>
      <c r="I131" s="7">
        <v>1200</v>
      </c>
      <c r="J131" s="7" t="str">
        <f t="shared" ref="J131:J194" si="8">IF(I131&lt;200, "&lt;₹200", IF(I131&lt;=500, "₹200–₹500", "&gt;₹500"))</f>
        <v>&gt;₹500</v>
      </c>
      <c r="K131" s="1">
        <v>0.59</v>
      </c>
      <c r="L131" s="1" t="str">
        <f t="shared" si="6"/>
        <v>50% or More</v>
      </c>
      <c r="M131">
        <v>4.4000000000000004</v>
      </c>
      <c r="N131" s="2">
        <v>69538</v>
      </c>
      <c r="O131" s="5">
        <f t="shared" si="7"/>
        <v>83445600</v>
      </c>
      <c r="P131">
        <f>MAX(Table1[RATING COUNT])</f>
        <v>426973</v>
      </c>
    </row>
    <row r="132" spans="1:16">
      <c r="A132" t="s">
        <v>1740</v>
      </c>
      <c r="B132" t="s">
        <v>130</v>
      </c>
      <c r="D132" t="s">
        <v>1352</v>
      </c>
      <c r="E132" t="s">
        <v>1353</v>
      </c>
      <c r="F132" t="s">
        <v>1355</v>
      </c>
      <c r="G132" t="s">
        <v>1356</v>
      </c>
      <c r="H132" s="7">
        <v>23999</v>
      </c>
      <c r="I132" s="7">
        <v>34990</v>
      </c>
      <c r="J132" s="7" t="str">
        <f t="shared" si="8"/>
        <v>&gt;₹500</v>
      </c>
      <c r="K132" s="1">
        <v>0.31</v>
      </c>
      <c r="L132" s="1" t="str">
        <f t="shared" si="6"/>
        <v>&lt;50%</v>
      </c>
      <c r="M132">
        <v>4.3</v>
      </c>
      <c r="N132" s="2">
        <v>4703</v>
      </c>
      <c r="O132" s="5">
        <f t="shared" si="7"/>
        <v>164557970</v>
      </c>
      <c r="P132">
        <f>MAX(Table1[RATING COUNT])</f>
        <v>426973</v>
      </c>
    </row>
    <row r="133" spans="1:16">
      <c r="A133" t="s">
        <v>1741</v>
      </c>
      <c r="B133" t="s">
        <v>131</v>
      </c>
      <c r="D133" t="s">
        <v>1345</v>
      </c>
      <c r="E133" t="s">
        <v>1346</v>
      </c>
      <c r="F133" t="s">
        <v>1347</v>
      </c>
      <c r="G133" t="s">
        <v>1348</v>
      </c>
      <c r="H133" s="7">
        <v>399</v>
      </c>
      <c r="I133" s="7">
        <v>999</v>
      </c>
      <c r="J133" s="7" t="str">
        <f t="shared" si="8"/>
        <v>&gt;₹500</v>
      </c>
      <c r="K133" s="1">
        <v>0.6</v>
      </c>
      <c r="L133" s="1" t="str">
        <f t="shared" si="6"/>
        <v>50% or More</v>
      </c>
      <c r="M133">
        <v>4.3</v>
      </c>
      <c r="N133" s="2">
        <v>2806</v>
      </c>
      <c r="O133" s="5">
        <f t="shared" si="7"/>
        <v>2803194</v>
      </c>
      <c r="P133">
        <f>MAX(Table1[RATING COUNT])</f>
        <v>426973</v>
      </c>
    </row>
    <row r="134" spans="1:16">
      <c r="A134" t="s">
        <v>1742</v>
      </c>
      <c r="B134" t="s">
        <v>132</v>
      </c>
      <c r="D134" t="s">
        <v>1352</v>
      </c>
      <c r="E134" t="s">
        <v>1360</v>
      </c>
      <c r="F134" t="s">
        <v>1354</v>
      </c>
      <c r="G134" t="s">
        <v>1361</v>
      </c>
      <c r="H134" s="7">
        <v>349</v>
      </c>
      <c r="I134" s="7">
        <v>1299</v>
      </c>
      <c r="J134" s="7" t="str">
        <f t="shared" si="8"/>
        <v>&gt;₹500</v>
      </c>
      <c r="K134" s="1">
        <v>0.73</v>
      </c>
      <c r="L134" s="1" t="str">
        <f t="shared" si="6"/>
        <v>50% or More</v>
      </c>
      <c r="M134">
        <v>4</v>
      </c>
      <c r="N134" s="2">
        <v>3295</v>
      </c>
      <c r="O134" s="5">
        <f t="shared" si="7"/>
        <v>4280205</v>
      </c>
      <c r="P134">
        <f>MAX(Table1[RATING COUNT])</f>
        <v>426973</v>
      </c>
    </row>
    <row r="135" spans="1:16">
      <c r="A135" t="s">
        <v>1743</v>
      </c>
      <c r="B135" t="s">
        <v>133</v>
      </c>
      <c r="D135" t="s">
        <v>1345</v>
      </c>
      <c r="E135" t="s">
        <v>1346</v>
      </c>
      <c r="F135" t="s">
        <v>1347</v>
      </c>
      <c r="G135" t="s">
        <v>1348</v>
      </c>
      <c r="H135" s="7">
        <v>179</v>
      </c>
      <c r="I135" s="7">
        <v>299</v>
      </c>
      <c r="J135" s="7" t="str">
        <f t="shared" si="8"/>
        <v>₹200–₹500</v>
      </c>
      <c r="K135" s="1">
        <v>0.4</v>
      </c>
      <c r="L135" s="1" t="str">
        <f t="shared" si="6"/>
        <v>&lt;50%</v>
      </c>
      <c r="M135">
        <v>3.9</v>
      </c>
      <c r="N135" s="2">
        <v>81</v>
      </c>
      <c r="O135" s="5">
        <f t="shared" si="7"/>
        <v>24219</v>
      </c>
      <c r="P135">
        <f>MAX(Table1[RATING COUNT])</f>
        <v>426973</v>
      </c>
    </row>
    <row r="136" spans="1:16">
      <c r="A136" t="s">
        <v>1744</v>
      </c>
      <c r="B136" t="s">
        <v>134</v>
      </c>
      <c r="D136" t="s">
        <v>1345</v>
      </c>
      <c r="E136" t="s">
        <v>1346</v>
      </c>
      <c r="F136" t="s">
        <v>1347</v>
      </c>
      <c r="G136" t="s">
        <v>1348</v>
      </c>
      <c r="H136" s="7">
        <v>689</v>
      </c>
      <c r="I136" s="7">
        <v>1500</v>
      </c>
      <c r="J136" s="7" t="str">
        <f t="shared" si="8"/>
        <v>&gt;₹500</v>
      </c>
      <c r="K136" s="1">
        <v>0.54</v>
      </c>
      <c r="L136" s="1" t="str">
        <f t="shared" si="6"/>
        <v>50% or More</v>
      </c>
      <c r="M136">
        <v>4.2</v>
      </c>
      <c r="N136" s="2">
        <v>42301</v>
      </c>
      <c r="O136" s="5">
        <f t="shared" si="7"/>
        <v>63451500</v>
      </c>
      <c r="P136">
        <f>MAX(Table1[RATING COUNT])</f>
        <v>426973</v>
      </c>
    </row>
    <row r="137" spans="1:16">
      <c r="A137" t="s">
        <v>1745</v>
      </c>
      <c r="B137" t="s">
        <v>135</v>
      </c>
      <c r="D137" t="s">
        <v>1352</v>
      </c>
      <c r="E137" t="s">
        <v>1353</v>
      </c>
      <c r="F137" t="s">
        <v>1355</v>
      </c>
      <c r="G137" t="s">
        <v>1356</v>
      </c>
      <c r="H137" s="7">
        <v>30990</v>
      </c>
      <c r="I137" s="7">
        <v>49990</v>
      </c>
      <c r="J137" s="7" t="str">
        <f t="shared" si="8"/>
        <v>&gt;₹500</v>
      </c>
      <c r="K137" s="1">
        <v>0.38</v>
      </c>
      <c r="L137" s="1" t="str">
        <f t="shared" si="6"/>
        <v>&lt;50%</v>
      </c>
      <c r="M137">
        <v>4.3</v>
      </c>
      <c r="N137" s="2">
        <v>1376</v>
      </c>
      <c r="O137" s="5">
        <f t="shared" si="7"/>
        <v>68786240</v>
      </c>
      <c r="P137">
        <f>MAX(Table1[RATING COUNT])</f>
        <v>426973</v>
      </c>
    </row>
    <row r="138" spans="1:16">
      <c r="A138" t="s">
        <v>1746</v>
      </c>
      <c r="B138" t="s">
        <v>136</v>
      </c>
      <c r="D138" t="s">
        <v>1345</v>
      </c>
      <c r="E138" t="s">
        <v>1346</v>
      </c>
      <c r="F138" t="s">
        <v>1347</v>
      </c>
      <c r="G138" t="s">
        <v>1348</v>
      </c>
      <c r="H138" s="7">
        <v>249</v>
      </c>
      <c r="I138" s="7">
        <v>931</v>
      </c>
      <c r="J138" s="7" t="str">
        <f t="shared" si="8"/>
        <v>&gt;₹500</v>
      </c>
      <c r="K138" s="1">
        <v>0.73</v>
      </c>
      <c r="L138" s="1" t="str">
        <f t="shared" si="6"/>
        <v>50% or More</v>
      </c>
      <c r="M138">
        <v>3.9</v>
      </c>
      <c r="N138" s="2">
        <v>1075</v>
      </c>
      <c r="O138" s="5">
        <f t="shared" si="7"/>
        <v>1000825</v>
      </c>
      <c r="P138">
        <f>MAX(Table1[RATING COUNT])</f>
        <v>426973</v>
      </c>
    </row>
    <row r="139" spans="1:16">
      <c r="A139" t="s">
        <v>1747</v>
      </c>
      <c r="B139" t="s">
        <v>137</v>
      </c>
      <c r="D139" t="s">
        <v>1352</v>
      </c>
      <c r="E139" t="s">
        <v>1353</v>
      </c>
      <c r="F139" t="s">
        <v>1354</v>
      </c>
      <c r="G139" t="s">
        <v>1348</v>
      </c>
      <c r="H139" s="7">
        <v>999</v>
      </c>
      <c r="I139" s="7">
        <v>2399</v>
      </c>
      <c r="J139" s="7" t="str">
        <f t="shared" si="8"/>
        <v>&gt;₹500</v>
      </c>
      <c r="K139" s="1">
        <v>0.57999999999999996</v>
      </c>
      <c r="L139" s="1" t="str">
        <f t="shared" si="6"/>
        <v>50% or More</v>
      </c>
      <c r="M139">
        <v>4.5999999999999996</v>
      </c>
      <c r="N139" s="2">
        <v>3664</v>
      </c>
      <c r="O139" s="5">
        <f t="shared" si="7"/>
        <v>8789936</v>
      </c>
      <c r="P139">
        <f>MAX(Table1[RATING COUNT])</f>
        <v>426973</v>
      </c>
    </row>
    <row r="140" spans="1:16">
      <c r="A140" t="s">
        <v>1748</v>
      </c>
      <c r="B140" t="s">
        <v>138</v>
      </c>
      <c r="D140" t="s">
        <v>1352</v>
      </c>
      <c r="E140" t="s">
        <v>1353</v>
      </c>
      <c r="F140" t="s">
        <v>1354</v>
      </c>
      <c r="G140" t="s">
        <v>1357</v>
      </c>
      <c r="H140" s="7">
        <v>399</v>
      </c>
      <c r="I140" s="7">
        <v>399</v>
      </c>
      <c r="J140" s="7" t="str">
        <f t="shared" si="8"/>
        <v>₹200–₹500</v>
      </c>
      <c r="K140" s="1">
        <v>0</v>
      </c>
      <c r="L140" s="1" t="str">
        <f t="shared" si="6"/>
        <v>&lt;50%</v>
      </c>
      <c r="M140">
        <v>3.9</v>
      </c>
      <c r="N140" s="2">
        <v>1951</v>
      </c>
      <c r="O140" s="5">
        <f t="shared" si="7"/>
        <v>778449</v>
      </c>
      <c r="P140">
        <f>MAX(Table1[RATING COUNT])</f>
        <v>426973</v>
      </c>
    </row>
    <row r="141" spans="1:16">
      <c r="A141" t="s">
        <v>1749</v>
      </c>
      <c r="B141" t="s">
        <v>139</v>
      </c>
      <c r="D141" t="s">
        <v>1345</v>
      </c>
      <c r="E141" t="s">
        <v>1346</v>
      </c>
      <c r="F141" t="s">
        <v>1347</v>
      </c>
      <c r="G141" t="s">
        <v>1348</v>
      </c>
      <c r="H141" s="7">
        <v>349</v>
      </c>
      <c r="I141" s="7">
        <v>699</v>
      </c>
      <c r="J141" s="7" t="str">
        <f t="shared" si="8"/>
        <v>&gt;₹500</v>
      </c>
      <c r="K141" s="1">
        <v>0.5</v>
      </c>
      <c r="L141" s="1" t="str">
        <f t="shared" si="6"/>
        <v>50% or More</v>
      </c>
      <c r="M141">
        <v>4.3</v>
      </c>
      <c r="N141" s="2">
        <v>20850</v>
      </c>
      <c r="O141" s="5">
        <f t="shared" si="7"/>
        <v>14574150</v>
      </c>
      <c r="P141">
        <f>MAX(Table1[RATING COUNT])</f>
        <v>426973</v>
      </c>
    </row>
    <row r="142" spans="1:16">
      <c r="A142" t="s">
        <v>1750</v>
      </c>
      <c r="B142" t="s">
        <v>140</v>
      </c>
      <c r="D142" t="s">
        <v>1345</v>
      </c>
      <c r="E142" t="s">
        <v>1346</v>
      </c>
      <c r="F142" t="s">
        <v>1347</v>
      </c>
      <c r="G142" t="s">
        <v>1348</v>
      </c>
      <c r="H142" s="7">
        <v>399</v>
      </c>
      <c r="I142" s="7">
        <v>1099</v>
      </c>
      <c r="J142" s="7" t="str">
        <f t="shared" si="8"/>
        <v>&gt;₹500</v>
      </c>
      <c r="K142" s="1">
        <v>0.64</v>
      </c>
      <c r="L142" s="1" t="str">
        <f t="shared" si="6"/>
        <v>50% or More</v>
      </c>
      <c r="M142">
        <v>4.0999999999999996</v>
      </c>
      <c r="N142" s="2">
        <v>2685</v>
      </c>
      <c r="O142" s="5">
        <f t="shared" si="7"/>
        <v>2950815</v>
      </c>
      <c r="P142">
        <f>MAX(Table1[RATING COUNT])</f>
        <v>426973</v>
      </c>
    </row>
    <row r="143" spans="1:16">
      <c r="A143" t="s">
        <v>1751</v>
      </c>
      <c r="B143" t="s">
        <v>141</v>
      </c>
      <c r="D143" t="s">
        <v>1345</v>
      </c>
      <c r="E143" t="s">
        <v>1349</v>
      </c>
      <c r="F143" t="s">
        <v>1350</v>
      </c>
      <c r="G143" t="s">
        <v>1351</v>
      </c>
      <c r="H143" s="7">
        <v>1699</v>
      </c>
      <c r="I143" s="7">
        <v>2999</v>
      </c>
      <c r="J143" s="7" t="str">
        <f t="shared" si="8"/>
        <v>&gt;₹500</v>
      </c>
      <c r="K143" s="1">
        <v>0.43</v>
      </c>
      <c r="L143" s="1" t="str">
        <f t="shared" si="6"/>
        <v>&lt;50%</v>
      </c>
      <c r="M143">
        <v>4.4000000000000004</v>
      </c>
      <c r="N143" s="2">
        <v>24780</v>
      </c>
      <c r="O143" s="5">
        <f t="shared" si="7"/>
        <v>74315220</v>
      </c>
      <c r="P143">
        <f>MAX(Table1[RATING COUNT])</f>
        <v>426973</v>
      </c>
    </row>
    <row r="144" spans="1:16">
      <c r="A144" t="s">
        <v>1752</v>
      </c>
      <c r="B144" t="s">
        <v>142</v>
      </c>
      <c r="D144" t="s">
        <v>1352</v>
      </c>
      <c r="E144" t="s">
        <v>1353</v>
      </c>
      <c r="F144" t="s">
        <v>1354</v>
      </c>
      <c r="G144" t="s">
        <v>1357</v>
      </c>
      <c r="H144" s="7">
        <v>655</v>
      </c>
      <c r="I144" s="7">
        <v>1099</v>
      </c>
      <c r="J144" s="7" t="str">
        <f t="shared" si="8"/>
        <v>&gt;₹500</v>
      </c>
      <c r="K144" s="1">
        <v>0.4</v>
      </c>
      <c r="L144" s="1" t="str">
        <f t="shared" si="6"/>
        <v>&lt;50%</v>
      </c>
      <c r="M144">
        <v>3.2</v>
      </c>
      <c r="N144" s="2">
        <v>285</v>
      </c>
      <c r="O144" s="5">
        <f t="shared" si="7"/>
        <v>313215</v>
      </c>
      <c r="P144">
        <f>MAX(Table1[RATING COUNT])</f>
        <v>426973</v>
      </c>
    </row>
    <row r="145" spans="1:16">
      <c r="A145" t="s">
        <v>1753</v>
      </c>
      <c r="B145" t="s">
        <v>143</v>
      </c>
      <c r="D145" t="s">
        <v>1345</v>
      </c>
      <c r="E145" t="s">
        <v>1349</v>
      </c>
      <c r="F145" t="s">
        <v>1350</v>
      </c>
      <c r="G145" t="s">
        <v>1351</v>
      </c>
      <c r="H145" s="7">
        <v>749</v>
      </c>
      <c r="I145" s="7">
        <v>1339</v>
      </c>
      <c r="J145" s="7" t="str">
        <f t="shared" si="8"/>
        <v>&gt;₹500</v>
      </c>
      <c r="K145" s="1">
        <v>0.44</v>
      </c>
      <c r="L145" s="1" t="str">
        <f t="shared" si="6"/>
        <v>&lt;50%</v>
      </c>
      <c r="M145">
        <v>4.2</v>
      </c>
      <c r="N145" s="2">
        <v>179692</v>
      </c>
      <c r="O145" s="5">
        <f t="shared" si="7"/>
        <v>240607588</v>
      </c>
      <c r="P145">
        <f>MAX(Table1[RATING COUNT])</f>
        <v>426973</v>
      </c>
    </row>
    <row r="146" spans="1:16">
      <c r="A146" t="s">
        <v>1754</v>
      </c>
      <c r="B146" t="s">
        <v>144</v>
      </c>
      <c r="D146" t="s">
        <v>1352</v>
      </c>
      <c r="E146" t="s">
        <v>1353</v>
      </c>
      <c r="F146" t="s">
        <v>1355</v>
      </c>
      <c r="G146" t="s">
        <v>1356</v>
      </c>
      <c r="H146" s="7">
        <v>9999</v>
      </c>
      <c r="I146" s="7">
        <v>12999</v>
      </c>
      <c r="J146" s="7" t="str">
        <f t="shared" si="8"/>
        <v>&gt;₹500</v>
      </c>
      <c r="K146" s="1">
        <v>0.23</v>
      </c>
      <c r="L146" s="1" t="str">
        <f t="shared" si="6"/>
        <v>&lt;50%</v>
      </c>
      <c r="M146">
        <v>4.2</v>
      </c>
      <c r="N146" s="2">
        <v>6088</v>
      </c>
      <c r="O146" s="5">
        <f t="shared" si="7"/>
        <v>79137912</v>
      </c>
      <c r="P146">
        <f>MAX(Table1[RATING COUNT])</f>
        <v>426973</v>
      </c>
    </row>
    <row r="147" spans="1:16">
      <c r="A147" t="s">
        <v>1755</v>
      </c>
      <c r="B147" t="s">
        <v>145</v>
      </c>
      <c r="D147" t="s">
        <v>1352</v>
      </c>
      <c r="E147" t="s">
        <v>1353</v>
      </c>
      <c r="F147" t="s">
        <v>1354</v>
      </c>
      <c r="G147" t="s">
        <v>1357</v>
      </c>
      <c r="H147" s="7">
        <v>195</v>
      </c>
      <c r="I147" s="7">
        <v>499</v>
      </c>
      <c r="J147" s="7" t="str">
        <f t="shared" si="8"/>
        <v>₹200–₹500</v>
      </c>
      <c r="K147" s="1">
        <v>0.61</v>
      </c>
      <c r="L147" s="1" t="str">
        <f t="shared" si="6"/>
        <v>50% or More</v>
      </c>
      <c r="M147">
        <v>3.7</v>
      </c>
      <c r="N147" s="2">
        <v>1383</v>
      </c>
      <c r="O147" s="5">
        <f t="shared" si="7"/>
        <v>690117</v>
      </c>
      <c r="P147">
        <f>MAX(Table1[RATING COUNT])</f>
        <v>426973</v>
      </c>
    </row>
    <row r="148" spans="1:16">
      <c r="A148" t="s">
        <v>1756</v>
      </c>
      <c r="B148" t="s">
        <v>146</v>
      </c>
      <c r="D148" t="s">
        <v>1345</v>
      </c>
      <c r="E148" t="s">
        <v>1346</v>
      </c>
      <c r="F148" t="s">
        <v>1347</v>
      </c>
      <c r="G148" t="s">
        <v>1348</v>
      </c>
      <c r="H148" s="7">
        <v>999</v>
      </c>
      <c r="I148" s="7">
        <v>2100</v>
      </c>
      <c r="J148" s="7" t="str">
        <f t="shared" si="8"/>
        <v>&gt;₹500</v>
      </c>
      <c r="K148" s="1">
        <v>0.52</v>
      </c>
      <c r="L148" s="1" t="str">
        <f t="shared" si="6"/>
        <v>50% or More</v>
      </c>
      <c r="M148">
        <v>4.5</v>
      </c>
      <c r="N148" s="2">
        <v>5492</v>
      </c>
      <c r="O148" s="5">
        <f t="shared" si="7"/>
        <v>11533200</v>
      </c>
      <c r="P148">
        <f>MAX(Table1[RATING COUNT])</f>
        <v>426973</v>
      </c>
    </row>
    <row r="149" spans="1:16">
      <c r="A149" t="s">
        <v>1757</v>
      </c>
      <c r="B149" t="s">
        <v>147</v>
      </c>
      <c r="D149" t="s">
        <v>1345</v>
      </c>
      <c r="E149" t="s">
        <v>1346</v>
      </c>
      <c r="F149" t="s">
        <v>1347</v>
      </c>
      <c r="G149" t="s">
        <v>1348</v>
      </c>
      <c r="H149" s="7">
        <v>499</v>
      </c>
      <c r="I149" s="7">
        <v>899</v>
      </c>
      <c r="J149" s="7" t="str">
        <f t="shared" si="8"/>
        <v>&gt;₹500</v>
      </c>
      <c r="K149" s="1">
        <v>0.44</v>
      </c>
      <c r="L149" s="1" t="str">
        <f t="shared" si="6"/>
        <v>&lt;50%</v>
      </c>
      <c r="M149">
        <v>4.2</v>
      </c>
      <c r="N149" s="2">
        <v>919</v>
      </c>
      <c r="O149" s="5">
        <f t="shared" si="7"/>
        <v>826181</v>
      </c>
      <c r="P149">
        <f>MAX(Table1[RATING COUNT])</f>
        <v>426973</v>
      </c>
    </row>
    <row r="150" spans="1:16">
      <c r="A150" t="s">
        <v>1758</v>
      </c>
      <c r="B150" t="s">
        <v>148</v>
      </c>
      <c r="D150" t="s">
        <v>1352</v>
      </c>
      <c r="E150" t="s">
        <v>1353</v>
      </c>
      <c r="F150" t="s">
        <v>1354</v>
      </c>
      <c r="G150" t="s">
        <v>1348</v>
      </c>
      <c r="H150" s="7">
        <v>416</v>
      </c>
      <c r="I150" s="7">
        <v>599</v>
      </c>
      <c r="J150" s="7" t="str">
        <f t="shared" si="8"/>
        <v>&gt;₹500</v>
      </c>
      <c r="K150" s="1">
        <v>0.31</v>
      </c>
      <c r="L150" s="1" t="str">
        <f t="shared" si="6"/>
        <v>&lt;50%</v>
      </c>
      <c r="M150">
        <v>4.2</v>
      </c>
      <c r="N150" s="2">
        <v>30023</v>
      </c>
      <c r="O150" s="5">
        <f t="shared" si="7"/>
        <v>17983777</v>
      </c>
      <c r="P150">
        <f>MAX(Table1[RATING COUNT])</f>
        <v>426973</v>
      </c>
    </row>
    <row r="151" spans="1:16">
      <c r="A151" t="s">
        <v>1759</v>
      </c>
      <c r="B151" t="s">
        <v>149</v>
      </c>
      <c r="D151" t="s">
        <v>1345</v>
      </c>
      <c r="E151" t="s">
        <v>1346</v>
      </c>
      <c r="F151" t="s">
        <v>1347</v>
      </c>
      <c r="G151" t="s">
        <v>1348</v>
      </c>
      <c r="H151" s="7">
        <v>368</v>
      </c>
      <c r="I151" s="7">
        <v>699</v>
      </c>
      <c r="J151" s="7" t="str">
        <f t="shared" si="8"/>
        <v>&gt;₹500</v>
      </c>
      <c r="K151" s="1">
        <v>0.47</v>
      </c>
      <c r="L151" s="1" t="str">
        <f t="shared" si="6"/>
        <v>&lt;50%</v>
      </c>
      <c r="M151">
        <v>4.2</v>
      </c>
      <c r="N151" s="2">
        <v>387</v>
      </c>
      <c r="O151" s="5">
        <f t="shared" si="7"/>
        <v>270513</v>
      </c>
      <c r="P151">
        <f>MAX(Table1[RATING COUNT])</f>
        <v>426973</v>
      </c>
    </row>
    <row r="152" spans="1:16">
      <c r="A152" t="s">
        <v>1760</v>
      </c>
      <c r="B152" t="s">
        <v>150</v>
      </c>
      <c r="D152" t="s">
        <v>1352</v>
      </c>
      <c r="E152" t="s">
        <v>1353</v>
      </c>
      <c r="F152" t="s">
        <v>1355</v>
      </c>
      <c r="G152" t="s">
        <v>1356</v>
      </c>
      <c r="H152" s="7">
        <v>29990</v>
      </c>
      <c r="I152" s="7">
        <v>65000</v>
      </c>
      <c r="J152" s="7" t="str">
        <f t="shared" si="8"/>
        <v>&gt;₹500</v>
      </c>
      <c r="K152" s="1">
        <v>0.54</v>
      </c>
      <c r="L152" s="1" t="str">
        <f t="shared" si="6"/>
        <v>50% or More</v>
      </c>
      <c r="M152">
        <v>4.0999999999999996</v>
      </c>
      <c r="N152" s="2">
        <v>211</v>
      </c>
      <c r="O152" s="5">
        <f t="shared" si="7"/>
        <v>13715000</v>
      </c>
      <c r="P152">
        <f>MAX(Table1[RATING COUNT])</f>
        <v>426973</v>
      </c>
    </row>
    <row r="153" spans="1:16">
      <c r="A153" t="s">
        <v>1761</v>
      </c>
      <c r="B153" t="s">
        <v>151</v>
      </c>
      <c r="D153" t="s">
        <v>1345</v>
      </c>
      <c r="E153" t="s">
        <v>1346</v>
      </c>
      <c r="F153" t="s">
        <v>1347</v>
      </c>
      <c r="G153" t="s">
        <v>1348</v>
      </c>
      <c r="H153" s="7">
        <v>339</v>
      </c>
      <c r="I153" s="7">
        <v>1099</v>
      </c>
      <c r="J153" s="7" t="str">
        <f t="shared" si="8"/>
        <v>&gt;₹500</v>
      </c>
      <c r="K153" s="1">
        <v>0.69</v>
      </c>
      <c r="L153" s="1" t="str">
        <f t="shared" si="6"/>
        <v>50% or More</v>
      </c>
      <c r="M153">
        <v>4.3</v>
      </c>
      <c r="N153" s="2">
        <v>974</v>
      </c>
      <c r="O153" s="5">
        <f t="shared" si="7"/>
        <v>1070426</v>
      </c>
      <c r="P153">
        <f>MAX(Table1[RATING COUNT])</f>
        <v>426973</v>
      </c>
    </row>
    <row r="154" spans="1:16">
      <c r="A154" t="s">
        <v>1762</v>
      </c>
      <c r="B154" t="s">
        <v>152</v>
      </c>
      <c r="D154" t="s">
        <v>1352</v>
      </c>
      <c r="E154" t="s">
        <v>1353</v>
      </c>
      <c r="F154" t="s">
        <v>1355</v>
      </c>
      <c r="G154" t="s">
        <v>1356</v>
      </c>
      <c r="H154" s="7">
        <v>15490</v>
      </c>
      <c r="I154" s="7">
        <v>20900</v>
      </c>
      <c r="J154" s="7" t="str">
        <f t="shared" si="8"/>
        <v>&gt;₹500</v>
      </c>
      <c r="K154" s="1">
        <v>0.26</v>
      </c>
      <c r="L154" s="1" t="str">
        <f t="shared" si="6"/>
        <v>&lt;50%</v>
      </c>
      <c r="M154">
        <v>4.3</v>
      </c>
      <c r="N154" s="2">
        <v>16299</v>
      </c>
      <c r="O154" s="5">
        <f t="shared" si="7"/>
        <v>340649100</v>
      </c>
      <c r="P154">
        <f>MAX(Table1[RATING COUNT])</f>
        <v>426973</v>
      </c>
    </row>
    <row r="155" spans="1:16">
      <c r="A155" t="s">
        <v>1763</v>
      </c>
      <c r="B155" t="s">
        <v>153</v>
      </c>
      <c r="D155" t="s">
        <v>1345</v>
      </c>
      <c r="E155" t="s">
        <v>1346</v>
      </c>
      <c r="F155" t="s">
        <v>1347</v>
      </c>
      <c r="G155" t="s">
        <v>1348</v>
      </c>
      <c r="H155" s="7">
        <v>499</v>
      </c>
      <c r="I155" s="7">
        <v>1299</v>
      </c>
      <c r="J155" s="7" t="str">
        <f t="shared" si="8"/>
        <v>&gt;₹500</v>
      </c>
      <c r="K155" s="1">
        <v>0.62</v>
      </c>
      <c r="L155" s="1" t="str">
        <f t="shared" si="6"/>
        <v>50% or More</v>
      </c>
      <c r="M155">
        <v>4.3</v>
      </c>
      <c r="N155" s="2">
        <v>30411</v>
      </c>
      <c r="O155" s="5">
        <f t="shared" si="7"/>
        <v>39503889</v>
      </c>
      <c r="P155">
        <f>MAX(Table1[RATING COUNT])</f>
        <v>426973</v>
      </c>
    </row>
    <row r="156" spans="1:16">
      <c r="A156" t="s">
        <v>1764</v>
      </c>
      <c r="B156" t="s">
        <v>154</v>
      </c>
      <c r="D156" t="s">
        <v>1345</v>
      </c>
      <c r="E156" t="s">
        <v>1349</v>
      </c>
      <c r="F156" t="s">
        <v>1350</v>
      </c>
      <c r="G156" t="s">
        <v>1351</v>
      </c>
      <c r="H156" s="7">
        <v>249</v>
      </c>
      <c r="I156" s="7">
        <v>399</v>
      </c>
      <c r="J156" s="7" t="str">
        <f t="shared" si="8"/>
        <v>₹200–₹500</v>
      </c>
      <c r="K156" s="1">
        <v>0.38</v>
      </c>
      <c r="L156" s="1" t="str">
        <f t="shared" si="6"/>
        <v>&lt;50%</v>
      </c>
      <c r="M156">
        <v>3.4</v>
      </c>
      <c r="N156" s="2">
        <v>4642</v>
      </c>
      <c r="O156" s="5">
        <f t="shared" si="7"/>
        <v>1852158</v>
      </c>
      <c r="P156">
        <f>MAX(Table1[RATING COUNT])</f>
        <v>426973</v>
      </c>
    </row>
    <row r="157" spans="1:16">
      <c r="A157" t="s">
        <v>1765</v>
      </c>
      <c r="B157" t="s">
        <v>155</v>
      </c>
      <c r="D157" t="s">
        <v>1352</v>
      </c>
      <c r="E157" t="s">
        <v>1353</v>
      </c>
      <c r="F157" t="s">
        <v>1354</v>
      </c>
      <c r="G157" t="s">
        <v>1357</v>
      </c>
      <c r="H157" s="7">
        <v>399</v>
      </c>
      <c r="I157" s="7">
        <v>799</v>
      </c>
      <c r="J157" s="7" t="str">
        <f t="shared" si="8"/>
        <v>&gt;₹500</v>
      </c>
      <c r="K157" s="1">
        <v>0.5</v>
      </c>
      <c r="L157" s="1" t="str">
        <f t="shared" si="6"/>
        <v>50% or More</v>
      </c>
      <c r="M157">
        <v>4.3</v>
      </c>
      <c r="N157" s="2">
        <v>12</v>
      </c>
      <c r="O157" s="5">
        <f t="shared" si="7"/>
        <v>9588</v>
      </c>
      <c r="P157">
        <f>MAX(Table1[RATING COUNT])</f>
        <v>426973</v>
      </c>
    </row>
    <row r="158" spans="1:16">
      <c r="A158" t="s">
        <v>1766</v>
      </c>
      <c r="B158" t="s">
        <v>156</v>
      </c>
      <c r="D158" t="s">
        <v>1345</v>
      </c>
      <c r="E158" t="s">
        <v>1346</v>
      </c>
      <c r="F158" t="s">
        <v>1347</v>
      </c>
      <c r="G158" t="s">
        <v>1348</v>
      </c>
      <c r="H158" s="7">
        <v>1499</v>
      </c>
      <c r="I158" s="7">
        <v>1999</v>
      </c>
      <c r="J158" s="7" t="str">
        <f t="shared" si="8"/>
        <v>&gt;₹500</v>
      </c>
      <c r="K158" s="1">
        <v>0.25</v>
      </c>
      <c r="L158" s="1" t="str">
        <f t="shared" si="6"/>
        <v>&lt;50%</v>
      </c>
      <c r="M158">
        <v>4.4000000000000004</v>
      </c>
      <c r="N158" s="2">
        <v>1951</v>
      </c>
      <c r="O158" s="5">
        <f t="shared" si="7"/>
        <v>3900049</v>
      </c>
      <c r="P158">
        <f>MAX(Table1[RATING COUNT])</f>
        <v>426973</v>
      </c>
    </row>
    <row r="159" spans="1:16">
      <c r="A159" t="s">
        <v>1767</v>
      </c>
      <c r="B159" t="s">
        <v>157</v>
      </c>
      <c r="D159" t="s">
        <v>1352</v>
      </c>
      <c r="E159" t="s">
        <v>1353</v>
      </c>
      <c r="F159" t="s">
        <v>1363</v>
      </c>
      <c r="H159" s="7">
        <v>9490</v>
      </c>
      <c r="I159" s="7">
        <v>15990</v>
      </c>
      <c r="J159" s="7" t="str">
        <f t="shared" si="8"/>
        <v>&gt;₹500</v>
      </c>
      <c r="K159" s="1">
        <v>0.41</v>
      </c>
      <c r="L159" s="1" t="str">
        <f t="shared" si="6"/>
        <v>&lt;50%</v>
      </c>
      <c r="M159">
        <v>3.9</v>
      </c>
      <c r="N159" s="2">
        <v>10480</v>
      </c>
      <c r="O159" s="5">
        <f t="shared" si="7"/>
        <v>167575200</v>
      </c>
      <c r="P159">
        <f>MAX(Table1[RATING COUNT])</f>
        <v>426973</v>
      </c>
    </row>
    <row r="160" spans="1:16">
      <c r="A160" t="s">
        <v>1768</v>
      </c>
      <c r="B160" t="s">
        <v>158</v>
      </c>
      <c r="D160" t="s">
        <v>1352</v>
      </c>
      <c r="E160" t="s">
        <v>1353</v>
      </c>
      <c r="F160" t="s">
        <v>1354</v>
      </c>
      <c r="G160" t="s">
        <v>1348</v>
      </c>
      <c r="H160" s="7">
        <v>637</v>
      </c>
      <c r="I160" s="7">
        <v>1499</v>
      </c>
      <c r="J160" s="7" t="str">
        <f t="shared" si="8"/>
        <v>&gt;₹500</v>
      </c>
      <c r="K160" s="1">
        <v>0.57999999999999996</v>
      </c>
      <c r="L160" s="1" t="str">
        <f t="shared" si="6"/>
        <v>50% or More</v>
      </c>
      <c r="M160">
        <v>4.0999999999999996</v>
      </c>
      <c r="N160" s="2">
        <v>24</v>
      </c>
      <c r="O160" s="5">
        <f t="shared" si="7"/>
        <v>35976</v>
      </c>
      <c r="P160">
        <f>MAX(Table1[RATING COUNT])</f>
        <v>426973</v>
      </c>
    </row>
    <row r="161" spans="1:16">
      <c r="A161" t="s">
        <v>1769</v>
      </c>
      <c r="B161" t="s">
        <v>159</v>
      </c>
      <c r="D161" t="s">
        <v>1352</v>
      </c>
      <c r="E161" t="s">
        <v>1353</v>
      </c>
      <c r="F161" t="s">
        <v>1354</v>
      </c>
      <c r="G161" t="s">
        <v>1357</v>
      </c>
      <c r="H161" s="7">
        <v>399</v>
      </c>
      <c r="I161" s="7">
        <v>899</v>
      </c>
      <c r="J161" s="7" t="str">
        <f t="shared" si="8"/>
        <v>&gt;₹500</v>
      </c>
      <c r="K161" s="1">
        <v>0.56000000000000005</v>
      </c>
      <c r="L161" s="1" t="str">
        <f t="shared" si="6"/>
        <v>50% or More</v>
      </c>
      <c r="M161">
        <v>3.9</v>
      </c>
      <c r="N161" s="2">
        <v>254</v>
      </c>
      <c r="O161" s="5">
        <f t="shared" si="7"/>
        <v>228346</v>
      </c>
      <c r="P161">
        <f>MAX(Table1[RATING COUNT])</f>
        <v>426973</v>
      </c>
    </row>
    <row r="162" spans="1:16">
      <c r="A162" t="s">
        <v>1770</v>
      </c>
      <c r="B162" t="s">
        <v>160</v>
      </c>
      <c r="D162" t="s">
        <v>1352</v>
      </c>
      <c r="E162" t="s">
        <v>1353</v>
      </c>
      <c r="F162" t="s">
        <v>1354</v>
      </c>
      <c r="G162" t="s">
        <v>1348</v>
      </c>
      <c r="H162" s="7">
        <v>1089</v>
      </c>
      <c r="I162" s="7">
        <v>1600</v>
      </c>
      <c r="J162" s="7" t="str">
        <f t="shared" si="8"/>
        <v>&gt;₹500</v>
      </c>
      <c r="K162" s="1">
        <v>0.32</v>
      </c>
      <c r="L162" s="1" t="str">
        <f t="shared" si="6"/>
        <v>&lt;50%</v>
      </c>
      <c r="M162">
        <v>4</v>
      </c>
      <c r="N162" s="2">
        <v>3565</v>
      </c>
      <c r="O162" s="5">
        <f t="shared" si="7"/>
        <v>5704000</v>
      </c>
      <c r="P162">
        <f>MAX(Table1[RATING COUNT])</f>
        <v>426973</v>
      </c>
    </row>
    <row r="163" spans="1:16">
      <c r="A163" t="s">
        <v>1771</v>
      </c>
      <c r="B163" t="s">
        <v>161</v>
      </c>
      <c r="D163" t="s">
        <v>1345</v>
      </c>
      <c r="E163" t="s">
        <v>1346</v>
      </c>
      <c r="F163" t="s">
        <v>1347</v>
      </c>
      <c r="G163" t="s">
        <v>1348</v>
      </c>
      <c r="H163" s="7">
        <v>339</v>
      </c>
      <c r="I163" s="7">
        <v>999</v>
      </c>
      <c r="J163" s="7" t="str">
        <f t="shared" si="8"/>
        <v>&gt;₹500</v>
      </c>
      <c r="K163" s="1">
        <v>0.66</v>
      </c>
      <c r="L163" s="1" t="str">
        <f t="shared" si="6"/>
        <v>50% or More</v>
      </c>
      <c r="M163">
        <v>4.3</v>
      </c>
      <c r="N163" s="2">
        <v>6255</v>
      </c>
      <c r="O163" s="5">
        <f t="shared" si="7"/>
        <v>6248745</v>
      </c>
      <c r="P163">
        <f>MAX(Table1[RATING COUNT])</f>
        <v>426973</v>
      </c>
    </row>
    <row r="164" spans="1:16">
      <c r="A164" t="s">
        <v>1772</v>
      </c>
      <c r="B164" t="s">
        <v>162</v>
      </c>
      <c r="D164" t="s">
        <v>1345</v>
      </c>
      <c r="E164" t="s">
        <v>1346</v>
      </c>
      <c r="F164" t="s">
        <v>1347</v>
      </c>
      <c r="G164" t="s">
        <v>1348</v>
      </c>
      <c r="H164" s="7">
        <v>149</v>
      </c>
      <c r="I164" s="7">
        <v>499</v>
      </c>
      <c r="J164" s="7" t="str">
        <f t="shared" si="8"/>
        <v>₹200–₹500</v>
      </c>
      <c r="K164" s="1">
        <v>0.7</v>
      </c>
      <c r="L164" s="1" t="str">
        <f t="shared" si="6"/>
        <v>50% or More</v>
      </c>
      <c r="M164">
        <v>4</v>
      </c>
      <c r="N164" s="2">
        <v>7732</v>
      </c>
      <c r="O164" s="5">
        <f t="shared" si="7"/>
        <v>3858268</v>
      </c>
      <c r="P164">
        <f>MAX(Table1[RATING COUNT])</f>
        <v>426973</v>
      </c>
    </row>
    <row r="165" spans="1:16">
      <c r="A165" t="s">
        <v>1773</v>
      </c>
      <c r="B165" t="s">
        <v>163</v>
      </c>
      <c r="D165" t="s">
        <v>1345</v>
      </c>
      <c r="E165" t="s">
        <v>1346</v>
      </c>
      <c r="F165" t="s">
        <v>1347</v>
      </c>
      <c r="G165" t="s">
        <v>1348</v>
      </c>
      <c r="H165" s="7">
        <v>149</v>
      </c>
      <c r="I165" s="7">
        <v>399</v>
      </c>
      <c r="J165" s="7" t="str">
        <f t="shared" si="8"/>
        <v>₹200–₹500</v>
      </c>
      <c r="K165" s="1">
        <v>0.63</v>
      </c>
      <c r="L165" s="1" t="str">
        <f t="shared" si="6"/>
        <v>50% or More</v>
      </c>
      <c r="M165">
        <v>3.9</v>
      </c>
      <c r="N165" s="2">
        <v>57</v>
      </c>
      <c r="O165" s="5">
        <f t="shared" si="7"/>
        <v>22743</v>
      </c>
      <c r="P165">
        <f>MAX(Table1[RATING COUNT])</f>
        <v>426973</v>
      </c>
    </row>
    <row r="166" spans="1:16">
      <c r="A166" t="s">
        <v>1774</v>
      </c>
      <c r="B166" t="s">
        <v>164</v>
      </c>
      <c r="D166" t="s">
        <v>1345</v>
      </c>
      <c r="E166" t="s">
        <v>1346</v>
      </c>
      <c r="F166" t="s">
        <v>1347</v>
      </c>
      <c r="G166" t="s">
        <v>1348</v>
      </c>
      <c r="H166" s="7">
        <v>599</v>
      </c>
      <c r="I166" s="7">
        <v>849</v>
      </c>
      <c r="J166" s="7" t="str">
        <f t="shared" si="8"/>
        <v>&gt;₹500</v>
      </c>
      <c r="K166" s="1">
        <v>0.28999999999999998</v>
      </c>
      <c r="L166" s="1" t="str">
        <f t="shared" si="6"/>
        <v>&lt;50%</v>
      </c>
      <c r="M166">
        <v>4.5</v>
      </c>
      <c r="N166" s="2">
        <v>577</v>
      </c>
      <c r="O166" s="5">
        <f t="shared" si="7"/>
        <v>489873</v>
      </c>
      <c r="P166">
        <f>MAX(Table1[RATING COUNT])</f>
        <v>426973</v>
      </c>
    </row>
    <row r="167" spans="1:16">
      <c r="A167" t="s">
        <v>1775</v>
      </c>
      <c r="B167" t="s">
        <v>165</v>
      </c>
      <c r="D167" t="s">
        <v>1352</v>
      </c>
      <c r="E167" t="s">
        <v>1353</v>
      </c>
      <c r="F167" t="s">
        <v>1354</v>
      </c>
      <c r="G167" t="s">
        <v>1357</v>
      </c>
      <c r="H167" s="7">
        <v>299</v>
      </c>
      <c r="I167" s="7">
        <v>1199</v>
      </c>
      <c r="J167" s="7" t="str">
        <f t="shared" si="8"/>
        <v>&gt;₹500</v>
      </c>
      <c r="K167" s="1">
        <v>0.75</v>
      </c>
      <c r="L167" s="1" t="str">
        <f t="shared" si="6"/>
        <v>50% or More</v>
      </c>
      <c r="M167">
        <v>3.9</v>
      </c>
      <c r="N167" s="2">
        <v>1193</v>
      </c>
      <c r="O167" s="5">
        <f t="shared" si="7"/>
        <v>1430407</v>
      </c>
      <c r="P167">
        <f>MAX(Table1[RATING COUNT])</f>
        <v>426973</v>
      </c>
    </row>
    <row r="168" spans="1:16">
      <c r="A168" t="s">
        <v>1776</v>
      </c>
      <c r="B168" t="s">
        <v>166</v>
      </c>
      <c r="D168" t="s">
        <v>1345</v>
      </c>
      <c r="E168" t="s">
        <v>1346</v>
      </c>
      <c r="F168" t="s">
        <v>1347</v>
      </c>
      <c r="G168" t="s">
        <v>1348</v>
      </c>
      <c r="H168" s="7">
        <v>399</v>
      </c>
      <c r="I168" s="7">
        <v>1299</v>
      </c>
      <c r="J168" s="7" t="str">
        <f t="shared" si="8"/>
        <v>&gt;₹500</v>
      </c>
      <c r="K168" s="1">
        <v>0.69</v>
      </c>
      <c r="L168" s="1" t="str">
        <f t="shared" si="6"/>
        <v>50% or More</v>
      </c>
      <c r="M168">
        <v>4.2</v>
      </c>
      <c r="N168" s="2">
        <v>13120</v>
      </c>
      <c r="O168" s="5">
        <f t="shared" si="7"/>
        <v>17042880</v>
      </c>
      <c r="P168">
        <f>MAX(Table1[RATING COUNT])</f>
        <v>426973</v>
      </c>
    </row>
    <row r="169" spans="1:16">
      <c r="A169" t="s">
        <v>1777</v>
      </c>
      <c r="B169" t="s">
        <v>167</v>
      </c>
      <c r="D169" t="s">
        <v>1352</v>
      </c>
      <c r="E169" t="s">
        <v>1353</v>
      </c>
      <c r="F169" t="s">
        <v>1354</v>
      </c>
      <c r="G169" t="s">
        <v>1357</v>
      </c>
      <c r="H169" s="7">
        <v>339</v>
      </c>
      <c r="I169" s="7">
        <v>1999</v>
      </c>
      <c r="J169" s="7" t="str">
        <f t="shared" si="8"/>
        <v>&gt;₹500</v>
      </c>
      <c r="K169" s="1">
        <v>0.83</v>
      </c>
      <c r="L169" s="1" t="str">
        <f t="shared" si="6"/>
        <v>50% or More</v>
      </c>
      <c r="M169">
        <v>4</v>
      </c>
      <c r="N169" s="2">
        <v>343</v>
      </c>
      <c r="O169" s="5">
        <f t="shared" si="7"/>
        <v>685657</v>
      </c>
      <c r="P169">
        <f>MAX(Table1[RATING COUNT])</f>
        <v>426973</v>
      </c>
    </row>
    <row r="170" spans="1:16">
      <c r="A170" t="s">
        <v>1778</v>
      </c>
      <c r="B170" t="s">
        <v>168</v>
      </c>
      <c r="D170" t="s">
        <v>1352</v>
      </c>
      <c r="E170" t="s">
        <v>1353</v>
      </c>
      <c r="F170" t="s">
        <v>1355</v>
      </c>
      <c r="G170" t="s">
        <v>1356</v>
      </c>
      <c r="H170" s="7">
        <v>12499</v>
      </c>
      <c r="I170" s="7">
        <v>22990</v>
      </c>
      <c r="J170" s="7" t="str">
        <f t="shared" si="8"/>
        <v>&gt;₹500</v>
      </c>
      <c r="K170" s="1">
        <v>0.46</v>
      </c>
      <c r="L170" s="1" t="str">
        <f t="shared" si="6"/>
        <v>&lt;50%</v>
      </c>
      <c r="M170">
        <v>4.3</v>
      </c>
      <c r="N170" s="2">
        <v>1611</v>
      </c>
      <c r="O170" s="5">
        <f t="shared" si="7"/>
        <v>37036890</v>
      </c>
      <c r="P170">
        <f>MAX(Table1[RATING COUNT])</f>
        <v>426973</v>
      </c>
    </row>
    <row r="171" spans="1:16">
      <c r="A171" t="s">
        <v>1779</v>
      </c>
      <c r="B171" t="s">
        <v>169</v>
      </c>
      <c r="D171" t="s">
        <v>1345</v>
      </c>
      <c r="E171" t="s">
        <v>1346</v>
      </c>
      <c r="F171" t="s">
        <v>1347</v>
      </c>
      <c r="G171" t="s">
        <v>1348</v>
      </c>
      <c r="H171" s="7">
        <v>249</v>
      </c>
      <c r="I171" s="7">
        <v>399</v>
      </c>
      <c r="J171" s="7" t="str">
        <f t="shared" si="8"/>
        <v>₹200–₹500</v>
      </c>
      <c r="K171" s="1">
        <v>0.38</v>
      </c>
      <c r="L171" s="1" t="str">
        <f t="shared" si="6"/>
        <v>&lt;50%</v>
      </c>
      <c r="M171">
        <v>4</v>
      </c>
      <c r="N171" s="2">
        <v>6558</v>
      </c>
      <c r="O171" s="5">
        <f t="shared" si="7"/>
        <v>2616642</v>
      </c>
      <c r="P171">
        <f>MAX(Table1[RATING COUNT])</f>
        <v>426973</v>
      </c>
    </row>
    <row r="172" spans="1:16">
      <c r="A172" t="s">
        <v>1780</v>
      </c>
      <c r="B172" t="s">
        <v>170</v>
      </c>
      <c r="D172" t="s">
        <v>1345</v>
      </c>
      <c r="E172" t="s">
        <v>1349</v>
      </c>
      <c r="F172" t="s">
        <v>1350</v>
      </c>
      <c r="G172" t="s">
        <v>1351</v>
      </c>
      <c r="H172" s="7">
        <v>1399</v>
      </c>
      <c r="I172" s="7">
        <v>2499</v>
      </c>
      <c r="J172" s="7" t="str">
        <f t="shared" si="8"/>
        <v>&gt;₹500</v>
      </c>
      <c r="K172" s="1">
        <v>0.44</v>
      </c>
      <c r="L172" s="1" t="str">
        <f t="shared" si="6"/>
        <v>&lt;50%</v>
      </c>
      <c r="M172">
        <v>4.4000000000000004</v>
      </c>
      <c r="N172" s="2">
        <v>23169</v>
      </c>
      <c r="O172" s="5">
        <f t="shared" si="7"/>
        <v>57899331</v>
      </c>
      <c r="P172">
        <f>MAX(Table1[RATING COUNT])</f>
        <v>426973</v>
      </c>
    </row>
    <row r="173" spans="1:16">
      <c r="A173" t="s">
        <v>1781</v>
      </c>
      <c r="B173" t="s">
        <v>171</v>
      </c>
      <c r="D173" t="s">
        <v>1352</v>
      </c>
      <c r="E173" t="s">
        <v>1353</v>
      </c>
      <c r="F173" t="s">
        <v>1355</v>
      </c>
      <c r="G173" t="s">
        <v>1356</v>
      </c>
      <c r="H173" s="7">
        <v>32999</v>
      </c>
      <c r="I173" s="7">
        <v>47990</v>
      </c>
      <c r="J173" s="7" t="str">
        <f t="shared" si="8"/>
        <v>&gt;₹500</v>
      </c>
      <c r="K173" s="1">
        <v>0.31</v>
      </c>
      <c r="L173" s="1" t="str">
        <f t="shared" si="6"/>
        <v>&lt;50%</v>
      </c>
      <c r="M173">
        <v>4.3</v>
      </c>
      <c r="N173" s="2">
        <v>4703</v>
      </c>
      <c r="O173" s="5">
        <f t="shared" si="7"/>
        <v>225696970</v>
      </c>
      <c r="P173">
        <f>MAX(Table1[RATING COUNT])</f>
        <v>426973</v>
      </c>
    </row>
    <row r="174" spans="1:16">
      <c r="A174" t="s">
        <v>1782</v>
      </c>
      <c r="B174" t="s">
        <v>172</v>
      </c>
      <c r="D174" t="s">
        <v>1345</v>
      </c>
      <c r="E174" t="s">
        <v>1346</v>
      </c>
      <c r="F174" t="s">
        <v>1347</v>
      </c>
      <c r="G174" t="s">
        <v>1348</v>
      </c>
      <c r="H174" s="7">
        <v>149</v>
      </c>
      <c r="I174" s="7">
        <v>399</v>
      </c>
      <c r="J174" s="7" t="str">
        <f t="shared" si="8"/>
        <v>₹200–₹500</v>
      </c>
      <c r="K174" s="1">
        <v>0.63</v>
      </c>
      <c r="L174" s="1" t="str">
        <f t="shared" si="6"/>
        <v>50% or More</v>
      </c>
      <c r="M174">
        <v>4</v>
      </c>
      <c r="N174" s="2">
        <v>1423</v>
      </c>
      <c r="O174" s="5">
        <f t="shared" si="7"/>
        <v>567777</v>
      </c>
      <c r="P174">
        <f>MAX(Table1[RATING COUNT])</f>
        <v>426973</v>
      </c>
    </row>
    <row r="175" spans="1:16">
      <c r="A175" t="s">
        <v>1783</v>
      </c>
      <c r="B175" t="s">
        <v>173</v>
      </c>
      <c r="D175" t="s">
        <v>1345</v>
      </c>
      <c r="E175" t="s">
        <v>1346</v>
      </c>
      <c r="F175" t="s">
        <v>1347</v>
      </c>
      <c r="G175" t="s">
        <v>1348</v>
      </c>
      <c r="H175" s="7">
        <v>325</v>
      </c>
      <c r="I175" s="7">
        <v>999</v>
      </c>
      <c r="J175" s="7" t="str">
        <f t="shared" si="8"/>
        <v>&gt;₹500</v>
      </c>
      <c r="K175" s="1">
        <v>0.67</v>
      </c>
      <c r="L175" s="1" t="str">
        <f t="shared" si="6"/>
        <v>50% or More</v>
      </c>
      <c r="M175">
        <v>4.3</v>
      </c>
      <c r="N175" s="2">
        <v>2651</v>
      </c>
      <c r="O175" s="5">
        <f t="shared" si="7"/>
        <v>2648349</v>
      </c>
      <c r="P175">
        <f>MAX(Table1[RATING COUNT])</f>
        <v>426973</v>
      </c>
    </row>
    <row r="176" spans="1:16">
      <c r="A176" t="s">
        <v>1784</v>
      </c>
      <c r="B176" t="s">
        <v>174</v>
      </c>
      <c r="D176" t="s">
        <v>1345</v>
      </c>
      <c r="E176" t="s">
        <v>1346</v>
      </c>
      <c r="F176" t="s">
        <v>1347</v>
      </c>
      <c r="G176" t="s">
        <v>1348</v>
      </c>
      <c r="H176" s="7">
        <v>399</v>
      </c>
      <c r="I176" s="7">
        <v>1999</v>
      </c>
      <c r="J176" s="7" t="str">
        <f t="shared" si="8"/>
        <v>&gt;₹500</v>
      </c>
      <c r="K176" s="1">
        <v>0.8</v>
      </c>
      <c r="L176" s="1" t="str">
        <f t="shared" si="6"/>
        <v>50% or More</v>
      </c>
      <c r="M176">
        <v>5</v>
      </c>
      <c r="N176" s="2">
        <v>5</v>
      </c>
      <c r="O176" s="5">
        <f t="shared" si="7"/>
        <v>9995</v>
      </c>
      <c r="P176">
        <f>MAX(Table1[RATING COUNT])</f>
        <v>426973</v>
      </c>
    </row>
    <row r="177" spans="1:16">
      <c r="A177" t="s">
        <v>1785</v>
      </c>
      <c r="B177" t="s">
        <v>175</v>
      </c>
      <c r="D177" t="s">
        <v>1345</v>
      </c>
      <c r="E177" t="s">
        <v>1349</v>
      </c>
      <c r="F177" t="s">
        <v>1350</v>
      </c>
      <c r="G177" t="s">
        <v>1351</v>
      </c>
      <c r="H177" s="7">
        <v>199</v>
      </c>
      <c r="I177" s="7">
        <v>499</v>
      </c>
      <c r="J177" s="7" t="str">
        <f t="shared" si="8"/>
        <v>₹200–₹500</v>
      </c>
      <c r="K177" s="1">
        <v>0.6</v>
      </c>
      <c r="L177" s="1" t="str">
        <f t="shared" si="6"/>
        <v>50% or More</v>
      </c>
      <c r="M177">
        <v>3.7</v>
      </c>
      <c r="N177" s="2">
        <v>612</v>
      </c>
      <c r="O177" s="5">
        <f t="shared" si="7"/>
        <v>305388</v>
      </c>
      <c r="P177">
        <f>MAX(Table1[RATING COUNT])</f>
        <v>426973</v>
      </c>
    </row>
    <row r="178" spans="1:16">
      <c r="A178" t="s">
        <v>1786</v>
      </c>
      <c r="B178" t="s">
        <v>176</v>
      </c>
      <c r="D178" t="s">
        <v>1345</v>
      </c>
      <c r="E178" t="s">
        <v>1346</v>
      </c>
      <c r="F178" t="s">
        <v>1347</v>
      </c>
      <c r="G178" t="s">
        <v>1348</v>
      </c>
      <c r="H178" s="7">
        <v>88</v>
      </c>
      <c r="I178" s="7">
        <v>299</v>
      </c>
      <c r="J178" s="7" t="str">
        <f t="shared" si="8"/>
        <v>₹200–₹500</v>
      </c>
      <c r="K178" s="1">
        <v>0.71</v>
      </c>
      <c r="L178" s="1" t="str">
        <f t="shared" si="6"/>
        <v>50% or More</v>
      </c>
      <c r="M178">
        <v>4</v>
      </c>
      <c r="N178" s="2">
        <v>9378</v>
      </c>
      <c r="O178" s="5">
        <f t="shared" si="7"/>
        <v>2804022</v>
      </c>
      <c r="P178">
        <f>MAX(Table1[RATING COUNT])</f>
        <v>426973</v>
      </c>
    </row>
    <row r="179" spans="1:16">
      <c r="A179" t="s">
        <v>1787</v>
      </c>
      <c r="B179" t="s">
        <v>177</v>
      </c>
      <c r="D179" t="s">
        <v>1345</v>
      </c>
      <c r="E179" t="s">
        <v>1346</v>
      </c>
      <c r="F179" t="s">
        <v>1347</v>
      </c>
      <c r="G179" t="s">
        <v>1348</v>
      </c>
      <c r="H179" s="7">
        <v>399</v>
      </c>
      <c r="I179" s="7">
        <v>1099</v>
      </c>
      <c r="J179" s="7" t="str">
        <f t="shared" si="8"/>
        <v>&gt;₹500</v>
      </c>
      <c r="K179" s="1">
        <v>0.64</v>
      </c>
      <c r="L179" s="1" t="str">
        <f t="shared" si="6"/>
        <v>50% or More</v>
      </c>
      <c r="M179">
        <v>4.0999999999999996</v>
      </c>
      <c r="N179" s="2">
        <v>2685</v>
      </c>
      <c r="O179" s="5">
        <f t="shared" si="7"/>
        <v>2950815</v>
      </c>
      <c r="P179">
        <f>MAX(Table1[RATING COUNT])</f>
        <v>426973</v>
      </c>
    </row>
    <row r="180" spans="1:16">
      <c r="A180" t="s">
        <v>1788</v>
      </c>
      <c r="B180" t="s">
        <v>178</v>
      </c>
      <c r="D180" t="s">
        <v>1345</v>
      </c>
      <c r="E180" t="s">
        <v>1346</v>
      </c>
      <c r="F180" t="s">
        <v>1347</v>
      </c>
      <c r="G180" t="s">
        <v>1348</v>
      </c>
      <c r="H180" s="7">
        <v>57.89</v>
      </c>
      <c r="I180" s="7">
        <v>199</v>
      </c>
      <c r="J180" s="7" t="str">
        <f t="shared" si="8"/>
        <v>&lt;₹200</v>
      </c>
      <c r="K180" s="1">
        <v>0.71</v>
      </c>
      <c r="L180" s="1" t="str">
        <f t="shared" si="6"/>
        <v>50% or More</v>
      </c>
      <c r="M180">
        <v>4</v>
      </c>
      <c r="N180" s="2">
        <v>9378</v>
      </c>
      <c r="O180" s="5">
        <f t="shared" si="7"/>
        <v>1866222</v>
      </c>
      <c r="P180">
        <f>MAX(Table1[RATING COUNT])</f>
        <v>426973</v>
      </c>
    </row>
    <row r="181" spans="1:16">
      <c r="A181" t="s">
        <v>1789</v>
      </c>
      <c r="B181" t="s">
        <v>179</v>
      </c>
      <c r="D181" t="s">
        <v>1352</v>
      </c>
      <c r="E181" t="s">
        <v>1353</v>
      </c>
      <c r="F181" t="s">
        <v>1354</v>
      </c>
      <c r="G181" t="s">
        <v>1357</v>
      </c>
      <c r="H181" s="7">
        <v>799</v>
      </c>
      <c r="I181" s="7">
        <v>1999</v>
      </c>
      <c r="J181" s="7" t="str">
        <f t="shared" si="8"/>
        <v>&gt;₹500</v>
      </c>
      <c r="K181" s="1">
        <v>0.6</v>
      </c>
      <c r="L181" s="1" t="str">
        <f t="shared" si="6"/>
        <v>50% or More</v>
      </c>
      <c r="M181">
        <v>3.3</v>
      </c>
      <c r="N181" s="2">
        <v>576</v>
      </c>
      <c r="O181" s="5">
        <f t="shared" si="7"/>
        <v>1151424</v>
      </c>
      <c r="P181">
        <f>MAX(Table1[RATING COUNT])</f>
        <v>426973</v>
      </c>
    </row>
    <row r="182" spans="1:16">
      <c r="A182" t="s">
        <v>1790</v>
      </c>
      <c r="B182" t="s">
        <v>180</v>
      </c>
      <c r="D182" t="s">
        <v>1352</v>
      </c>
      <c r="E182" t="s">
        <v>1353</v>
      </c>
      <c r="F182" t="s">
        <v>1354</v>
      </c>
      <c r="G182" t="s">
        <v>1357</v>
      </c>
      <c r="H182" s="7">
        <v>205</v>
      </c>
      <c r="I182" s="7">
        <v>499</v>
      </c>
      <c r="J182" s="7" t="str">
        <f t="shared" si="8"/>
        <v>₹200–₹500</v>
      </c>
      <c r="K182" s="1">
        <v>0.59</v>
      </c>
      <c r="L182" s="1" t="str">
        <f t="shared" si="6"/>
        <v>50% or More</v>
      </c>
      <c r="M182">
        <v>3.8</v>
      </c>
      <c r="N182" s="2">
        <v>313</v>
      </c>
      <c r="O182" s="5">
        <f t="shared" si="7"/>
        <v>156187</v>
      </c>
      <c r="P182">
        <f>MAX(Table1[RATING COUNT])</f>
        <v>426973</v>
      </c>
    </row>
    <row r="183" spans="1:16">
      <c r="A183" t="s">
        <v>1791</v>
      </c>
      <c r="B183" t="s">
        <v>181</v>
      </c>
      <c r="D183" t="s">
        <v>1345</v>
      </c>
      <c r="E183" t="s">
        <v>1346</v>
      </c>
      <c r="F183" t="s">
        <v>1347</v>
      </c>
      <c r="G183" t="s">
        <v>1348</v>
      </c>
      <c r="H183" s="7">
        <v>299</v>
      </c>
      <c r="I183" s="7">
        <v>699</v>
      </c>
      <c r="J183" s="7" t="str">
        <f t="shared" si="8"/>
        <v>&gt;₹500</v>
      </c>
      <c r="K183" s="1">
        <v>0.56999999999999995</v>
      </c>
      <c r="L183" s="1" t="str">
        <f t="shared" si="6"/>
        <v>50% or More</v>
      </c>
      <c r="M183">
        <v>4.0999999999999996</v>
      </c>
      <c r="N183" s="2">
        <v>2957</v>
      </c>
      <c r="O183" s="5">
        <f t="shared" si="7"/>
        <v>2066943</v>
      </c>
      <c r="P183">
        <f>MAX(Table1[RATING COUNT])</f>
        <v>426973</v>
      </c>
    </row>
    <row r="184" spans="1:16">
      <c r="A184" t="s">
        <v>1792</v>
      </c>
      <c r="B184" t="s">
        <v>182</v>
      </c>
      <c r="D184" t="s">
        <v>1345</v>
      </c>
      <c r="E184" t="s">
        <v>1346</v>
      </c>
      <c r="F184" t="s">
        <v>1347</v>
      </c>
      <c r="G184" t="s">
        <v>1348</v>
      </c>
      <c r="H184" s="7">
        <v>849</v>
      </c>
      <c r="I184" s="7">
        <v>999</v>
      </c>
      <c r="J184" s="7" t="str">
        <f t="shared" si="8"/>
        <v>&gt;₹500</v>
      </c>
      <c r="K184" s="1">
        <v>0.15</v>
      </c>
      <c r="L184" s="1" t="str">
        <f t="shared" si="6"/>
        <v>&lt;50%</v>
      </c>
      <c r="M184">
        <v>4.0999999999999996</v>
      </c>
      <c r="N184" s="2">
        <v>6736</v>
      </c>
      <c r="O184" s="5">
        <f t="shared" si="7"/>
        <v>6729264</v>
      </c>
      <c r="P184">
        <f>MAX(Table1[RATING COUNT])</f>
        <v>426973</v>
      </c>
    </row>
    <row r="185" spans="1:16">
      <c r="A185" t="s">
        <v>1793</v>
      </c>
      <c r="B185" t="s">
        <v>183</v>
      </c>
      <c r="D185" t="s">
        <v>1345</v>
      </c>
      <c r="E185" t="s">
        <v>1346</v>
      </c>
      <c r="F185" t="s">
        <v>1347</v>
      </c>
      <c r="G185" t="s">
        <v>1348</v>
      </c>
      <c r="H185" s="7">
        <v>949</v>
      </c>
      <c r="I185" s="7">
        <v>1999</v>
      </c>
      <c r="J185" s="7" t="str">
        <f t="shared" si="8"/>
        <v>&gt;₹500</v>
      </c>
      <c r="K185" s="1">
        <v>0.53</v>
      </c>
      <c r="L185" s="1" t="str">
        <f t="shared" si="6"/>
        <v>50% or More</v>
      </c>
      <c r="M185">
        <v>4.4000000000000004</v>
      </c>
      <c r="N185" s="2">
        <v>13552</v>
      </c>
      <c r="O185" s="5">
        <f t="shared" si="7"/>
        <v>27090448</v>
      </c>
      <c r="P185">
        <f>MAX(Table1[RATING COUNT])</f>
        <v>426973</v>
      </c>
    </row>
    <row r="186" spans="1:16">
      <c r="A186" t="s">
        <v>1794</v>
      </c>
      <c r="B186" t="s">
        <v>184</v>
      </c>
      <c r="D186" t="s">
        <v>1345</v>
      </c>
      <c r="E186" t="s">
        <v>1346</v>
      </c>
      <c r="F186" t="s">
        <v>1347</v>
      </c>
      <c r="G186" t="s">
        <v>1348</v>
      </c>
      <c r="H186" s="7">
        <v>499</v>
      </c>
      <c r="I186" s="7">
        <v>1200</v>
      </c>
      <c r="J186" s="7" t="str">
        <f t="shared" si="8"/>
        <v>&gt;₹500</v>
      </c>
      <c r="K186" s="1">
        <v>0.57999999999999996</v>
      </c>
      <c r="L186" s="1" t="str">
        <f t="shared" si="6"/>
        <v>50% or More</v>
      </c>
      <c r="M186">
        <v>4.3</v>
      </c>
      <c r="N186" s="2">
        <v>5451</v>
      </c>
      <c r="O186" s="5">
        <f t="shared" si="7"/>
        <v>6541200</v>
      </c>
      <c r="P186">
        <f>MAX(Table1[RATING COUNT])</f>
        <v>426973</v>
      </c>
    </row>
    <row r="187" spans="1:16">
      <c r="A187" t="s">
        <v>1795</v>
      </c>
      <c r="B187" t="s">
        <v>185</v>
      </c>
      <c r="D187" t="s">
        <v>1345</v>
      </c>
      <c r="E187" t="s">
        <v>1346</v>
      </c>
      <c r="F187" t="s">
        <v>1347</v>
      </c>
      <c r="G187" t="s">
        <v>1348</v>
      </c>
      <c r="H187" s="7">
        <v>299</v>
      </c>
      <c r="I187" s="7">
        <v>485</v>
      </c>
      <c r="J187" s="7" t="str">
        <f t="shared" si="8"/>
        <v>₹200–₹500</v>
      </c>
      <c r="K187" s="1">
        <v>0.38</v>
      </c>
      <c r="L187" s="1" t="str">
        <f t="shared" si="6"/>
        <v>&lt;50%</v>
      </c>
      <c r="M187">
        <v>4.3</v>
      </c>
      <c r="N187" s="2">
        <v>10911</v>
      </c>
      <c r="O187" s="5">
        <f t="shared" si="7"/>
        <v>5291835</v>
      </c>
      <c r="P187">
        <f>MAX(Table1[RATING COUNT])</f>
        <v>426973</v>
      </c>
    </row>
    <row r="188" spans="1:16">
      <c r="A188" t="s">
        <v>1796</v>
      </c>
      <c r="B188" t="s">
        <v>186</v>
      </c>
      <c r="D188" t="s">
        <v>1345</v>
      </c>
      <c r="E188" t="s">
        <v>1346</v>
      </c>
      <c r="F188" t="s">
        <v>1347</v>
      </c>
      <c r="G188" t="s">
        <v>1348</v>
      </c>
      <c r="H188" s="7">
        <v>949</v>
      </c>
      <c r="I188" s="7">
        <v>1999</v>
      </c>
      <c r="J188" s="7" t="str">
        <f t="shared" si="8"/>
        <v>&gt;₹500</v>
      </c>
      <c r="K188" s="1">
        <v>0.53</v>
      </c>
      <c r="L188" s="1" t="str">
        <f t="shared" si="6"/>
        <v>50% or More</v>
      </c>
      <c r="M188">
        <v>4.4000000000000004</v>
      </c>
      <c r="N188" s="2">
        <v>13552</v>
      </c>
      <c r="O188" s="5">
        <f t="shared" si="7"/>
        <v>27090448</v>
      </c>
      <c r="P188">
        <f>MAX(Table1[RATING COUNT])</f>
        <v>426973</v>
      </c>
    </row>
    <row r="189" spans="1:16">
      <c r="A189" t="s">
        <v>1797</v>
      </c>
      <c r="B189" t="s">
        <v>187</v>
      </c>
      <c r="D189" t="s">
        <v>1345</v>
      </c>
      <c r="E189" t="s">
        <v>1346</v>
      </c>
      <c r="F189" t="s">
        <v>1347</v>
      </c>
      <c r="G189" t="s">
        <v>1348</v>
      </c>
      <c r="H189" s="7">
        <v>379</v>
      </c>
      <c r="I189" s="7">
        <v>1099</v>
      </c>
      <c r="J189" s="7" t="str">
        <f t="shared" si="8"/>
        <v>&gt;₹500</v>
      </c>
      <c r="K189" s="1">
        <v>0.66</v>
      </c>
      <c r="L189" s="1" t="str">
        <f t="shared" si="6"/>
        <v>50% or More</v>
      </c>
      <c r="M189">
        <v>4.3</v>
      </c>
      <c r="N189" s="2">
        <v>2806</v>
      </c>
      <c r="O189" s="5">
        <f t="shared" si="7"/>
        <v>3083794</v>
      </c>
      <c r="P189">
        <f>MAX(Table1[RATING COUNT])</f>
        <v>426973</v>
      </c>
    </row>
    <row r="190" spans="1:16">
      <c r="A190" t="s">
        <v>1798</v>
      </c>
      <c r="B190" t="s">
        <v>188</v>
      </c>
      <c r="D190" t="s">
        <v>1352</v>
      </c>
      <c r="E190" t="s">
        <v>1353</v>
      </c>
      <c r="F190" t="s">
        <v>1355</v>
      </c>
      <c r="G190" t="s">
        <v>1356</v>
      </c>
      <c r="H190" s="7">
        <v>8990</v>
      </c>
      <c r="I190" s="7">
        <v>18990</v>
      </c>
      <c r="J190" s="7" t="str">
        <f t="shared" si="8"/>
        <v>&gt;₹500</v>
      </c>
      <c r="K190" s="1">
        <v>0.53</v>
      </c>
      <c r="L190" s="1" t="str">
        <f t="shared" si="6"/>
        <v>50% or More</v>
      </c>
      <c r="M190">
        <v>3.9</v>
      </c>
      <c r="N190" s="2">
        <v>350</v>
      </c>
      <c r="O190" s="5">
        <f t="shared" si="7"/>
        <v>6646500</v>
      </c>
      <c r="P190">
        <f>MAX(Table1[RATING COUNT])</f>
        <v>426973</v>
      </c>
    </row>
    <row r="191" spans="1:16">
      <c r="A191" t="s">
        <v>1799</v>
      </c>
      <c r="B191" t="s">
        <v>189</v>
      </c>
      <c r="D191" t="s">
        <v>1352</v>
      </c>
      <c r="E191" t="s">
        <v>1353</v>
      </c>
      <c r="F191" t="s">
        <v>1354</v>
      </c>
      <c r="G191" t="s">
        <v>1348</v>
      </c>
      <c r="H191" s="7">
        <v>486</v>
      </c>
      <c r="I191" s="7">
        <v>1999</v>
      </c>
      <c r="J191" s="7" t="str">
        <f t="shared" si="8"/>
        <v>&gt;₹500</v>
      </c>
      <c r="K191" s="1">
        <v>0.76</v>
      </c>
      <c r="L191" s="1" t="str">
        <f t="shared" si="6"/>
        <v>50% or More</v>
      </c>
      <c r="M191">
        <v>4.2</v>
      </c>
      <c r="N191" s="2">
        <v>30023</v>
      </c>
      <c r="O191" s="5">
        <f t="shared" si="7"/>
        <v>60015977</v>
      </c>
      <c r="P191">
        <f>MAX(Table1[RATING COUNT])</f>
        <v>426973</v>
      </c>
    </row>
    <row r="192" spans="1:16">
      <c r="A192" t="s">
        <v>1800</v>
      </c>
      <c r="B192" t="s">
        <v>190</v>
      </c>
      <c r="D192" t="s">
        <v>1352</v>
      </c>
      <c r="E192" t="s">
        <v>1353</v>
      </c>
      <c r="F192" t="s">
        <v>1355</v>
      </c>
      <c r="G192" t="s">
        <v>1358</v>
      </c>
      <c r="H192" s="7">
        <v>5699</v>
      </c>
      <c r="I192" s="7">
        <v>11000</v>
      </c>
      <c r="J192" s="7" t="str">
        <f t="shared" si="8"/>
        <v>&gt;₹500</v>
      </c>
      <c r="K192" s="1">
        <v>0.48</v>
      </c>
      <c r="L192" s="1" t="str">
        <f t="shared" si="6"/>
        <v>&lt;50%</v>
      </c>
      <c r="M192">
        <v>4.2</v>
      </c>
      <c r="N192" s="2">
        <v>4003</v>
      </c>
      <c r="O192" s="5">
        <f t="shared" si="7"/>
        <v>44033000</v>
      </c>
      <c r="P192">
        <f>MAX(Table1[RATING COUNT])</f>
        <v>426973</v>
      </c>
    </row>
    <row r="193" spans="1:16">
      <c r="A193" t="s">
        <v>1801</v>
      </c>
      <c r="B193" t="s">
        <v>191</v>
      </c>
      <c r="D193" t="s">
        <v>1345</v>
      </c>
      <c r="E193" t="s">
        <v>1346</v>
      </c>
      <c r="F193" t="s">
        <v>1347</v>
      </c>
      <c r="G193" t="s">
        <v>1348</v>
      </c>
      <c r="H193" s="7">
        <v>709</v>
      </c>
      <c r="I193" s="7">
        <v>1999</v>
      </c>
      <c r="J193" s="7" t="str">
        <f t="shared" si="8"/>
        <v>&gt;₹500</v>
      </c>
      <c r="K193" s="1">
        <v>0.65</v>
      </c>
      <c r="L193" s="1" t="str">
        <f t="shared" si="6"/>
        <v>50% or More</v>
      </c>
      <c r="M193">
        <v>4.0999999999999996</v>
      </c>
      <c r="N193" s="2">
        <v>178817</v>
      </c>
      <c r="O193" s="5">
        <f t="shared" si="7"/>
        <v>357455183</v>
      </c>
      <c r="P193">
        <f>MAX(Table1[RATING COUNT])</f>
        <v>426973</v>
      </c>
    </row>
    <row r="194" spans="1:16">
      <c r="A194" t="s">
        <v>1802</v>
      </c>
      <c r="B194" t="s">
        <v>192</v>
      </c>
      <c r="D194" t="s">
        <v>1352</v>
      </c>
      <c r="E194" t="s">
        <v>1353</v>
      </c>
      <c r="F194" t="s">
        <v>1355</v>
      </c>
      <c r="G194" t="s">
        <v>1356</v>
      </c>
      <c r="H194" s="7">
        <v>47990</v>
      </c>
      <c r="I194" s="7">
        <v>70900</v>
      </c>
      <c r="J194" s="7" t="str">
        <f t="shared" si="8"/>
        <v>&gt;₹500</v>
      </c>
      <c r="K194" s="1">
        <v>0.32</v>
      </c>
      <c r="L194" s="1" t="str">
        <f t="shared" ref="L194:L257" si="9">IF(K194&gt;=50%,"50% or More","&lt;50%")</f>
        <v>&lt;50%</v>
      </c>
      <c r="M194">
        <v>4.3</v>
      </c>
      <c r="N194" s="2">
        <v>7109</v>
      </c>
      <c r="O194" s="5">
        <f t="shared" ref="O194:O257" si="10">I194*N194</f>
        <v>504028100</v>
      </c>
      <c r="P194">
        <f>MAX(Table1[RATING COUNT])</f>
        <v>426973</v>
      </c>
    </row>
    <row r="195" spans="1:16">
      <c r="A195" t="s">
        <v>1803</v>
      </c>
      <c r="B195" t="s">
        <v>193</v>
      </c>
      <c r="D195" t="s">
        <v>1352</v>
      </c>
      <c r="E195" t="s">
        <v>1353</v>
      </c>
      <c r="F195" t="s">
        <v>1354</v>
      </c>
      <c r="G195" t="s">
        <v>1357</v>
      </c>
      <c r="H195" s="7">
        <v>299</v>
      </c>
      <c r="I195" s="7">
        <v>1199</v>
      </c>
      <c r="J195" s="7" t="str">
        <f t="shared" ref="J195:J258" si="11">IF(I195&lt;200, "&lt;₹200", IF(I195&lt;=500, "₹200–₹500", "&gt;₹500"))</f>
        <v>&gt;₹500</v>
      </c>
      <c r="K195" s="1">
        <v>0.75</v>
      </c>
      <c r="L195" s="1" t="str">
        <f t="shared" si="9"/>
        <v>50% or More</v>
      </c>
      <c r="M195">
        <v>3.7</v>
      </c>
      <c r="N195" s="2">
        <v>490</v>
      </c>
      <c r="O195" s="5">
        <f t="shared" si="10"/>
        <v>587510</v>
      </c>
      <c r="P195">
        <f>MAX(Table1[RATING COUNT])</f>
        <v>426973</v>
      </c>
    </row>
    <row r="196" spans="1:16">
      <c r="A196" t="s">
        <v>1804</v>
      </c>
      <c r="B196" t="s">
        <v>194</v>
      </c>
      <c r="D196" t="s">
        <v>1345</v>
      </c>
      <c r="E196" t="s">
        <v>1346</v>
      </c>
      <c r="F196" t="s">
        <v>1347</v>
      </c>
      <c r="G196" t="s">
        <v>1348</v>
      </c>
      <c r="H196" s="7">
        <v>320</v>
      </c>
      <c r="I196" s="7">
        <v>599</v>
      </c>
      <c r="J196" s="7" t="str">
        <f t="shared" si="11"/>
        <v>&gt;₹500</v>
      </c>
      <c r="K196" s="1">
        <v>0.47</v>
      </c>
      <c r="L196" s="1" t="str">
        <f t="shared" si="9"/>
        <v>&lt;50%</v>
      </c>
      <c r="M196">
        <v>4.0999999999999996</v>
      </c>
      <c r="N196" s="2">
        <v>491</v>
      </c>
      <c r="O196" s="5">
        <f t="shared" si="10"/>
        <v>294109</v>
      </c>
      <c r="P196">
        <f>MAX(Table1[RATING COUNT])</f>
        <v>426973</v>
      </c>
    </row>
    <row r="197" spans="1:16">
      <c r="A197" t="s">
        <v>1805</v>
      </c>
      <c r="B197" t="s">
        <v>195</v>
      </c>
      <c r="D197" t="s">
        <v>1345</v>
      </c>
      <c r="E197" t="s">
        <v>1346</v>
      </c>
      <c r="F197" t="s">
        <v>1347</v>
      </c>
      <c r="G197" t="s">
        <v>1348</v>
      </c>
      <c r="H197" s="7">
        <v>139</v>
      </c>
      <c r="I197" s="7">
        <v>549</v>
      </c>
      <c r="J197" s="7" t="str">
        <f t="shared" si="11"/>
        <v>&gt;₹500</v>
      </c>
      <c r="K197" s="1">
        <v>0.75</v>
      </c>
      <c r="L197" s="1" t="str">
        <f t="shared" si="9"/>
        <v>50% or More</v>
      </c>
      <c r="M197">
        <v>3.9</v>
      </c>
      <c r="N197" s="2">
        <v>61</v>
      </c>
      <c r="O197" s="5">
        <f t="shared" si="10"/>
        <v>33489</v>
      </c>
      <c r="P197">
        <f>MAX(Table1[RATING COUNT])</f>
        <v>426973</v>
      </c>
    </row>
    <row r="198" spans="1:16">
      <c r="A198" t="s">
        <v>1806</v>
      </c>
      <c r="B198" t="s">
        <v>196</v>
      </c>
      <c r="D198" t="s">
        <v>1345</v>
      </c>
      <c r="E198" t="s">
        <v>1346</v>
      </c>
      <c r="F198" t="s">
        <v>1347</v>
      </c>
      <c r="G198" t="s">
        <v>1348</v>
      </c>
      <c r="H198" s="7">
        <v>129</v>
      </c>
      <c r="I198" s="7">
        <v>249</v>
      </c>
      <c r="J198" s="7" t="str">
        <f t="shared" si="11"/>
        <v>₹200–₹500</v>
      </c>
      <c r="K198" s="1">
        <v>0.48</v>
      </c>
      <c r="L198" s="1" t="str">
        <f t="shared" si="9"/>
        <v>&lt;50%</v>
      </c>
      <c r="M198">
        <v>4</v>
      </c>
      <c r="N198" s="2">
        <v>9378</v>
      </c>
      <c r="O198" s="5">
        <f t="shared" si="10"/>
        <v>2335122</v>
      </c>
      <c r="P198">
        <f>MAX(Table1[RATING COUNT])</f>
        <v>426973</v>
      </c>
    </row>
    <row r="199" spans="1:16">
      <c r="A199" t="s">
        <v>1807</v>
      </c>
      <c r="B199" t="s">
        <v>197</v>
      </c>
      <c r="D199" t="s">
        <v>1352</v>
      </c>
      <c r="E199" t="s">
        <v>1353</v>
      </c>
      <c r="F199" t="s">
        <v>1355</v>
      </c>
      <c r="G199" t="s">
        <v>1356</v>
      </c>
      <c r="H199" s="7">
        <v>24999</v>
      </c>
      <c r="I199" s="7">
        <v>35999</v>
      </c>
      <c r="J199" s="7" t="str">
        <f t="shared" si="11"/>
        <v>&gt;₹500</v>
      </c>
      <c r="K199" s="1">
        <v>0.31</v>
      </c>
      <c r="L199" s="1" t="str">
        <f t="shared" si="9"/>
        <v>&lt;50%</v>
      </c>
      <c r="M199">
        <v>4.2</v>
      </c>
      <c r="N199" s="2">
        <v>32840</v>
      </c>
      <c r="O199" s="5">
        <f t="shared" si="10"/>
        <v>1182207160</v>
      </c>
      <c r="P199">
        <f>MAX(Table1[RATING COUNT])</f>
        <v>426973</v>
      </c>
    </row>
    <row r="200" spans="1:16">
      <c r="A200" t="s">
        <v>1808</v>
      </c>
      <c r="B200" t="s">
        <v>198</v>
      </c>
      <c r="D200" t="s">
        <v>1345</v>
      </c>
      <c r="E200" t="s">
        <v>1346</v>
      </c>
      <c r="F200" t="s">
        <v>1347</v>
      </c>
      <c r="G200" t="s">
        <v>1348</v>
      </c>
      <c r="H200" s="7">
        <v>999</v>
      </c>
      <c r="I200" s="7">
        <v>1699</v>
      </c>
      <c r="J200" s="7" t="str">
        <f t="shared" si="11"/>
        <v>&gt;₹500</v>
      </c>
      <c r="K200" s="1">
        <v>0.41</v>
      </c>
      <c r="L200" s="1" t="str">
        <f t="shared" si="9"/>
        <v>&lt;50%</v>
      </c>
      <c r="M200">
        <v>4.4000000000000004</v>
      </c>
      <c r="N200" s="2">
        <v>7318</v>
      </c>
      <c r="O200" s="5">
        <f t="shared" si="10"/>
        <v>12433282</v>
      </c>
      <c r="P200">
        <f>MAX(Table1[RATING COUNT])</f>
        <v>426973</v>
      </c>
    </row>
    <row r="201" spans="1:16">
      <c r="A201" t="s">
        <v>1809</v>
      </c>
      <c r="B201" t="s">
        <v>199</v>
      </c>
      <c r="D201" t="s">
        <v>1345</v>
      </c>
      <c r="E201" t="s">
        <v>1346</v>
      </c>
      <c r="F201" t="s">
        <v>1347</v>
      </c>
      <c r="G201" t="s">
        <v>1348</v>
      </c>
      <c r="H201" s="7">
        <v>225</v>
      </c>
      <c r="I201" s="7">
        <v>499</v>
      </c>
      <c r="J201" s="7" t="str">
        <f t="shared" si="11"/>
        <v>₹200–₹500</v>
      </c>
      <c r="K201" s="1">
        <v>0.55000000000000004</v>
      </c>
      <c r="L201" s="1" t="str">
        <f t="shared" si="9"/>
        <v>50% or More</v>
      </c>
      <c r="M201">
        <v>4.0999999999999996</v>
      </c>
      <c r="N201" s="2">
        <v>789</v>
      </c>
      <c r="O201" s="5">
        <f t="shared" si="10"/>
        <v>393711</v>
      </c>
      <c r="P201">
        <f>MAX(Table1[RATING COUNT])</f>
        <v>426973</v>
      </c>
    </row>
    <row r="202" spans="1:16">
      <c r="A202" t="s">
        <v>1810</v>
      </c>
      <c r="B202" t="s">
        <v>200</v>
      </c>
      <c r="D202" t="s">
        <v>1352</v>
      </c>
      <c r="E202" t="s">
        <v>1353</v>
      </c>
      <c r="F202" t="s">
        <v>1354</v>
      </c>
      <c r="G202" t="s">
        <v>1357</v>
      </c>
      <c r="H202" s="7">
        <v>547</v>
      </c>
      <c r="I202" s="7">
        <v>2999</v>
      </c>
      <c r="J202" s="7" t="str">
        <f t="shared" si="11"/>
        <v>&gt;₹500</v>
      </c>
      <c r="K202" s="1">
        <v>0.82</v>
      </c>
      <c r="L202" s="1" t="str">
        <f t="shared" si="9"/>
        <v>50% or More</v>
      </c>
      <c r="M202">
        <v>4.3</v>
      </c>
      <c r="N202" s="2">
        <v>407</v>
      </c>
      <c r="O202" s="5">
        <f t="shared" si="10"/>
        <v>1220593</v>
      </c>
      <c r="P202">
        <f>MAX(Table1[RATING COUNT])</f>
        <v>426973</v>
      </c>
    </row>
    <row r="203" spans="1:16">
      <c r="A203" t="s">
        <v>1811</v>
      </c>
      <c r="B203" t="s">
        <v>201</v>
      </c>
      <c r="D203" t="s">
        <v>1345</v>
      </c>
      <c r="E203" t="s">
        <v>1346</v>
      </c>
      <c r="F203" t="s">
        <v>1347</v>
      </c>
      <c r="G203" t="s">
        <v>1348</v>
      </c>
      <c r="H203" s="7">
        <v>259</v>
      </c>
      <c r="I203" s="7">
        <v>699</v>
      </c>
      <c r="J203" s="7" t="str">
        <f t="shared" si="11"/>
        <v>&gt;₹500</v>
      </c>
      <c r="K203" s="1">
        <v>0.63</v>
      </c>
      <c r="L203" s="1" t="str">
        <f t="shared" si="9"/>
        <v>50% or More</v>
      </c>
      <c r="M203">
        <v>3.8</v>
      </c>
      <c r="N203" s="2">
        <v>2399</v>
      </c>
      <c r="O203" s="5">
        <f t="shared" si="10"/>
        <v>1676901</v>
      </c>
      <c r="P203">
        <f>MAX(Table1[RATING COUNT])</f>
        <v>426973</v>
      </c>
    </row>
    <row r="204" spans="1:16">
      <c r="A204" t="s">
        <v>1812</v>
      </c>
      <c r="B204" t="s">
        <v>202</v>
      </c>
      <c r="D204" t="s">
        <v>1352</v>
      </c>
      <c r="E204" t="s">
        <v>1353</v>
      </c>
      <c r="F204" t="s">
        <v>1354</v>
      </c>
      <c r="G204" t="s">
        <v>1357</v>
      </c>
      <c r="H204" s="7">
        <v>239</v>
      </c>
      <c r="I204" s="7">
        <v>699</v>
      </c>
      <c r="J204" s="7" t="str">
        <f t="shared" si="11"/>
        <v>&gt;₹500</v>
      </c>
      <c r="K204" s="1">
        <v>0.66</v>
      </c>
      <c r="L204" s="1" t="str">
        <f t="shared" si="9"/>
        <v>50% or More</v>
      </c>
      <c r="M204">
        <v>4.4000000000000004</v>
      </c>
      <c r="N204" s="2">
        <v>2640</v>
      </c>
      <c r="O204" s="5">
        <f t="shared" si="10"/>
        <v>1845360</v>
      </c>
      <c r="P204">
        <f>MAX(Table1[RATING COUNT])</f>
        <v>426973</v>
      </c>
    </row>
    <row r="205" spans="1:16">
      <c r="A205" t="s">
        <v>1813</v>
      </c>
      <c r="B205" t="s">
        <v>203</v>
      </c>
      <c r="D205" t="s">
        <v>1352</v>
      </c>
      <c r="E205" t="s">
        <v>1353</v>
      </c>
      <c r="F205" t="s">
        <v>1354</v>
      </c>
      <c r="G205" t="s">
        <v>1357</v>
      </c>
      <c r="H205" s="7">
        <v>349</v>
      </c>
      <c r="I205" s="7">
        <v>999</v>
      </c>
      <c r="J205" s="7" t="str">
        <f t="shared" si="11"/>
        <v>&gt;₹500</v>
      </c>
      <c r="K205" s="1">
        <v>0.65</v>
      </c>
      <c r="L205" s="1" t="str">
        <f t="shared" si="9"/>
        <v>50% or More</v>
      </c>
      <c r="M205">
        <v>4</v>
      </c>
      <c r="N205" s="2">
        <v>839</v>
      </c>
      <c r="O205" s="5">
        <f t="shared" si="10"/>
        <v>838161</v>
      </c>
      <c r="P205">
        <f>MAX(Table1[RATING COUNT])</f>
        <v>426973</v>
      </c>
    </row>
    <row r="206" spans="1:16">
      <c r="A206" t="s">
        <v>1814</v>
      </c>
      <c r="B206" t="s">
        <v>204</v>
      </c>
      <c r="D206" t="s">
        <v>1352</v>
      </c>
      <c r="E206" t="s">
        <v>1353</v>
      </c>
      <c r="F206" t="s">
        <v>1354</v>
      </c>
      <c r="G206" t="s">
        <v>1348</v>
      </c>
      <c r="H206" s="7">
        <v>467</v>
      </c>
      <c r="I206" s="7">
        <v>599</v>
      </c>
      <c r="J206" s="7" t="str">
        <f t="shared" si="11"/>
        <v>&gt;₹500</v>
      </c>
      <c r="K206" s="1">
        <v>0.22</v>
      </c>
      <c r="L206" s="1" t="str">
        <f t="shared" si="9"/>
        <v>&lt;50%</v>
      </c>
      <c r="M206">
        <v>4.4000000000000004</v>
      </c>
      <c r="N206" s="2">
        <v>44054</v>
      </c>
      <c r="O206" s="5">
        <f t="shared" si="10"/>
        <v>26388346</v>
      </c>
      <c r="P206">
        <f>MAX(Table1[RATING COUNT])</f>
        <v>426973</v>
      </c>
    </row>
    <row r="207" spans="1:16">
      <c r="A207" t="s">
        <v>1815</v>
      </c>
      <c r="B207" t="s">
        <v>205</v>
      </c>
      <c r="D207" t="s">
        <v>1345</v>
      </c>
      <c r="E207" t="s">
        <v>1346</v>
      </c>
      <c r="F207" t="s">
        <v>1347</v>
      </c>
      <c r="G207" t="s">
        <v>1348</v>
      </c>
      <c r="H207" s="7">
        <v>449</v>
      </c>
      <c r="I207" s="7">
        <v>599</v>
      </c>
      <c r="J207" s="7" t="str">
        <f t="shared" si="11"/>
        <v>&gt;₹500</v>
      </c>
      <c r="K207" s="1">
        <v>0.25</v>
      </c>
      <c r="L207" s="1" t="str">
        <f t="shared" si="9"/>
        <v>&lt;50%</v>
      </c>
      <c r="M207">
        <v>4</v>
      </c>
      <c r="N207" s="2">
        <v>3231</v>
      </c>
      <c r="O207" s="5">
        <f t="shared" si="10"/>
        <v>1935369</v>
      </c>
      <c r="P207">
        <f>MAX(Table1[RATING COUNT])</f>
        <v>426973</v>
      </c>
    </row>
    <row r="208" spans="1:16">
      <c r="A208" t="s">
        <v>1816</v>
      </c>
      <c r="B208" t="s">
        <v>206</v>
      </c>
      <c r="D208" t="s">
        <v>1352</v>
      </c>
      <c r="E208" t="s">
        <v>1353</v>
      </c>
      <c r="F208" t="s">
        <v>1355</v>
      </c>
      <c r="G208" t="s">
        <v>1356</v>
      </c>
      <c r="H208" s="7">
        <v>11990</v>
      </c>
      <c r="I208" s="7">
        <v>31990</v>
      </c>
      <c r="J208" s="7" t="str">
        <f t="shared" si="11"/>
        <v>&gt;₹500</v>
      </c>
      <c r="K208" s="1">
        <v>0.63</v>
      </c>
      <c r="L208" s="1" t="str">
        <f t="shared" si="9"/>
        <v>50% or More</v>
      </c>
      <c r="M208">
        <v>4.2</v>
      </c>
      <c r="N208" s="2">
        <v>64</v>
      </c>
      <c r="O208" s="5">
        <f t="shared" si="10"/>
        <v>2047360</v>
      </c>
      <c r="P208">
        <f>MAX(Table1[RATING COUNT])</f>
        <v>426973</v>
      </c>
    </row>
    <row r="209" spans="1:16">
      <c r="A209" t="s">
        <v>1817</v>
      </c>
      <c r="B209" t="s">
        <v>207</v>
      </c>
      <c r="D209" t="s">
        <v>1345</v>
      </c>
      <c r="E209" t="s">
        <v>1346</v>
      </c>
      <c r="F209" t="s">
        <v>1347</v>
      </c>
      <c r="G209" t="s">
        <v>1348</v>
      </c>
      <c r="H209" s="7">
        <v>350</v>
      </c>
      <c r="I209" s="7">
        <v>599</v>
      </c>
      <c r="J209" s="7" t="str">
        <f t="shared" si="11"/>
        <v>&gt;₹500</v>
      </c>
      <c r="K209" s="1">
        <v>0.42</v>
      </c>
      <c r="L209" s="1" t="str">
        <f t="shared" si="9"/>
        <v>&lt;50%</v>
      </c>
      <c r="M209">
        <v>3.9</v>
      </c>
      <c r="N209" s="2">
        <v>8314</v>
      </c>
      <c r="O209" s="5">
        <f t="shared" si="10"/>
        <v>4980086</v>
      </c>
      <c r="P209">
        <f>MAX(Table1[RATING COUNT])</f>
        <v>426973</v>
      </c>
    </row>
    <row r="210" spans="1:16">
      <c r="A210" t="s">
        <v>1818</v>
      </c>
      <c r="B210" t="s">
        <v>208</v>
      </c>
      <c r="D210" t="s">
        <v>1345</v>
      </c>
      <c r="E210" t="s">
        <v>1346</v>
      </c>
      <c r="F210" t="s">
        <v>1347</v>
      </c>
      <c r="G210" t="s">
        <v>1348</v>
      </c>
      <c r="H210" s="7">
        <v>252</v>
      </c>
      <c r="I210" s="7">
        <v>999</v>
      </c>
      <c r="J210" s="7" t="str">
        <f t="shared" si="11"/>
        <v>&gt;₹500</v>
      </c>
      <c r="K210" s="1">
        <v>0.75</v>
      </c>
      <c r="L210" s="1" t="str">
        <f t="shared" si="9"/>
        <v>50% or More</v>
      </c>
      <c r="M210">
        <v>3.7</v>
      </c>
      <c r="N210" s="2">
        <v>2249</v>
      </c>
      <c r="O210" s="5">
        <f t="shared" si="10"/>
        <v>2246751</v>
      </c>
      <c r="P210">
        <f>MAX(Table1[RATING COUNT])</f>
        <v>426973</v>
      </c>
    </row>
    <row r="211" spans="1:16">
      <c r="A211" t="s">
        <v>1819</v>
      </c>
      <c r="B211" t="s">
        <v>209</v>
      </c>
      <c r="D211" t="s">
        <v>1352</v>
      </c>
      <c r="E211" t="s">
        <v>1353</v>
      </c>
      <c r="F211" t="s">
        <v>1354</v>
      </c>
      <c r="G211" t="s">
        <v>1357</v>
      </c>
      <c r="H211" s="7">
        <v>204</v>
      </c>
      <c r="I211" s="7">
        <v>599</v>
      </c>
      <c r="J211" s="7" t="str">
        <f t="shared" si="11"/>
        <v>&gt;₹500</v>
      </c>
      <c r="K211" s="1">
        <v>0.66</v>
      </c>
      <c r="L211" s="1" t="str">
        <f t="shared" si="9"/>
        <v>50% or More</v>
      </c>
      <c r="M211">
        <v>3.6</v>
      </c>
      <c r="N211" s="2">
        <v>339</v>
      </c>
      <c r="O211" s="5">
        <f t="shared" si="10"/>
        <v>203061</v>
      </c>
      <c r="P211">
        <f>MAX(Table1[RATING COUNT])</f>
        <v>426973</v>
      </c>
    </row>
    <row r="212" spans="1:16">
      <c r="A212" t="s">
        <v>1820</v>
      </c>
      <c r="B212" t="s">
        <v>210</v>
      </c>
      <c r="D212" t="s">
        <v>1352</v>
      </c>
      <c r="E212" t="s">
        <v>1353</v>
      </c>
      <c r="F212" t="s">
        <v>1363</v>
      </c>
      <c r="H212" s="7">
        <v>6490</v>
      </c>
      <c r="I212" s="7">
        <v>9990</v>
      </c>
      <c r="J212" s="7" t="str">
        <f t="shared" si="11"/>
        <v>&gt;₹500</v>
      </c>
      <c r="K212" s="1">
        <v>0.35</v>
      </c>
      <c r="L212" s="1" t="str">
        <f t="shared" si="9"/>
        <v>&lt;50%</v>
      </c>
      <c r="M212">
        <v>4</v>
      </c>
      <c r="N212" s="2">
        <v>27</v>
      </c>
      <c r="O212" s="5">
        <f t="shared" si="10"/>
        <v>269730</v>
      </c>
      <c r="P212">
        <f>MAX(Table1[RATING COUNT])</f>
        <v>426973</v>
      </c>
    </row>
    <row r="213" spans="1:16">
      <c r="A213" t="s">
        <v>1821</v>
      </c>
      <c r="B213" t="s">
        <v>211</v>
      </c>
      <c r="D213" t="s">
        <v>1352</v>
      </c>
      <c r="E213" t="s">
        <v>1353</v>
      </c>
      <c r="F213" t="s">
        <v>1354</v>
      </c>
      <c r="G213" t="s">
        <v>1357</v>
      </c>
      <c r="H213" s="7">
        <v>235</v>
      </c>
      <c r="I213" s="7">
        <v>599</v>
      </c>
      <c r="J213" s="7" t="str">
        <f t="shared" si="11"/>
        <v>&gt;₹500</v>
      </c>
      <c r="K213" s="1">
        <v>0.61</v>
      </c>
      <c r="L213" s="1" t="str">
        <f t="shared" si="9"/>
        <v>50% or More</v>
      </c>
      <c r="M213">
        <v>3.5</v>
      </c>
      <c r="N213" s="2">
        <v>197</v>
      </c>
      <c r="O213" s="5">
        <f t="shared" si="10"/>
        <v>118003</v>
      </c>
      <c r="P213">
        <f>MAX(Table1[RATING COUNT])</f>
        <v>426973</v>
      </c>
    </row>
    <row r="214" spans="1:16">
      <c r="A214" t="s">
        <v>1822</v>
      </c>
      <c r="B214" t="s">
        <v>212</v>
      </c>
      <c r="D214" t="s">
        <v>1345</v>
      </c>
      <c r="E214" t="s">
        <v>1346</v>
      </c>
      <c r="F214" t="s">
        <v>1347</v>
      </c>
      <c r="G214" t="s">
        <v>1348</v>
      </c>
      <c r="H214" s="7">
        <v>299</v>
      </c>
      <c r="I214" s="7">
        <v>800</v>
      </c>
      <c r="J214" s="7" t="str">
        <f t="shared" si="11"/>
        <v>&gt;₹500</v>
      </c>
      <c r="K214" s="1">
        <v>0.63</v>
      </c>
      <c r="L214" s="1" t="str">
        <f t="shared" si="9"/>
        <v>50% or More</v>
      </c>
      <c r="M214">
        <v>4.5</v>
      </c>
      <c r="N214" s="2">
        <v>74977</v>
      </c>
      <c r="O214" s="5">
        <f t="shared" si="10"/>
        <v>59981600</v>
      </c>
      <c r="P214">
        <f>MAX(Table1[RATING COUNT])</f>
        <v>426973</v>
      </c>
    </row>
    <row r="215" spans="1:16">
      <c r="A215" t="s">
        <v>1823</v>
      </c>
      <c r="B215" t="s">
        <v>213</v>
      </c>
      <c r="D215" t="s">
        <v>1345</v>
      </c>
      <c r="E215" t="s">
        <v>1346</v>
      </c>
      <c r="F215" t="s">
        <v>1347</v>
      </c>
      <c r="G215" t="s">
        <v>1348</v>
      </c>
      <c r="H215" s="7">
        <v>799</v>
      </c>
      <c r="I215" s="7">
        <v>1999</v>
      </c>
      <c r="J215" s="7" t="str">
        <f t="shared" si="11"/>
        <v>&gt;₹500</v>
      </c>
      <c r="K215" s="1">
        <v>0.6</v>
      </c>
      <c r="L215" s="1" t="str">
        <f t="shared" si="9"/>
        <v>50% or More</v>
      </c>
      <c r="M215">
        <v>4.2</v>
      </c>
      <c r="N215" s="2">
        <v>8583</v>
      </c>
      <c r="O215" s="5">
        <f t="shared" si="10"/>
        <v>17157417</v>
      </c>
      <c r="P215">
        <f>MAX(Table1[RATING COUNT])</f>
        <v>426973</v>
      </c>
    </row>
    <row r="216" spans="1:16">
      <c r="A216" t="s">
        <v>1824</v>
      </c>
      <c r="B216" t="s">
        <v>214</v>
      </c>
      <c r="D216" t="s">
        <v>1352</v>
      </c>
      <c r="E216" t="s">
        <v>1353</v>
      </c>
      <c r="F216" t="s">
        <v>1354</v>
      </c>
      <c r="G216" t="s">
        <v>1357</v>
      </c>
      <c r="H216" s="7">
        <v>299</v>
      </c>
      <c r="I216" s="7">
        <v>999</v>
      </c>
      <c r="J216" s="7" t="str">
        <f t="shared" si="11"/>
        <v>&gt;₹500</v>
      </c>
      <c r="K216" s="1">
        <v>0.7</v>
      </c>
      <c r="L216" s="1" t="str">
        <f t="shared" si="9"/>
        <v>50% or More</v>
      </c>
      <c r="M216">
        <v>3.8</v>
      </c>
      <c r="N216" s="2">
        <v>928</v>
      </c>
      <c r="O216" s="5">
        <f t="shared" si="10"/>
        <v>927072</v>
      </c>
      <c r="P216">
        <f>MAX(Table1[RATING COUNT])</f>
        <v>426973</v>
      </c>
    </row>
    <row r="217" spans="1:16">
      <c r="A217" t="s">
        <v>1825</v>
      </c>
      <c r="B217" t="s">
        <v>215</v>
      </c>
      <c r="D217" t="s">
        <v>1352</v>
      </c>
      <c r="E217" t="s">
        <v>1353</v>
      </c>
      <c r="F217" t="s">
        <v>1355</v>
      </c>
      <c r="G217" t="s">
        <v>1358</v>
      </c>
      <c r="H217" s="7">
        <v>6999</v>
      </c>
      <c r="I217" s="7">
        <v>16990</v>
      </c>
      <c r="J217" s="7" t="str">
        <f t="shared" si="11"/>
        <v>&gt;₹500</v>
      </c>
      <c r="K217" s="1">
        <v>0.59</v>
      </c>
      <c r="L217" s="1" t="str">
        <f t="shared" si="9"/>
        <v>50% or More</v>
      </c>
      <c r="M217">
        <v>3.8</v>
      </c>
      <c r="N217" s="2">
        <v>110</v>
      </c>
      <c r="O217" s="5">
        <f t="shared" si="10"/>
        <v>1868900</v>
      </c>
      <c r="P217">
        <f>MAX(Table1[RATING COUNT])</f>
        <v>426973</v>
      </c>
    </row>
    <row r="218" spans="1:16">
      <c r="A218" t="s">
        <v>1826</v>
      </c>
      <c r="B218" t="s">
        <v>216</v>
      </c>
      <c r="D218" t="s">
        <v>1352</v>
      </c>
      <c r="E218" t="s">
        <v>1353</v>
      </c>
      <c r="F218" t="s">
        <v>1355</v>
      </c>
      <c r="G218" t="s">
        <v>1356</v>
      </c>
      <c r="H218" s="7">
        <v>42999</v>
      </c>
      <c r="I218" s="7">
        <v>59999</v>
      </c>
      <c r="J218" s="7" t="str">
        <f t="shared" si="11"/>
        <v>&gt;₹500</v>
      </c>
      <c r="K218" s="1">
        <v>0.28000000000000003</v>
      </c>
      <c r="L218" s="1" t="str">
        <f t="shared" si="9"/>
        <v>&lt;50%</v>
      </c>
      <c r="M218">
        <v>4.0999999999999996</v>
      </c>
      <c r="N218" s="2">
        <v>6753</v>
      </c>
      <c r="O218" s="5">
        <f t="shared" si="10"/>
        <v>405173247</v>
      </c>
      <c r="P218">
        <f>MAX(Table1[RATING COUNT])</f>
        <v>426973</v>
      </c>
    </row>
    <row r="219" spans="1:16">
      <c r="A219" t="s">
        <v>1827</v>
      </c>
      <c r="B219" t="s">
        <v>217</v>
      </c>
      <c r="D219" t="s">
        <v>1352</v>
      </c>
      <c r="E219" t="s">
        <v>1353</v>
      </c>
      <c r="F219" t="s">
        <v>1354</v>
      </c>
      <c r="G219" t="s">
        <v>1348</v>
      </c>
      <c r="H219" s="7">
        <v>173</v>
      </c>
      <c r="I219" s="7">
        <v>999</v>
      </c>
      <c r="J219" s="7" t="str">
        <f t="shared" si="11"/>
        <v>&gt;₹500</v>
      </c>
      <c r="K219" s="1">
        <v>0.83</v>
      </c>
      <c r="L219" s="1" t="str">
        <f t="shared" si="9"/>
        <v>50% or More</v>
      </c>
      <c r="M219">
        <v>4.3</v>
      </c>
      <c r="N219" s="2">
        <v>1237</v>
      </c>
      <c r="O219" s="5">
        <f t="shared" si="10"/>
        <v>1235763</v>
      </c>
      <c r="P219">
        <f>MAX(Table1[RATING COUNT])</f>
        <v>426973</v>
      </c>
    </row>
    <row r="220" spans="1:16">
      <c r="A220" t="s">
        <v>1828</v>
      </c>
      <c r="B220" t="s">
        <v>218</v>
      </c>
      <c r="D220" t="s">
        <v>1352</v>
      </c>
      <c r="E220" t="s">
        <v>1360</v>
      </c>
      <c r="F220" t="s">
        <v>1354</v>
      </c>
      <c r="G220" t="s">
        <v>1364</v>
      </c>
      <c r="H220" s="7">
        <v>209</v>
      </c>
      <c r="I220" s="7">
        <v>600</v>
      </c>
      <c r="J220" s="7" t="str">
        <f t="shared" si="11"/>
        <v>&gt;₹500</v>
      </c>
      <c r="K220" s="1">
        <v>0.65</v>
      </c>
      <c r="L220" s="1" t="str">
        <f t="shared" si="9"/>
        <v>50% or More</v>
      </c>
      <c r="M220">
        <v>4.4000000000000004</v>
      </c>
      <c r="N220" s="2">
        <v>18872</v>
      </c>
      <c r="O220" s="5">
        <f t="shared" si="10"/>
        <v>11323200</v>
      </c>
      <c r="P220">
        <f>MAX(Table1[RATING COUNT])</f>
        <v>426973</v>
      </c>
    </row>
    <row r="221" spans="1:16">
      <c r="A221" t="s">
        <v>1829</v>
      </c>
      <c r="B221" t="s">
        <v>219</v>
      </c>
      <c r="D221" t="s">
        <v>1345</v>
      </c>
      <c r="E221" t="s">
        <v>1346</v>
      </c>
      <c r="F221" t="s">
        <v>1347</v>
      </c>
      <c r="G221" t="s">
        <v>1348</v>
      </c>
      <c r="H221" s="7">
        <v>848.99</v>
      </c>
      <c r="I221" s="7">
        <v>1490</v>
      </c>
      <c r="J221" s="7" t="str">
        <f t="shared" si="11"/>
        <v>&gt;₹500</v>
      </c>
      <c r="K221" s="1">
        <v>0.43</v>
      </c>
      <c r="L221" s="1" t="str">
        <f t="shared" si="9"/>
        <v>&lt;50%</v>
      </c>
      <c r="M221">
        <v>3.9</v>
      </c>
      <c r="N221" s="2">
        <v>356</v>
      </c>
      <c r="O221" s="5">
        <f t="shared" si="10"/>
        <v>530440</v>
      </c>
      <c r="P221">
        <f>MAX(Table1[RATING COUNT])</f>
        <v>426973</v>
      </c>
    </row>
    <row r="222" spans="1:16">
      <c r="A222" t="s">
        <v>1830</v>
      </c>
      <c r="B222" t="s">
        <v>220</v>
      </c>
      <c r="D222" t="s">
        <v>1345</v>
      </c>
      <c r="E222" t="s">
        <v>1346</v>
      </c>
      <c r="F222" t="s">
        <v>1347</v>
      </c>
      <c r="G222" t="s">
        <v>1348</v>
      </c>
      <c r="H222" s="7">
        <v>649</v>
      </c>
      <c r="I222" s="7">
        <v>1999</v>
      </c>
      <c r="J222" s="7" t="str">
        <f t="shared" si="11"/>
        <v>&gt;₹500</v>
      </c>
      <c r="K222" s="1">
        <v>0.68</v>
      </c>
      <c r="L222" s="1" t="str">
        <f t="shared" si="9"/>
        <v>50% or More</v>
      </c>
      <c r="M222">
        <v>4.2</v>
      </c>
      <c r="N222" s="2">
        <v>24269</v>
      </c>
      <c r="O222" s="5">
        <f t="shared" si="10"/>
        <v>48513731</v>
      </c>
      <c r="P222">
        <f>MAX(Table1[RATING COUNT])</f>
        <v>426973</v>
      </c>
    </row>
    <row r="223" spans="1:16">
      <c r="A223" t="s">
        <v>1831</v>
      </c>
      <c r="B223" t="s">
        <v>221</v>
      </c>
      <c r="D223" t="s">
        <v>1352</v>
      </c>
      <c r="E223" t="s">
        <v>1353</v>
      </c>
      <c r="F223" t="s">
        <v>1354</v>
      </c>
      <c r="G223" t="s">
        <v>1357</v>
      </c>
      <c r="H223" s="7">
        <v>299</v>
      </c>
      <c r="I223" s="7">
        <v>899</v>
      </c>
      <c r="J223" s="7" t="str">
        <f t="shared" si="11"/>
        <v>&gt;₹500</v>
      </c>
      <c r="K223" s="1">
        <v>0.67</v>
      </c>
      <c r="L223" s="1" t="str">
        <f t="shared" si="9"/>
        <v>50% or More</v>
      </c>
      <c r="M223">
        <v>3.8</v>
      </c>
      <c r="N223" s="2">
        <v>425</v>
      </c>
      <c r="O223" s="5">
        <f t="shared" si="10"/>
        <v>382075</v>
      </c>
      <c r="P223">
        <f>MAX(Table1[RATING COUNT])</f>
        <v>426973</v>
      </c>
    </row>
    <row r="224" spans="1:16">
      <c r="A224" t="s">
        <v>1832</v>
      </c>
      <c r="B224" t="s">
        <v>222</v>
      </c>
      <c r="D224" t="s">
        <v>1352</v>
      </c>
      <c r="E224" t="s">
        <v>1353</v>
      </c>
      <c r="F224" t="s">
        <v>1354</v>
      </c>
      <c r="G224" t="s">
        <v>1359</v>
      </c>
      <c r="H224" s="7">
        <v>399</v>
      </c>
      <c r="I224" s="7">
        <v>799</v>
      </c>
      <c r="J224" s="7" t="str">
        <f t="shared" si="11"/>
        <v>&gt;₹500</v>
      </c>
      <c r="K224" s="1">
        <v>0.5</v>
      </c>
      <c r="L224" s="1" t="str">
        <f t="shared" si="9"/>
        <v>50% or More</v>
      </c>
      <c r="M224">
        <v>4.0999999999999996</v>
      </c>
      <c r="N224" s="2">
        <v>1161</v>
      </c>
      <c r="O224" s="5">
        <f t="shared" si="10"/>
        <v>927639</v>
      </c>
      <c r="P224">
        <f>MAX(Table1[RATING COUNT])</f>
        <v>426973</v>
      </c>
    </row>
    <row r="225" spans="1:16">
      <c r="A225" t="s">
        <v>1833</v>
      </c>
      <c r="B225" t="s">
        <v>223</v>
      </c>
      <c r="D225" t="s">
        <v>1345</v>
      </c>
      <c r="E225" t="s">
        <v>1346</v>
      </c>
      <c r="F225" t="s">
        <v>1347</v>
      </c>
      <c r="G225" t="s">
        <v>1348</v>
      </c>
      <c r="H225" s="7">
        <v>249</v>
      </c>
      <c r="I225" s="7">
        <v>499</v>
      </c>
      <c r="J225" s="7" t="str">
        <f t="shared" si="11"/>
        <v>₹200–₹500</v>
      </c>
      <c r="K225" s="1">
        <v>0.5</v>
      </c>
      <c r="L225" s="1" t="str">
        <f t="shared" si="9"/>
        <v>50% or More</v>
      </c>
      <c r="M225">
        <v>4.0999999999999996</v>
      </c>
      <c r="N225" s="2">
        <v>1508</v>
      </c>
      <c r="O225" s="5">
        <f t="shared" si="10"/>
        <v>752492</v>
      </c>
      <c r="P225">
        <f>MAX(Table1[RATING COUNT])</f>
        <v>426973</v>
      </c>
    </row>
    <row r="226" spans="1:16">
      <c r="A226" t="s">
        <v>1834</v>
      </c>
      <c r="B226" t="s">
        <v>224</v>
      </c>
      <c r="D226" t="s">
        <v>1352</v>
      </c>
      <c r="E226" t="s">
        <v>1353</v>
      </c>
      <c r="F226" t="s">
        <v>1365</v>
      </c>
      <c r="G226" t="s">
        <v>1366</v>
      </c>
      <c r="H226" s="7">
        <v>1249</v>
      </c>
      <c r="I226" s="7">
        <v>2299</v>
      </c>
      <c r="J226" s="7" t="str">
        <f t="shared" si="11"/>
        <v>&gt;₹500</v>
      </c>
      <c r="K226" s="1">
        <v>0.46</v>
      </c>
      <c r="L226" s="1" t="str">
        <f t="shared" si="9"/>
        <v>&lt;50%</v>
      </c>
      <c r="M226">
        <v>4.3</v>
      </c>
      <c r="N226" s="2">
        <v>7636</v>
      </c>
      <c r="O226" s="5">
        <f t="shared" si="10"/>
        <v>17555164</v>
      </c>
      <c r="P226">
        <f>MAX(Table1[RATING COUNT])</f>
        <v>426973</v>
      </c>
    </row>
    <row r="227" spans="1:16">
      <c r="A227" t="s">
        <v>1835</v>
      </c>
      <c r="B227" t="s">
        <v>225</v>
      </c>
      <c r="D227" t="s">
        <v>1352</v>
      </c>
      <c r="E227" t="s">
        <v>1353</v>
      </c>
      <c r="F227" t="s">
        <v>1354</v>
      </c>
      <c r="G227" t="s">
        <v>1357</v>
      </c>
      <c r="H227" s="7">
        <v>213</v>
      </c>
      <c r="I227" s="7">
        <v>499</v>
      </c>
      <c r="J227" s="7" t="str">
        <f t="shared" si="11"/>
        <v>₹200–₹500</v>
      </c>
      <c r="K227" s="1">
        <v>0.56999999999999995</v>
      </c>
      <c r="L227" s="1" t="str">
        <f t="shared" si="9"/>
        <v>50% or More</v>
      </c>
      <c r="M227">
        <v>3.7</v>
      </c>
      <c r="N227" s="2">
        <v>246</v>
      </c>
      <c r="O227" s="5">
        <f t="shared" si="10"/>
        <v>122754</v>
      </c>
      <c r="P227">
        <f>MAX(Table1[RATING COUNT])</f>
        <v>426973</v>
      </c>
    </row>
    <row r="228" spans="1:16">
      <c r="A228" t="s">
        <v>1836</v>
      </c>
      <c r="B228" t="s">
        <v>226</v>
      </c>
      <c r="D228" t="s">
        <v>1352</v>
      </c>
      <c r="E228" t="s">
        <v>1353</v>
      </c>
      <c r="F228" t="s">
        <v>1354</v>
      </c>
      <c r="G228" t="s">
        <v>1357</v>
      </c>
      <c r="H228" s="7">
        <v>209</v>
      </c>
      <c r="I228" s="7">
        <v>499</v>
      </c>
      <c r="J228" s="7" t="str">
        <f t="shared" si="11"/>
        <v>₹200–₹500</v>
      </c>
      <c r="K228" s="1">
        <v>0.57999999999999996</v>
      </c>
      <c r="L228" s="1" t="str">
        <f t="shared" si="9"/>
        <v>50% or More</v>
      </c>
      <c r="M228">
        <v>4</v>
      </c>
      <c r="N228" s="2">
        <v>479</v>
      </c>
      <c r="O228" s="5">
        <f t="shared" si="10"/>
        <v>239021</v>
      </c>
      <c r="P228">
        <f>MAX(Table1[RATING COUNT])</f>
        <v>426973</v>
      </c>
    </row>
    <row r="229" spans="1:16">
      <c r="A229" t="s">
        <v>1837</v>
      </c>
      <c r="B229" t="s">
        <v>227</v>
      </c>
      <c r="D229" t="s">
        <v>1352</v>
      </c>
      <c r="E229" t="s">
        <v>1353</v>
      </c>
      <c r="F229" t="s">
        <v>1354</v>
      </c>
      <c r="G229" t="s">
        <v>1348</v>
      </c>
      <c r="H229" s="7">
        <v>598</v>
      </c>
      <c r="I229" s="7">
        <v>4999</v>
      </c>
      <c r="J229" s="7" t="str">
        <f t="shared" si="11"/>
        <v>&gt;₹500</v>
      </c>
      <c r="K229" s="1">
        <v>0.88</v>
      </c>
      <c r="L229" s="1" t="str">
        <f t="shared" si="9"/>
        <v>50% or More</v>
      </c>
      <c r="M229">
        <v>4.2</v>
      </c>
      <c r="N229" s="2">
        <v>910</v>
      </c>
      <c r="O229" s="5">
        <f t="shared" si="10"/>
        <v>4549090</v>
      </c>
      <c r="P229">
        <f>MAX(Table1[RATING COUNT])</f>
        <v>426973</v>
      </c>
    </row>
    <row r="230" spans="1:16">
      <c r="A230" t="s">
        <v>1838</v>
      </c>
      <c r="B230" t="s">
        <v>228</v>
      </c>
      <c r="D230" t="s">
        <v>1345</v>
      </c>
      <c r="E230" t="s">
        <v>1346</v>
      </c>
      <c r="F230" t="s">
        <v>1347</v>
      </c>
      <c r="G230" t="s">
        <v>1348</v>
      </c>
      <c r="H230" s="7">
        <v>799</v>
      </c>
      <c r="I230" s="7">
        <v>1749</v>
      </c>
      <c r="J230" s="7" t="str">
        <f t="shared" si="11"/>
        <v>&gt;₹500</v>
      </c>
      <c r="K230" s="1">
        <v>0.54</v>
      </c>
      <c r="L230" s="1" t="str">
        <f t="shared" si="9"/>
        <v>50% or More</v>
      </c>
      <c r="M230">
        <v>4.0999999999999996</v>
      </c>
      <c r="N230" s="2">
        <v>5626</v>
      </c>
      <c r="O230" s="5">
        <f t="shared" si="10"/>
        <v>9839874</v>
      </c>
      <c r="P230">
        <f>MAX(Table1[RATING COUNT])</f>
        <v>426973</v>
      </c>
    </row>
    <row r="231" spans="1:16">
      <c r="A231" t="s">
        <v>1839</v>
      </c>
      <c r="B231" t="s">
        <v>229</v>
      </c>
      <c r="D231" t="s">
        <v>1345</v>
      </c>
      <c r="E231" t="s">
        <v>1346</v>
      </c>
      <c r="F231" t="s">
        <v>1347</v>
      </c>
      <c r="G231" t="s">
        <v>1348</v>
      </c>
      <c r="H231" s="7">
        <v>159</v>
      </c>
      <c r="I231" s="7">
        <v>595</v>
      </c>
      <c r="J231" s="7" t="str">
        <f t="shared" si="11"/>
        <v>&gt;₹500</v>
      </c>
      <c r="K231" s="1">
        <v>0.73</v>
      </c>
      <c r="L231" s="1" t="str">
        <f t="shared" si="9"/>
        <v>50% or More</v>
      </c>
      <c r="M231">
        <v>4.3</v>
      </c>
      <c r="N231" s="2">
        <v>14184</v>
      </c>
      <c r="O231" s="5">
        <f t="shared" si="10"/>
        <v>8439480</v>
      </c>
      <c r="P231">
        <f>MAX(Table1[RATING COUNT])</f>
        <v>426973</v>
      </c>
    </row>
    <row r="232" spans="1:16">
      <c r="A232" t="s">
        <v>1840</v>
      </c>
      <c r="B232" t="s">
        <v>230</v>
      </c>
      <c r="D232" t="s">
        <v>1345</v>
      </c>
      <c r="E232" t="s">
        <v>1346</v>
      </c>
      <c r="F232" t="s">
        <v>1347</v>
      </c>
      <c r="G232" t="s">
        <v>1348</v>
      </c>
      <c r="H232" s="7">
        <v>499</v>
      </c>
      <c r="I232" s="7">
        <v>1100</v>
      </c>
      <c r="J232" s="7" t="str">
        <f t="shared" si="11"/>
        <v>&gt;₹500</v>
      </c>
      <c r="K232" s="1">
        <v>0.55000000000000004</v>
      </c>
      <c r="L232" s="1" t="str">
        <f t="shared" si="9"/>
        <v>50% or More</v>
      </c>
      <c r="M232">
        <v>4.4000000000000004</v>
      </c>
      <c r="N232" s="2">
        <v>25177</v>
      </c>
      <c r="O232" s="5">
        <f t="shared" si="10"/>
        <v>27694700</v>
      </c>
      <c r="P232">
        <f>MAX(Table1[RATING COUNT])</f>
        <v>426973</v>
      </c>
    </row>
    <row r="233" spans="1:16">
      <c r="A233" t="s">
        <v>1841</v>
      </c>
      <c r="B233" t="s">
        <v>231</v>
      </c>
      <c r="D233" t="s">
        <v>1352</v>
      </c>
      <c r="E233" t="s">
        <v>1353</v>
      </c>
      <c r="F233" t="s">
        <v>1355</v>
      </c>
      <c r="G233" t="s">
        <v>1356</v>
      </c>
      <c r="H233" s="7">
        <v>31999</v>
      </c>
      <c r="I233" s="7">
        <v>49999</v>
      </c>
      <c r="J233" s="7" t="str">
        <f t="shared" si="11"/>
        <v>&gt;₹500</v>
      </c>
      <c r="K233" s="1">
        <v>0.36</v>
      </c>
      <c r="L233" s="1" t="str">
        <f t="shared" si="9"/>
        <v>&lt;50%</v>
      </c>
      <c r="M233">
        <v>4.3</v>
      </c>
      <c r="N233" s="2">
        <v>21252</v>
      </c>
      <c r="O233" s="5">
        <f t="shared" si="10"/>
        <v>1062578748</v>
      </c>
      <c r="P233">
        <f>MAX(Table1[RATING COUNT])</f>
        <v>426973</v>
      </c>
    </row>
    <row r="234" spans="1:16">
      <c r="A234" t="s">
        <v>1842</v>
      </c>
      <c r="B234" t="s">
        <v>232</v>
      </c>
      <c r="D234" t="s">
        <v>1352</v>
      </c>
      <c r="E234" t="s">
        <v>1353</v>
      </c>
      <c r="F234" t="s">
        <v>1355</v>
      </c>
      <c r="G234" t="s">
        <v>1356</v>
      </c>
      <c r="H234" s="7">
        <v>32990</v>
      </c>
      <c r="I234" s="7">
        <v>56790</v>
      </c>
      <c r="J234" s="7" t="str">
        <f t="shared" si="11"/>
        <v>&gt;₹500</v>
      </c>
      <c r="K234" s="1">
        <v>0.42</v>
      </c>
      <c r="L234" s="1" t="str">
        <f t="shared" si="9"/>
        <v>&lt;50%</v>
      </c>
      <c r="M234">
        <v>4.3</v>
      </c>
      <c r="N234" s="2">
        <v>567</v>
      </c>
      <c r="O234" s="5">
        <f t="shared" si="10"/>
        <v>32199930</v>
      </c>
      <c r="P234">
        <f>MAX(Table1[RATING COUNT])</f>
        <v>426973</v>
      </c>
    </row>
    <row r="235" spans="1:16">
      <c r="A235" t="s">
        <v>1843</v>
      </c>
      <c r="B235" t="s">
        <v>233</v>
      </c>
      <c r="D235" t="s">
        <v>1352</v>
      </c>
      <c r="E235" t="s">
        <v>1353</v>
      </c>
      <c r="F235" t="s">
        <v>1354</v>
      </c>
      <c r="G235" t="s">
        <v>1357</v>
      </c>
      <c r="H235" s="7">
        <v>299</v>
      </c>
      <c r="I235" s="7">
        <v>1199</v>
      </c>
      <c r="J235" s="7" t="str">
        <f t="shared" si="11"/>
        <v>&gt;₹500</v>
      </c>
      <c r="K235" s="1">
        <v>0.75</v>
      </c>
      <c r="L235" s="1" t="str">
        <f t="shared" si="9"/>
        <v>50% or More</v>
      </c>
      <c r="M235">
        <v>3.5</v>
      </c>
      <c r="N235" s="2">
        <v>466</v>
      </c>
      <c r="O235" s="5">
        <f t="shared" si="10"/>
        <v>558734</v>
      </c>
      <c r="P235">
        <f>MAX(Table1[RATING COUNT])</f>
        <v>426973</v>
      </c>
    </row>
    <row r="236" spans="1:16">
      <c r="A236" t="s">
        <v>1844</v>
      </c>
      <c r="B236" t="s">
        <v>234</v>
      </c>
      <c r="D236" t="s">
        <v>1345</v>
      </c>
      <c r="E236" t="s">
        <v>1346</v>
      </c>
      <c r="F236" t="s">
        <v>1347</v>
      </c>
      <c r="G236" t="s">
        <v>1348</v>
      </c>
      <c r="H236" s="7">
        <v>128.31</v>
      </c>
      <c r="I236" s="7">
        <v>549</v>
      </c>
      <c r="J236" s="7" t="str">
        <f t="shared" si="11"/>
        <v>&gt;₹500</v>
      </c>
      <c r="K236" s="1">
        <v>0.77</v>
      </c>
      <c r="L236" s="1" t="str">
        <f t="shared" si="9"/>
        <v>50% or More</v>
      </c>
      <c r="M236">
        <v>3.9</v>
      </c>
      <c r="N236" s="2">
        <v>61</v>
      </c>
      <c r="O236" s="5">
        <f t="shared" si="10"/>
        <v>33489</v>
      </c>
      <c r="P236">
        <f>MAX(Table1[RATING COUNT])</f>
        <v>426973</v>
      </c>
    </row>
    <row r="237" spans="1:16">
      <c r="A237" t="s">
        <v>1845</v>
      </c>
      <c r="B237" t="s">
        <v>235</v>
      </c>
      <c r="D237" t="s">
        <v>1345</v>
      </c>
      <c r="E237" t="s">
        <v>1346</v>
      </c>
      <c r="F237" t="s">
        <v>1347</v>
      </c>
      <c r="G237" t="s">
        <v>1348</v>
      </c>
      <c r="H237" s="7">
        <v>599</v>
      </c>
      <c r="I237" s="7">
        <v>849</v>
      </c>
      <c r="J237" s="7" t="str">
        <f t="shared" si="11"/>
        <v>&gt;₹500</v>
      </c>
      <c r="K237" s="1">
        <v>0.28999999999999998</v>
      </c>
      <c r="L237" s="1" t="str">
        <f t="shared" si="9"/>
        <v>&lt;50%</v>
      </c>
      <c r="M237">
        <v>4.5</v>
      </c>
      <c r="N237" s="2">
        <v>474</v>
      </c>
      <c r="O237" s="5">
        <f t="shared" si="10"/>
        <v>402426</v>
      </c>
      <c r="P237">
        <f>MAX(Table1[RATING COUNT])</f>
        <v>426973</v>
      </c>
    </row>
    <row r="238" spans="1:16">
      <c r="A238" t="s">
        <v>1846</v>
      </c>
      <c r="B238" t="s">
        <v>236</v>
      </c>
      <c r="D238" t="s">
        <v>1352</v>
      </c>
      <c r="E238" t="s">
        <v>1353</v>
      </c>
      <c r="F238" t="s">
        <v>1354</v>
      </c>
      <c r="G238" t="s">
        <v>1357</v>
      </c>
      <c r="H238" s="7">
        <v>399</v>
      </c>
      <c r="I238" s="7">
        <v>899</v>
      </c>
      <c r="J238" s="7" t="str">
        <f t="shared" si="11"/>
        <v>&gt;₹500</v>
      </c>
      <c r="K238" s="1">
        <v>0.56000000000000005</v>
      </c>
      <c r="L238" s="1" t="str">
        <f t="shared" si="9"/>
        <v>50% or More</v>
      </c>
      <c r="M238">
        <v>3.4</v>
      </c>
      <c r="N238" s="2">
        <v>431</v>
      </c>
      <c r="O238" s="5">
        <f t="shared" si="10"/>
        <v>387469</v>
      </c>
      <c r="P238">
        <f>MAX(Table1[RATING COUNT])</f>
        <v>426973</v>
      </c>
    </row>
    <row r="239" spans="1:16">
      <c r="A239" t="s">
        <v>1847</v>
      </c>
      <c r="B239" t="s">
        <v>237</v>
      </c>
      <c r="D239" t="s">
        <v>1345</v>
      </c>
      <c r="E239" t="s">
        <v>1346</v>
      </c>
      <c r="F239" t="s">
        <v>1347</v>
      </c>
      <c r="G239" t="s">
        <v>1348</v>
      </c>
      <c r="H239" s="7">
        <v>449</v>
      </c>
      <c r="I239" s="7">
        <v>1099</v>
      </c>
      <c r="J239" s="7" t="str">
        <f t="shared" si="11"/>
        <v>&gt;₹500</v>
      </c>
      <c r="K239" s="1">
        <v>0.59</v>
      </c>
      <c r="L239" s="1" t="str">
        <f t="shared" si="9"/>
        <v>50% or More</v>
      </c>
      <c r="M239">
        <v>4</v>
      </c>
      <c r="N239" s="2">
        <v>242</v>
      </c>
      <c r="O239" s="5">
        <f t="shared" si="10"/>
        <v>265958</v>
      </c>
      <c r="P239">
        <f>MAX(Table1[RATING COUNT])</f>
        <v>426973</v>
      </c>
    </row>
    <row r="240" spans="1:16">
      <c r="A240" t="s">
        <v>1848</v>
      </c>
      <c r="B240" t="s">
        <v>238</v>
      </c>
      <c r="D240" t="s">
        <v>1345</v>
      </c>
      <c r="E240" t="s">
        <v>1346</v>
      </c>
      <c r="F240" t="s">
        <v>1347</v>
      </c>
      <c r="G240" t="s">
        <v>1348</v>
      </c>
      <c r="H240" s="7">
        <v>254</v>
      </c>
      <c r="I240" s="7">
        <v>799</v>
      </c>
      <c r="J240" s="7" t="str">
        <f t="shared" si="11"/>
        <v>&gt;₹500</v>
      </c>
      <c r="K240" s="1">
        <v>0.68</v>
      </c>
      <c r="L240" s="1" t="str">
        <f t="shared" si="9"/>
        <v>50% or More</v>
      </c>
      <c r="M240">
        <v>4</v>
      </c>
      <c r="N240" s="2">
        <v>2905</v>
      </c>
      <c r="O240" s="5">
        <f t="shared" si="10"/>
        <v>2321095</v>
      </c>
      <c r="P240">
        <f>MAX(Table1[RATING COUNT])</f>
        <v>426973</v>
      </c>
    </row>
    <row r="241" spans="1:16">
      <c r="A241" t="s">
        <v>1849</v>
      </c>
      <c r="B241" t="s">
        <v>239</v>
      </c>
      <c r="D241" t="s">
        <v>1352</v>
      </c>
      <c r="E241" t="s">
        <v>1353</v>
      </c>
      <c r="F241" t="s">
        <v>1354</v>
      </c>
      <c r="G241" t="s">
        <v>1348</v>
      </c>
      <c r="H241" s="7">
        <v>399</v>
      </c>
      <c r="I241" s="7">
        <v>795</v>
      </c>
      <c r="J241" s="7" t="str">
        <f t="shared" si="11"/>
        <v>&gt;₹500</v>
      </c>
      <c r="K241" s="1">
        <v>0.5</v>
      </c>
      <c r="L241" s="1" t="str">
        <f t="shared" si="9"/>
        <v>50% or More</v>
      </c>
      <c r="M241">
        <v>4.4000000000000004</v>
      </c>
      <c r="N241" s="2">
        <v>12091</v>
      </c>
      <c r="O241" s="5">
        <f t="shared" si="10"/>
        <v>9612345</v>
      </c>
      <c r="P241">
        <f>MAX(Table1[RATING COUNT])</f>
        <v>426973</v>
      </c>
    </row>
    <row r="242" spans="1:16">
      <c r="A242" t="s">
        <v>1850</v>
      </c>
      <c r="B242" t="s">
        <v>240</v>
      </c>
      <c r="D242" t="s">
        <v>1345</v>
      </c>
      <c r="E242" t="s">
        <v>1346</v>
      </c>
      <c r="F242" t="s">
        <v>1347</v>
      </c>
      <c r="G242" t="s">
        <v>1348</v>
      </c>
      <c r="H242" s="7">
        <v>179</v>
      </c>
      <c r="I242" s="7">
        <v>399</v>
      </c>
      <c r="J242" s="7" t="str">
        <f t="shared" si="11"/>
        <v>₹200–₹500</v>
      </c>
      <c r="K242" s="1">
        <v>0.55000000000000004</v>
      </c>
      <c r="L242" s="1" t="str">
        <f t="shared" si="9"/>
        <v>50% or More</v>
      </c>
      <c r="M242">
        <v>4</v>
      </c>
      <c r="N242" s="2">
        <v>1423</v>
      </c>
      <c r="O242" s="5">
        <f t="shared" si="10"/>
        <v>567777</v>
      </c>
      <c r="P242">
        <f>MAX(Table1[RATING COUNT])</f>
        <v>426973</v>
      </c>
    </row>
    <row r="243" spans="1:16">
      <c r="A243" t="s">
        <v>1851</v>
      </c>
      <c r="B243" t="s">
        <v>241</v>
      </c>
      <c r="D243" t="s">
        <v>1345</v>
      </c>
      <c r="E243" t="s">
        <v>1346</v>
      </c>
      <c r="F243" t="s">
        <v>1347</v>
      </c>
      <c r="G243" t="s">
        <v>1348</v>
      </c>
      <c r="H243" s="7">
        <v>339</v>
      </c>
      <c r="I243" s="7">
        <v>999</v>
      </c>
      <c r="J243" s="7" t="str">
        <f t="shared" si="11"/>
        <v>&gt;₹500</v>
      </c>
      <c r="K243" s="1">
        <v>0.66</v>
      </c>
      <c r="L243" s="1" t="str">
        <f t="shared" si="9"/>
        <v>50% or More</v>
      </c>
      <c r="M243">
        <v>4.3</v>
      </c>
      <c r="N243" s="2">
        <v>6255</v>
      </c>
      <c r="O243" s="5">
        <f t="shared" si="10"/>
        <v>6248745</v>
      </c>
      <c r="P243">
        <f>MAX(Table1[RATING COUNT])</f>
        <v>426973</v>
      </c>
    </row>
    <row r="244" spans="1:16">
      <c r="A244" t="s">
        <v>1852</v>
      </c>
      <c r="B244" t="s">
        <v>242</v>
      </c>
      <c r="D244" t="s">
        <v>1352</v>
      </c>
      <c r="E244" t="s">
        <v>1353</v>
      </c>
      <c r="F244" t="s">
        <v>1354</v>
      </c>
      <c r="G244" t="s">
        <v>1359</v>
      </c>
      <c r="H244" s="7">
        <v>399</v>
      </c>
      <c r="I244" s="7">
        <v>999</v>
      </c>
      <c r="J244" s="7" t="str">
        <f t="shared" si="11"/>
        <v>&gt;₹500</v>
      </c>
      <c r="K244" s="1">
        <v>0.6</v>
      </c>
      <c r="L244" s="1" t="str">
        <f t="shared" si="9"/>
        <v>50% or More</v>
      </c>
      <c r="M244">
        <v>4</v>
      </c>
      <c r="N244" s="2">
        <v>1236</v>
      </c>
      <c r="O244" s="5">
        <f t="shared" si="10"/>
        <v>1234764</v>
      </c>
      <c r="P244">
        <f>MAX(Table1[RATING COUNT])</f>
        <v>426973</v>
      </c>
    </row>
    <row r="245" spans="1:16">
      <c r="A245" t="s">
        <v>1853</v>
      </c>
      <c r="B245" t="s">
        <v>243</v>
      </c>
      <c r="D245" t="s">
        <v>1352</v>
      </c>
      <c r="E245" t="s">
        <v>1353</v>
      </c>
      <c r="F245" t="s">
        <v>1354</v>
      </c>
      <c r="G245" t="s">
        <v>1357</v>
      </c>
      <c r="H245" s="7">
        <v>199</v>
      </c>
      <c r="I245" s="7">
        <v>399</v>
      </c>
      <c r="J245" s="7" t="str">
        <f t="shared" si="11"/>
        <v>₹200–₹500</v>
      </c>
      <c r="K245" s="1">
        <v>0.5</v>
      </c>
      <c r="L245" s="1" t="str">
        <f t="shared" si="9"/>
        <v>50% or More</v>
      </c>
      <c r="M245">
        <v>4.2</v>
      </c>
      <c r="N245" s="2">
        <v>1335</v>
      </c>
      <c r="O245" s="5">
        <f t="shared" si="10"/>
        <v>532665</v>
      </c>
      <c r="P245">
        <f>MAX(Table1[RATING COUNT])</f>
        <v>426973</v>
      </c>
    </row>
    <row r="246" spans="1:16">
      <c r="A246" t="s">
        <v>1854</v>
      </c>
      <c r="B246" t="s">
        <v>244</v>
      </c>
      <c r="D246" t="s">
        <v>1352</v>
      </c>
      <c r="E246" t="s">
        <v>1353</v>
      </c>
      <c r="F246" t="s">
        <v>1354</v>
      </c>
      <c r="G246" t="s">
        <v>1357</v>
      </c>
      <c r="H246" s="7">
        <v>349</v>
      </c>
      <c r="I246" s="7">
        <v>1999</v>
      </c>
      <c r="J246" s="7" t="str">
        <f t="shared" si="11"/>
        <v>&gt;₹500</v>
      </c>
      <c r="K246" s="1">
        <v>0.83</v>
      </c>
      <c r="L246" s="1" t="str">
        <f t="shared" si="9"/>
        <v>50% or More</v>
      </c>
      <c r="M246">
        <v>3.8</v>
      </c>
      <c r="N246" s="2">
        <v>197</v>
      </c>
      <c r="O246" s="5">
        <f t="shared" si="10"/>
        <v>393803</v>
      </c>
      <c r="P246">
        <f>MAX(Table1[RATING COUNT])</f>
        <v>426973</v>
      </c>
    </row>
    <row r="247" spans="1:16">
      <c r="A247" t="s">
        <v>1855</v>
      </c>
      <c r="B247" t="s">
        <v>245</v>
      </c>
      <c r="D247" t="s">
        <v>1345</v>
      </c>
      <c r="E247" t="s">
        <v>1346</v>
      </c>
      <c r="F247" t="s">
        <v>1347</v>
      </c>
      <c r="G247" t="s">
        <v>1348</v>
      </c>
      <c r="H247" s="7">
        <v>299</v>
      </c>
      <c r="I247" s="7">
        <v>798</v>
      </c>
      <c r="J247" s="7" t="str">
        <f t="shared" si="11"/>
        <v>&gt;₹500</v>
      </c>
      <c r="K247" s="1">
        <v>0.63</v>
      </c>
      <c r="L247" s="1" t="str">
        <f t="shared" si="9"/>
        <v>50% or More</v>
      </c>
      <c r="M247">
        <v>4.4000000000000004</v>
      </c>
      <c r="N247" s="2">
        <v>28791</v>
      </c>
      <c r="O247" s="5">
        <f t="shared" si="10"/>
        <v>22975218</v>
      </c>
      <c r="P247">
        <f>MAX(Table1[RATING COUNT])</f>
        <v>426973</v>
      </c>
    </row>
    <row r="248" spans="1:16">
      <c r="A248" t="s">
        <v>1856</v>
      </c>
      <c r="B248" t="s">
        <v>246</v>
      </c>
      <c r="D248" t="s">
        <v>1345</v>
      </c>
      <c r="E248" t="s">
        <v>1346</v>
      </c>
      <c r="F248" t="s">
        <v>1347</v>
      </c>
      <c r="G248" t="s">
        <v>1348</v>
      </c>
      <c r="H248" s="7">
        <v>89</v>
      </c>
      <c r="I248" s="7">
        <v>800</v>
      </c>
      <c r="J248" s="7" t="str">
        <f t="shared" si="11"/>
        <v>&gt;₹500</v>
      </c>
      <c r="K248" s="1">
        <v>0.89</v>
      </c>
      <c r="L248" s="1" t="str">
        <f t="shared" si="9"/>
        <v>50% or More</v>
      </c>
      <c r="M248">
        <v>3.9</v>
      </c>
      <c r="N248" s="2">
        <v>1075</v>
      </c>
      <c r="O248" s="5">
        <f t="shared" si="10"/>
        <v>860000</v>
      </c>
      <c r="P248">
        <f>MAX(Table1[RATING COUNT])</f>
        <v>426973</v>
      </c>
    </row>
    <row r="249" spans="1:16">
      <c r="A249" t="s">
        <v>1857</v>
      </c>
      <c r="B249" t="s">
        <v>247</v>
      </c>
      <c r="D249" t="s">
        <v>1345</v>
      </c>
      <c r="E249" t="s">
        <v>1346</v>
      </c>
      <c r="F249" t="s">
        <v>1347</v>
      </c>
      <c r="G249" t="s">
        <v>1348</v>
      </c>
      <c r="H249" s="7">
        <v>549</v>
      </c>
      <c r="I249" s="7">
        <v>995</v>
      </c>
      <c r="J249" s="7" t="str">
        <f t="shared" si="11"/>
        <v>&gt;₹500</v>
      </c>
      <c r="K249" s="1">
        <v>0.45</v>
      </c>
      <c r="L249" s="1" t="str">
        <f t="shared" si="9"/>
        <v>&lt;50%</v>
      </c>
      <c r="M249">
        <v>4.2</v>
      </c>
      <c r="N249" s="2">
        <v>29746</v>
      </c>
      <c r="O249" s="5">
        <f t="shared" si="10"/>
        <v>29597270</v>
      </c>
      <c r="P249">
        <f>MAX(Table1[RATING COUNT])</f>
        <v>426973</v>
      </c>
    </row>
    <row r="250" spans="1:16">
      <c r="A250" t="s">
        <v>1858</v>
      </c>
      <c r="B250" t="s">
        <v>248</v>
      </c>
      <c r="D250" t="s">
        <v>1345</v>
      </c>
      <c r="E250" t="s">
        <v>1346</v>
      </c>
      <c r="F250" t="s">
        <v>1347</v>
      </c>
      <c r="G250" t="s">
        <v>1348</v>
      </c>
      <c r="H250" s="7">
        <v>129</v>
      </c>
      <c r="I250" s="7">
        <v>1000</v>
      </c>
      <c r="J250" s="7" t="str">
        <f t="shared" si="11"/>
        <v>&gt;₹500</v>
      </c>
      <c r="K250" s="1">
        <v>0.87</v>
      </c>
      <c r="L250" s="1" t="str">
        <f t="shared" si="9"/>
        <v>50% or More</v>
      </c>
      <c r="M250">
        <v>3.9</v>
      </c>
      <c r="N250" s="2">
        <v>295</v>
      </c>
      <c r="O250" s="5">
        <f t="shared" si="10"/>
        <v>295000</v>
      </c>
      <c r="P250">
        <f>MAX(Table1[RATING COUNT])</f>
        <v>426973</v>
      </c>
    </row>
    <row r="251" spans="1:16">
      <c r="A251" t="s">
        <v>1859</v>
      </c>
      <c r="B251" t="s">
        <v>249</v>
      </c>
      <c r="D251" t="s">
        <v>1352</v>
      </c>
      <c r="E251" t="s">
        <v>1353</v>
      </c>
      <c r="F251" t="s">
        <v>1355</v>
      </c>
      <c r="G251" t="s">
        <v>1356</v>
      </c>
      <c r="H251" s="7">
        <v>77990</v>
      </c>
      <c r="I251" s="7" t="s">
        <v>1337</v>
      </c>
      <c r="J251" s="7" t="str">
        <f t="shared" si="11"/>
        <v>&gt;₹500</v>
      </c>
      <c r="K251" s="1">
        <v>0.44</v>
      </c>
      <c r="L251" s="1" t="str">
        <f t="shared" si="9"/>
        <v>&lt;50%</v>
      </c>
      <c r="M251">
        <v>4.7</v>
      </c>
      <c r="N251" s="2">
        <v>5935</v>
      </c>
      <c r="O251" s="5" t="e">
        <f t="shared" si="10"/>
        <v>#VALUE!</v>
      </c>
      <c r="P251">
        <f>MAX(Table1[RATING COUNT])</f>
        <v>426973</v>
      </c>
    </row>
    <row r="252" spans="1:16">
      <c r="A252" t="s">
        <v>1860</v>
      </c>
      <c r="B252" t="s">
        <v>250</v>
      </c>
      <c r="D252" t="s">
        <v>1352</v>
      </c>
      <c r="E252" t="s">
        <v>1353</v>
      </c>
      <c r="F252" t="s">
        <v>1354</v>
      </c>
      <c r="G252" t="s">
        <v>1357</v>
      </c>
      <c r="H252" s="7">
        <v>349</v>
      </c>
      <c r="I252" s="7">
        <v>799</v>
      </c>
      <c r="J252" s="7" t="str">
        <f t="shared" si="11"/>
        <v>&gt;₹500</v>
      </c>
      <c r="K252" s="1">
        <v>0.56000000000000005</v>
      </c>
      <c r="L252" s="1" t="str">
        <f t="shared" si="9"/>
        <v>50% or More</v>
      </c>
      <c r="M252">
        <v>3.6</v>
      </c>
      <c r="N252" s="2">
        <v>323</v>
      </c>
      <c r="O252" s="5">
        <f t="shared" si="10"/>
        <v>258077</v>
      </c>
      <c r="P252">
        <f>MAX(Table1[RATING COUNT])</f>
        <v>426973</v>
      </c>
    </row>
    <row r="253" spans="1:16">
      <c r="A253" t="s">
        <v>1861</v>
      </c>
      <c r="B253" t="s">
        <v>251</v>
      </c>
      <c r="D253" t="s">
        <v>1352</v>
      </c>
      <c r="E253" t="s">
        <v>1353</v>
      </c>
      <c r="F253" t="s">
        <v>1354</v>
      </c>
      <c r="G253" t="s">
        <v>1357</v>
      </c>
      <c r="H253" s="7">
        <v>499</v>
      </c>
      <c r="I253" s="7">
        <v>899</v>
      </c>
      <c r="J253" s="7" t="str">
        <f t="shared" si="11"/>
        <v>&gt;₹500</v>
      </c>
      <c r="K253" s="1">
        <v>0.44</v>
      </c>
      <c r="L253" s="1" t="str">
        <f t="shared" si="9"/>
        <v>&lt;50%</v>
      </c>
      <c r="M253">
        <v>3.7</v>
      </c>
      <c r="N253" s="2">
        <v>185</v>
      </c>
      <c r="O253" s="5">
        <f t="shared" si="10"/>
        <v>166315</v>
      </c>
      <c r="P253">
        <f>MAX(Table1[RATING COUNT])</f>
        <v>426973</v>
      </c>
    </row>
    <row r="254" spans="1:16">
      <c r="A254" t="s">
        <v>1862</v>
      </c>
      <c r="B254" t="s">
        <v>252</v>
      </c>
      <c r="D254" t="s">
        <v>1345</v>
      </c>
      <c r="E254" t="s">
        <v>1346</v>
      </c>
      <c r="F254" t="s">
        <v>1347</v>
      </c>
      <c r="G254" t="s">
        <v>1348</v>
      </c>
      <c r="H254" s="7">
        <v>299</v>
      </c>
      <c r="I254" s="7">
        <v>799</v>
      </c>
      <c r="J254" s="7" t="str">
        <f t="shared" si="11"/>
        <v>&gt;₹500</v>
      </c>
      <c r="K254" s="1">
        <v>0.63</v>
      </c>
      <c r="L254" s="1" t="str">
        <f t="shared" si="9"/>
        <v>50% or More</v>
      </c>
      <c r="M254">
        <v>4.2</v>
      </c>
      <c r="N254" s="2">
        <v>2117</v>
      </c>
      <c r="O254" s="5">
        <f t="shared" si="10"/>
        <v>1691483</v>
      </c>
      <c r="P254">
        <f>MAX(Table1[RATING COUNT])</f>
        <v>426973</v>
      </c>
    </row>
    <row r="255" spans="1:16">
      <c r="A255" t="s">
        <v>1863</v>
      </c>
      <c r="B255" t="s">
        <v>253</v>
      </c>
      <c r="D255" t="s">
        <v>1345</v>
      </c>
      <c r="E255" t="s">
        <v>1346</v>
      </c>
      <c r="F255" t="s">
        <v>1347</v>
      </c>
      <c r="G255" t="s">
        <v>1348</v>
      </c>
      <c r="H255" s="7">
        <v>182</v>
      </c>
      <c r="I255" s="7">
        <v>599</v>
      </c>
      <c r="J255" s="7" t="str">
        <f t="shared" si="11"/>
        <v>&gt;₹500</v>
      </c>
      <c r="K255" s="1">
        <v>0.7</v>
      </c>
      <c r="L255" s="1" t="str">
        <f t="shared" si="9"/>
        <v>50% or More</v>
      </c>
      <c r="M255">
        <v>4</v>
      </c>
      <c r="N255" s="2">
        <v>9378</v>
      </c>
      <c r="O255" s="5">
        <f t="shared" si="10"/>
        <v>5617422</v>
      </c>
      <c r="P255">
        <f>MAX(Table1[RATING COUNT])</f>
        <v>426973</v>
      </c>
    </row>
    <row r="256" spans="1:16">
      <c r="A256" t="s">
        <v>1864</v>
      </c>
      <c r="B256" t="s">
        <v>254</v>
      </c>
      <c r="D256" t="s">
        <v>1352</v>
      </c>
      <c r="E256" t="s">
        <v>1353</v>
      </c>
      <c r="F256" t="s">
        <v>1354</v>
      </c>
      <c r="G256" t="s">
        <v>1359</v>
      </c>
      <c r="H256" s="7">
        <v>96</v>
      </c>
      <c r="I256" s="7">
        <v>399</v>
      </c>
      <c r="J256" s="7" t="str">
        <f t="shared" si="11"/>
        <v>₹200–₹500</v>
      </c>
      <c r="K256" s="1">
        <v>0.76</v>
      </c>
      <c r="L256" s="1" t="str">
        <f t="shared" si="9"/>
        <v>50% or More</v>
      </c>
      <c r="M256">
        <v>3.6</v>
      </c>
      <c r="N256" s="2">
        <v>1796</v>
      </c>
      <c r="O256" s="5">
        <f t="shared" si="10"/>
        <v>716604</v>
      </c>
      <c r="P256">
        <f>MAX(Table1[RATING COUNT])</f>
        <v>426973</v>
      </c>
    </row>
    <row r="257" spans="1:16">
      <c r="A257" t="s">
        <v>1865</v>
      </c>
      <c r="B257" t="s">
        <v>255</v>
      </c>
      <c r="D257" t="s">
        <v>1352</v>
      </c>
      <c r="E257" t="s">
        <v>1353</v>
      </c>
      <c r="F257" t="s">
        <v>1355</v>
      </c>
      <c r="G257" t="s">
        <v>1356</v>
      </c>
      <c r="H257" s="7">
        <v>54990</v>
      </c>
      <c r="I257" s="7">
        <v>85000</v>
      </c>
      <c r="J257" s="7" t="str">
        <f t="shared" si="11"/>
        <v>&gt;₹500</v>
      </c>
      <c r="K257" s="1">
        <v>0.35</v>
      </c>
      <c r="L257" s="1" t="str">
        <f t="shared" si="9"/>
        <v>&lt;50%</v>
      </c>
      <c r="M257">
        <v>4.3</v>
      </c>
      <c r="N257" s="2">
        <v>3587</v>
      </c>
      <c r="O257" s="5">
        <f t="shared" si="10"/>
        <v>304895000</v>
      </c>
      <c r="P257">
        <f>MAX(Table1[RATING COUNT])</f>
        <v>426973</v>
      </c>
    </row>
    <row r="258" spans="1:16">
      <c r="A258" t="s">
        <v>1866</v>
      </c>
      <c r="B258" t="s">
        <v>256</v>
      </c>
      <c r="D258" t="s">
        <v>1352</v>
      </c>
      <c r="E258" t="s">
        <v>1353</v>
      </c>
      <c r="F258" t="s">
        <v>1354</v>
      </c>
      <c r="G258" t="s">
        <v>1348</v>
      </c>
      <c r="H258" s="7">
        <v>439</v>
      </c>
      <c r="I258" s="7">
        <v>758</v>
      </c>
      <c r="J258" s="7" t="str">
        <f t="shared" si="11"/>
        <v>&gt;₹500</v>
      </c>
      <c r="K258" s="1">
        <v>0.42</v>
      </c>
      <c r="L258" s="1" t="str">
        <f t="shared" ref="L258:L321" si="12">IF(K258&gt;=50%,"50% or More","&lt;50%")</f>
        <v>&lt;50%</v>
      </c>
      <c r="M258">
        <v>4.2</v>
      </c>
      <c r="N258" s="2">
        <v>4296</v>
      </c>
      <c r="O258" s="5">
        <f t="shared" ref="O258:O321" si="13">I258*N258</f>
        <v>3256368</v>
      </c>
      <c r="P258">
        <f>MAX(Table1[RATING COUNT])</f>
        <v>426973</v>
      </c>
    </row>
    <row r="259" spans="1:16">
      <c r="A259" t="s">
        <v>1867</v>
      </c>
      <c r="B259" t="s">
        <v>257</v>
      </c>
      <c r="D259" t="s">
        <v>1345</v>
      </c>
      <c r="E259" t="s">
        <v>1346</v>
      </c>
      <c r="F259" t="s">
        <v>1347</v>
      </c>
      <c r="G259" t="s">
        <v>1348</v>
      </c>
      <c r="H259" s="7">
        <v>299</v>
      </c>
      <c r="I259" s="7">
        <v>999</v>
      </c>
      <c r="J259" s="7" t="str">
        <f t="shared" ref="J259:J322" si="14">IF(I259&lt;200, "&lt;₹200", IF(I259&lt;=500, "₹200–₹500", "&gt;₹500"))</f>
        <v>&gt;₹500</v>
      </c>
      <c r="K259" s="1">
        <v>0.7</v>
      </c>
      <c r="L259" s="1" t="str">
        <f t="shared" si="12"/>
        <v>50% or More</v>
      </c>
      <c r="M259">
        <v>4.3</v>
      </c>
      <c r="N259" s="2">
        <v>2651</v>
      </c>
      <c r="O259" s="5">
        <f t="shared" si="13"/>
        <v>2648349</v>
      </c>
      <c r="P259">
        <f>MAX(Table1[RATING COUNT])</f>
        <v>426973</v>
      </c>
    </row>
    <row r="260" spans="1:16">
      <c r="A260" t="s">
        <v>1868</v>
      </c>
      <c r="B260" t="s">
        <v>258</v>
      </c>
      <c r="D260" t="s">
        <v>1345</v>
      </c>
      <c r="E260" t="s">
        <v>1346</v>
      </c>
      <c r="F260" t="s">
        <v>1347</v>
      </c>
      <c r="G260" t="s">
        <v>1348</v>
      </c>
      <c r="H260" s="7">
        <v>299</v>
      </c>
      <c r="I260" s="7">
        <v>799</v>
      </c>
      <c r="J260" s="7" t="str">
        <f t="shared" si="14"/>
        <v>&gt;₹500</v>
      </c>
      <c r="K260" s="1">
        <v>0.63</v>
      </c>
      <c r="L260" s="1" t="str">
        <f t="shared" si="12"/>
        <v>50% or More</v>
      </c>
      <c r="M260">
        <v>4.2</v>
      </c>
      <c r="N260" s="2">
        <v>94363</v>
      </c>
      <c r="O260" s="5">
        <f t="shared" si="13"/>
        <v>75396037</v>
      </c>
      <c r="P260">
        <f>MAX(Table1[RATING COUNT])</f>
        <v>426973</v>
      </c>
    </row>
    <row r="261" spans="1:16">
      <c r="A261" t="s">
        <v>1869</v>
      </c>
      <c r="B261" t="s">
        <v>259</v>
      </c>
      <c r="D261" t="s">
        <v>1345</v>
      </c>
      <c r="E261" t="s">
        <v>1346</v>
      </c>
      <c r="F261" t="s">
        <v>1347</v>
      </c>
      <c r="G261" t="s">
        <v>1348</v>
      </c>
      <c r="H261" s="7">
        <v>789</v>
      </c>
      <c r="I261" s="7">
        <v>1999</v>
      </c>
      <c r="J261" s="7" t="str">
        <f t="shared" si="14"/>
        <v>&gt;₹500</v>
      </c>
      <c r="K261" s="1">
        <v>0.61</v>
      </c>
      <c r="L261" s="1" t="str">
        <f t="shared" si="12"/>
        <v>50% or More</v>
      </c>
      <c r="M261">
        <v>4.2</v>
      </c>
      <c r="N261" s="2">
        <v>34540</v>
      </c>
      <c r="O261" s="5">
        <f t="shared" si="13"/>
        <v>69045460</v>
      </c>
      <c r="P261">
        <f>MAX(Table1[RATING COUNT])</f>
        <v>426973</v>
      </c>
    </row>
    <row r="262" spans="1:16">
      <c r="A262" t="s">
        <v>1870</v>
      </c>
      <c r="B262" t="s">
        <v>260</v>
      </c>
      <c r="D262" t="s">
        <v>1352</v>
      </c>
      <c r="E262" t="s">
        <v>1353</v>
      </c>
      <c r="F262" t="s">
        <v>1354</v>
      </c>
      <c r="G262" t="s">
        <v>1348</v>
      </c>
      <c r="H262" s="7">
        <v>299</v>
      </c>
      <c r="I262" s="7">
        <v>700</v>
      </c>
      <c r="J262" s="7" t="str">
        <f t="shared" si="14"/>
        <v>&gt;₹500</v>
      </c>
      <c r="K262" s="1">
        <v>0.56999999999999995</v>
      </c>
      <c r="L262" s="1" t="str">
        <f t="shared" si="12"/>
        <v>50% or More</v>
      </c>
      <c r="M262">
        <v>4.4000000000000004</v>
      </c>
      <c r="N262" s="2">
        <v>8714</v>
      </c>
      <c r="O262" s="5">
        <f t="shared" si="13"/>
        <v>6099800</v>
      </c>
      <c r="P262">
        <f>MAX(Table1[RATING COUNT])</f>
        <v>426973</v>
      </c>
    </row>
    <row r="263" spans="1:16">
      <c r="A263" t="s">
        <v>1871</v>
      </c>
      <c r="B263" t="s">
        <v>261</v>
      </c>
      <c r="D263" t="s">
        <v>1345</v>
      </c>
      <c r="E263" t="s">
        <v>1346</v>
      </c>
      <c r="F263" t="s">
        <v>1347</v>
      </c>
      <c r="G263" t="s">
        <v>1348</v>
      </c>
      <c r="H263" s="7">
        <v>325</v>
      </c>
      <c r="I263" s="7">
        <v>1099</v>
      </c>
      <c r="J263" s="7" t="str">
        <f t="shared" si="14"/>
        <v>&gt;₹500</v>
      </c>
      <c r="K263" s="1">
        <v>0.7</v>
      </c>
      <c r="L263" s="1" t="str">
        <f t="shared" si="12"/>
        <v>50% or More</v>
      </c>
      <c r="M263">
        <v>4.2</v>
      </c>
      <c r="N263" s="2">
        <v>10576</v>
      </c>
      <c r="O263" s="5">
        <f t="shared" si="13"/>
        <v>11623024</v>
      </c>
      <c r="P263">
        <f>MAX(Table1[RATING COUNT])</f>
        <v>426973</v>
      </c>
    </row>
    <row r="264" spans="1:16">
      <c r="A264" t="s">
        <v>1872</v>
      </c>
      <c r="B264" t="s">
        <v>262</v>
      </c>
      <c r="D264" t="s">
        <v>1345</v>
      </c>
      <c r="E264" t="s">
        <v>1346</v>
      </c>
      <c r="F264" t="s">
        <v>1347</v>
      </c>
      <c r="G264" t="s">
        <v>1348</v>
      </c>
      <c r="H264" s="7">
        <v>1299</v>
      </c>
      <c r="I264" s="7">
        <v>1999</v>
      </c>
      <c r="J264" s="7" t="str">
        <f t="shared" si="14"/>
        <v>&gt;₹500</v>
      </c>
      <c r="K264" s="1">
        <v>0.35</v>
      </c>
      <c r="L264" s="1" t="str">
        <f t="shared" si="12"/>
        <v>&lt;50%</v>
      </c>
      <c r="M264">
        <v>4.4000000000000004</v>
      </c>
      <c r="N264" s="2">
        <v>7318</v>
      </c>
      <c r="O264" s="5">
        <f t="shared" si="13"/>
        <v>14628682</v>
      </c>
      <c r="P264">
        <f>MAX(Table1[RATING COUNT])</f>
        <v>426973</v>
      </c>
    </row>
    <row r="265" spans="1:16">
      <c r="A265" t="s">
        <v>1873</v>
      </c>
      <c r="B265" t="s">
        <v>263</v>
      </c>
      <c r="D265" t="s">
        <v>1352</v>
      </c>
      <c r="E265" t="s">
        <v>1353</v>
      </c>
      <c r="F265" t="s">
        <v>1354</v>
      </c>
      <c r="G265" t="s">
        <v>1357</v>
      </c>
      <c r="H265" s="7">
        <v>790</v>
      </c>
      <c r="I265" s="7">
        <v>1999</v>
      </c>
      <c r="J265" s="7" t="str">
        <f t="shared" si="14"/>
        <v>&gt;₹500</v>
      </c>
      <c r="K265" s="1">
        <v>0.6</v>
      </c>
      <c r="L265" s="1" t="str">
        <f t="shared" si="12"/>
        <v>50% or More</v>
      </c>
      <c r="M265">
        <v>3</v>
      </c>
      <c r="N265" s="2">
        <v>103</v>
      </c>
      <c r="O265" s="5">
        <f t="shared" si="13"/>
        <v>205897</v>
      </c>
      <c r="P265">
        <f>MAX(Table1[RATING COUNT])</f>
        <v>426973</v>
      </c>
    </row>
    <row r="266" spans="1:16">
      <c r="A266" t="s">
        <v>1874</v>
      </c>
      <c r="B266" t="s">
        <v>264</v>
      </c>
      <c r="D266" t="s">
        <v>1352</v>
      </c>
      <c r="E266" t="s">
        <v>1360</v>
      </c>
      <c r="F266" t="s">
        <v>1367</v>
      </c>
      <c r="G266" t="s">
        <v>1368</v>
      </c>
      <c r="H266" s="7">
        <v>4699</v>
      </c>
      <c r="I266" s="7">
        <v>4699</v>
      </c>
      <c r="J266" s="7" t="str">
        <f t="shared" si="14"/>
        <v>&gt;₹500</v>
      </c>
      <c r="K266" s="1">
        <v>0</v>
      </c>
      <c r="L266" s="1" t="str">
        <f t="shared" si="12"/>
        <v>&lt;50%</v>
      </c>
      <c r="M266">
        <v>4.5</v>
      </c>
      <c r="N266" s="2">
        <v>224</v>
      </c>
      <c r="O266" s="5">
        <f t="shared" si="13"/>
        <v>1052576</v>
      </c>
      <c r="P266">
        <f>MAX(Table1[RATING COUNT])</f>
        <v>426973</v>
      </c>
    </row>
    <row r="267" spans="1:16">
      <c r="A267" t="s">
        <v>1875</v>
      </c>
      <c r="B267" t="s">
        <v>265</v>
      </c>
      <c r="D267" t="s">
        <v>1352</v>
      </c>
      <c r="E267" t="s">
        <v>1353</v>
      </c>
      <c r="F267" t="s">
        <v>1355</v>
      </c>
      <c r="G267" t="s">
        <v>1356</v>
      </c>
      <c r="H267" s="7">
        <v>18999</v>
      </c>
      <c r="I267" s="7">
        <v>24990</v>
      </c>
      <c r="J267" s="7" t="str">
        <f t="shared" si="14"/>
        <v>&gt;₹500</v>
      </c>
      <c r="K267" s="1">
        <v>0.24</v>
      </c>
      <c r="L267" s="1" t="str">
        <f t="shared" si="12"/>
        <v>&lt;50%</v>
      </c>
      <c r="M267">
        <v>4.3</v>
      </c>
      <c r="N267" s="2">
        <v>4702</v>
      </c>
      <c r="O267" s="5">
        <f t="shared" si="13"/>
        <v>117502980</v>
      </c>
      <c r="P267">
        <f>MAX(Table1[RATING COUNT])</f>
        <v>426973</v>
      </c>
    </row>
    <row r="268" spans="1:16">
      <c r="A268" t="s">
        <v>1876</v>
      </c>
      <c r="B268" t="s">
        <v>266</v>
      </c>
      <c r="D268" t="s">
        <v>1345</v>
      </c>
      <c r="E268" t="s">
        <v>1346</v>
      </c>
      <c r="F268" t="s">
        <v>1347</v>
      </c>
      <c r="G268" t="s">
        <v>1348</v>
      </c>
      <c r="H268" s="7">
        <v>199</v>
      </c>
      <c r="I268" s="7">
        <v>999</v>
      </c>
      <c r="J268" s="7" t="str">
        <f t="shared" si="14"/>
        <v>&gt;₹500</v>
      </c>
      <c r="K268" s="1">
        <v>0.8</v>
      </c>
      <c r="L268" s="1" t="str">
        <f t="shared" si="12"/>
        <v>50% or More</v>
      </c>
      <c r="M268">
        <v>4.2</v>
      </c>
      <c r="N268" s="2">
        <v>85</v>
      </c>
      <c r="O268" s="5">
        <f t="shared" si="13"/>
        <v>84915</v>
      </c>
      <c r="P268">
        <f>MAX(Table1[RATING COUNT])</f>
        <v>426973</v>
      </c>
    </row>
    <row r="269" spans="1:16">
      <c r="A269" t="s">
        <v>1877</v>
      </c>
      <c r="B269" t="s">
        <v>267</v>
      </c>
      <c r="D269" t="s">
        <v>1352</v>
      </c>
      <c r="E269" t="s">
        <v>1353</v>
      </c>
      <c r="F269" t="s">
        <v>1354</v>
      </c>
      <c r="G269" t="s">
        <v>1348</v>
      </c>
      <c r="H269" s="7">
        <v>269</v>
      </c>
      <c r="I269" s="7">
        <v>650</v>
      </c>
      <c r="J269" s="7" t="str">
        <f t="shared" si="14"/>
        <v>&gt;₹500</v>
      </c>
      <c r="K269" s="1">
        <v>0.59</v>
      </c>
      <c r="L269" s="1" t="str">
        <f t="shared" si="12"/>
        <v>50% or More</v>
      </c>
      <c r="M269">
        <v>4.4000000000000004</v>
      </c>
      <c r="N269" s="2">
        <v>35877</v>
      </c>
      <c r="O269" s="5">
        <f t="shared" si="13"/>
        <v>23320050</v>
      </c>
      <c r="P269">
        <f>MAX(Table1[RATING COUNT])</f>
        <v>426973</v>
      </c>
    </row>
    <row r="270" spans="1:16">
      <c r="A270" t="s">
        <v>1878</v>
      </c>
      <c r="B270" t="s">
        <v>268</v>
      </c>
      <c r="D270" t="s">
        <v>1352</v>
      </c>
      <c r="E270" t="s">
        <v>1353</v>
      </c>
      <c r="F270" t="s">
        <v>1369</v>
      </c>
      <c r="H270" s="7">
        <v>1990</v>
      </c>
      <c r="I270" s="7">
        <v>3100</v>
      </c>
      <c r="J270" s="7" t="str">
        <f t="shared" si="14"/>
        <v>&gt;₹500</v>
      </c>
      <c r="K270" s="1">
        <v>0.36</v>
      </c>
      <c r="L270" s="1" t="str">
        <f t="shared" si="12"/>
        <v>&lt;50%</v>
      </c>
      <c r="M270">
        <v>4</v>
      </c>
      <c r="N270" s="2">
        <v>897</v>
      </c>
      <c r="O270" s="5">
        <f t="shared" si="13"/>
        <v>2780700</v>
      </c>
      <c r="P270">
        <f>MAX(Table1[RATING COUNT])</f>
        <v>426973</v>
      </c>
    </row>
    <row r="271" spans="1:16">
      <c r="A271" t="s">
        <v>1879</v>
      </c>
      <c r="B271" t="s">
        <v>269</v>
      </c>
      <c r="D271" t="s">
        <v>1352</v>
      </c>
      <c r="E271" t="s">
        <v>1360</v>
      </c>
      <c r="F271" t="s">
        <v>1370</v>
      </c>
      <c r="G271" t="s">
        <v>1371</v>
      </c>
      <c r="H271" s="7">
        <v>2299</v>
      </c>
      <c r="I271" s="7">
        <v>3999</v>
      </c>
      <c r="J271" s="7" t="str">
        <f t="shared" si="14"/>
        <v>&gt;₹500</v>
      </c>
      <c r="K271" s="1">
        <v>0.43</v>
      </c>
      <c r="L271" s="1" t="str">
        <f t="shared" si="12"/>
        <v>&lt;50%</v>
      </c>
      <c r="M271">
        <v>3.8</v>
      </c>
      <c r="N271" s="2">
        <v>282</v>
      </c>
      <c r="O271" s="5">
        <f t="shared" si="13"/>
        <v>1127718</v>
      </c>
      <c r="P271">
        <f>MAX(Table1[RATING COUNT])</f>
        <v>426973</v>
      </c>
    </row>
    <row r="272" spans="1:16">
      <c r="A272" t="s">
        <v>1880</v>
      </c>
      <c r="B272" t="s">
        <v>270</v>
      </c>
      <c r="D272" t="s">
        <v>1352</v>
      </c>
      <c r="E272" t="s">
        <v>1353</v>
      </c>
      <c r="F272" t="s">
        <v>1355</v>
      </c>
      <c r="G272" t="s">
        <v>1356</v>
      </c>
      <c r="H272" s="7">
        <v>35999</v>
      </c>
      <c r="I272" s="7">
        <v>49990</v>
      </c>
      <c r="J272" s="7" t="str">
        <f t="shared" si="14"/>
        <v>&gt;₹500</v>
      </c>
      <c r="K272" s="1">
        <v>0.28000000000000003</v>
      </c>
      <c r="L272" s="1" t="str">
        <f t="shared" si="12"/>
        <v>&lt;50%</v>
      </c>
      <c r="M272">
        <v>4.3</v>
      </c>
      <c r="N272" s="2">
        <v>1611</v>
      </c>
      <c r="O272" s="5">
        <f t="shared" si="13"/>
        <v>80533890</v>
      </c>
      <c r="P272">
        <f>MAX(Table1[RATING COUNT])</f>
        <v>426973</v>
      </c>
    </row>
    <row r="273" spans="1:16">
      <c r="A273" t="s">
        <v>1881</v>
      </c>
      <c r="B273" t="s">
        <v>271</v>
      </c>
      <c r="D273" t="s">
        <v>1352</v>
      </c>
      <c r="E273" t="s">
        <v>1353</v>
      </c>
      <c r="F273" t="s">
        <v>1354</v>
      </c>
      <c r="G273" t="s">
        <v>1357</v>
      </c>
      <c r="H273" s="7">
        <v>349</v>
      </c>
      <c r="I273" s="7">
        <v>999</v>
      </c>
      <c r="J273" s="7" t="str">
        <f t="shared" si="14"/>
        <v>&gt;₹500</v>
      </c>
      <c r="K273" s="1">
        <v>0.65</v>
      </c>
      <c r="L273" s="1" t="str">
        <f t="shared" si="12"/>
        <v>50% or More</v>
      </c>
      <c r="M273">
        <v>4.2</v>
      </c>
      <c r="N273" s="2">
        <v>513</v>
      </c>
      <c r="O273" s="5">
        <f t="shared" si="13"/>
        <v>512487</v>
      </c>
      <c r="P273">
        <f>MAX(Table1[RATING COUNT])</f>
        <v>426973</v>
      </c>
    </row>
    <row r="274" spans="1:16">
      <c r="A274" t="s">
        <v>1882</v>
      </c>
      <c r="B274" t="s">
        <v>272</v>
      </c>
      <c r="D274" t="s">
        <v>1345</v>
      </c>
      <c r="E274" t="s">
        <v>1346</v>
      </c>
      <c r="F274" t="s">
        <v>1347</v>
      </c>
      <c r="G274" t="s">
        <v>1348</v>
      </c>
      <c r="H274" s="7">
        <v>719</v>
      </c>
      <c r="I274" s="7">
        <v>1499</v>
      </c>
      <c r="J274" s="7" t="str">
        <f t="shared" si="14"/>
        <v>&gt;₹500</v>
      </c>
      <c r="K274" s="1">
        <v>0.52</v>
      </c>
      <c r="L274" s="1" t="str">
        <f t="shared" si="12"/>
        <v>50% or More</v>
      </c>
      <c r="M274">
        <v>4.0999999999999996</v>
      </c>
      <c r="N274" s="2">
        <v>1045</v>
      </c>
      <c r="O274" s="5">
        <f t="shared" si="13"/>
        <v>1566455</v>
      </c>
      <c r="P274">
        <f>MAX(Table1[RATING COUNT])</f>
        <v>426973</v>
      </c>
    </row>
    <row r="275" spans="1:16">
      <c r="A275" t="s">
        <v>1883</v>
      </c>
      <c r="B275" t="s">
        <v>273</v>
      </c>
      <c r="D275" t="s">
        <v>1352</v>
      </c>
      <c r="E275" t="s">
        <v>1353</v>
      </c>
      <c r="F275" t="s">
        <v>1355</v>
      </c>
      <c r="G275" t="s">
        <v>1356</v>
      </c>
      <c r="H275" s="7">
        <v>8999</v>
      </c>
      <c r="I275" s="7">
        <v>18999</v>
      </c>
      <c r="J275" s="7" t="str">
        <f t="shared" si="14"/>
        <v>&gt;₹500</v>
      </c>
      <c r="K275" s="1">
        <v>0.53</v>
      </c>
      <c r="L275" s="1" t="str">
        <f t="shared" si="12"/>
        <v>50% or More</v>
      </c>
      <c r="M275">
        <v>4</v>
      </c>
      <c r="N275" s="2">
        <v>6347</v>
      </c>
      <c r="O275" s="5">
        <f t="shared" si="13"/>
        <v>120586653</v>
      </c>
      <c r="P275">
        <f>MAX(Table1[RATING COUNT])</f>
        <v>426973</v>
      </c>
    </row>
    <row r="276" spans="1:16">
      <c r="A276" t="s">
        <v>1884</v>
      </c>
      <c r="B276" t="s">
        <v>274</v>
      </c>
      <c r="D276" t="s">
        <v>1352</v>
      </c>
      <c r="E276" t="s">
        <v>1353</v>
      </c>
      <c r="F276" t="s">
        <v>1365</v>
      </c>
      <c r="G276" t="s">
        <v>1366</v>
      </c>
      <c r="H276" s="7">
        <v>917</v>
      </c>
      <c r="I276" s="7">
        <v>2299</v>
      </c>
      <c r="J276" s="7" t="str">
        <f t="shared" si="14"/>
        <v>&gt;₹500</v>
      </c>
      <c r="K276" s="1">
        <v>0.6</v>
      </c>
      <c r="L276" s="1" t="str">
        <f t="shared" si="12"/>
        <v>50% or More</v>
      </c>
      <c r="M276">
        <v>4.2</v>
      </c>
      <c r="N276" s="2">
        <v>3300</v>
      </c>
      <c r="O276" s="5">
        <f t="shared" si="13"/>
        <v>7586700</v>
      </c>
      <c r="P276">
        <f>MAX(Table1[RATING COUNT])</f>
        <v>426973</v>
      </c>
    </row>
    <row r="277" spans="1:16">
      <c r="A277" t="s">
        <v>1885</v>
      </c>
      <c r="B277" t="s">
        <v>275</v>
      </c>
      <c r="D277" t="s">
        <v>1352</v>
      </c>
      <c r="E277" t="s">
        <v>1353</v>
      </c>
      <c r="F277" t="s">
        <v>1354</v>
      </c>
      <c r="G277" t="s">
        <v>1357</v>
      </c>
      <c r="H277" s="7">
        <v>399</v>
      </c>
      <c r="I277" s="7">
        <v>999</v>
      </c>
      <c r="J277" s="7" t="str">
        <f t="shared" si="14"/>
        <v>&gt;₹500</v>
      </c>
      <c r="K277" s="1">
        <v>0.6</v>
      </c>
      <c r="L277" s="1" t="str">
        <f t="shared" si="12"/>
        <v>50% or More</v>
      </c>
      <c r="M277">
        <v>3.3</v>
      </c>
      <c r="N277" s="2">
        <v>23</v>
      </c>
      <c r="O277" s="5">
        <f t="shared" si="13"/>
        <v>22977</v>
      </c>
      <c r="P277">
        <f>MAX(Table1[RATING COUNT])</f>
        <v>426973</v>
      </c>
    </row>
    <row r="278" spans="1:16">
      <c r="A278" t="s">
        <v>1886</v>
      </c>
      <c r="B278" t="s">
        <v>276</v>
      </c>
      <c r="D278" t="s">
        <v>1352</v>
      </c>
      <c r="E278" t="s">
        <v>1353</v>
      </c>
      <c r="F278" t="s">
        <v>1355</v>
      </c>
      <c r="G278" t="s">
        <v>1356</v>
      </c>
      <c r="H278" s="7">
        <v>45999</v>
      </c>
      <c r="I278" s="7">
        <v>69900</v>
      </c>
      <c r="J278" s="7" t="str">
        <f t="shared" si="14"/>
        <v>&gt;₹500</v>
      </c>
      <c r="K278" s="1">
        <v>0.34</v>
      </c>
      <c r="L278" s="1" t="str">
        <f t="shared" si="12"/>
        <v>&lt;50%</v>
      </c>
      <c r="M278">
        <v>4.3</v>
      </c>
      <c r="N278" s="2">
        <v>7109</v>
      </c>
      <c r="O278" s="5">
        <f t="shared" si="13"/>
        <v>496919100</v>
      </c>
      <c r="P278">
        <f>MAX(Table1[RATING COUNT])</f>
        <v>426973</v>
      </c>
    </row>
    <row r="279" spans="1:16">
      <c r="A279" t="s">
        <v>1887</v>
      </c>
      <c r="B279" t="s">
        <v>277</v>
      </c>
      <c r="D279" t="s">
        <v>1345</v>
      </c>
      <c r="E279" t="s">
        <v>1346</v>
      </c>
      <c r="F279" t="s">
        <v>1347</v>
      </c>
      <c r="G279" t="s">
        <v>1348</v>
      </c>
      <c r="H279" s="7">
        <v>119</v>
      </c>
      <c r="I279" s="7">
        <v>299</v>
      </c>
      <c r="J279" s="7" t="str">
        <f t="shared" si="14"/>
        <v>₹200–₹500</v>
      </c>
      <c r="K279" s="1">
        <v>0.6</v>
      </c>
      <c r="L279" s="1" t="str">
        <f t="shared" si="12"/>
        <v>50% or More</v>
      </c>
      <c r="M279">
        <v>3.8</v>
      </c>
      <c r="N279" s="2">
        <v>51</v>
      </c>
      <c r="O279" s="5">
        <f t="shared" si="13"/>
        <v>15249</v>
      </c>
      <c r="P279">
        <f>MAX(Table1[RATING COUNT])</f>
        <v>426973</v>
      </c>
    </row>
    <row r="280" spans="1:16">
      <c r="A280" t="s">
        <v>1888</v>
      </c>
      <c r="B280" t="s">
        <v>278</v>
      </c>
      <c r="D280" t="s">
        <v>1352</v>
      </c>
      <c r="E280" t="s">
        <v>1353</v>
      </c>
      <c r="F280" t="s">
        <v>1355</v>
      </c>
      <c r="G280" t="s">
        <v>1356</v>
      </c>
      <c r="H280" s="7">
        <v>21999</v>
      </c>
      <c r="I280" s="7">
        <v>29999</v>
      </c>
      <c r="J280" s="7" t="str">
        <f t="shared" si="14"/>
        <v>&gt;₹500</v>
      </c>
      <c r="K280" s="1">
        <v>0.27</v>
      </c>
      <c r="L280" s="1" t="str">
        <f t="shared" si="12"/>
        <v>&lt;50%</v>
      </c>
      <c r="M280">
        <v>4.2</v>
      </c>
      <c r="N280" s="2">
        <v>32840</v>
      </c>
      <c r="O280" s="5">
        <f t="shared" si="13"/>
        <v>985167160</v>
      </c>
      <c r="P280">
        <f>MAX(Table1[RATING COUNT])</f>
        <v>426973</v>
      </c>
    </row>
    <row r="281" spans="1:16">
      <c r="A281" t="s">
        <v>1889</v>
      </c>
      <c r="B281" t="s">
        <v>279</v>
      </c>
      <c r="D281" t="s">
        <v>1352</v>
      </c>
      <c r="E281" t="s">
        <v>1353</v>
      </c>
      <c r="F281" t="s">
        <v>1354</v>
      </c>
      <c r="G281" t="s">
        <v>1357</v>
      </c>
      <c r="H281" s="7">
        <v>299</v>
      </c>
      <c r="I281" s="7">
        <v>599</v>
      </c>
      <c r="J281" s="7" t="str">
        <f t="shared" si="14"/>
        <v>&gt;₹500</v>
      </c>
      <c r="K281" s="1">
        <v>0.5</v>
      </c>
      <c r="L281" s="1" t="str">
        <f t="shared" si="12"/>
        <v>50% or More</v>
      </c>
      <c r="M281">
        <v>3.7</v>
      </c>
      <c r="N281" s="2">
        <v>708</v>
      </c>
      <c r="O281" s="5">
        <f t="shared" si="13"/>
        <v>424092</v>
      </c>
      <c r="P281">
        <f>MAX(Table1[RATING COUNT])</f>
        <v>426973</v>
      </c>
    </row>
    <row r="282" spans="1:16">
      <c r="A282" t="s">
        <v>1890</v>
      </c>
      <c r="B282" t="s">
        <v>280</v>
      </c>
      <c r="D282" t="s">
        <v>1352</v>
      </c>
      <c r="E282" t="s">
        <v>1353</v>
      </c>
      <c r="F282" t="s">
        <v>1355</v>
      </c>
      <c r="G282" t="s">
        <v>1356</v>
      </c>
      <c r="H282" s="7">
        <v>21990</v>
      </c>
      <c r="I282" s="7">
        <v>34990</v>
      </c>
      <c r="J282" s="7" t="str">
        <f t="shared" si="14"/>
        <v>&gt;₹500</v>
      </c>
      <c r="K282" s="1">
        <v>0.37</v>
      </c>
      <c r="L282" s="1" t="str">
        <f t="shared" si="12"/>
        <v>&lt;50%</v>
      </c>
      <c r="M282">
        <v>4.3</v>
      </c>
      <c r="N282" s="2">
        <v>1657</v>
      </c>
      <c r="O282" s="5">
        <f t="shared" si="13"/>
        <v>57978430</v>
      </c>
      <c r="P282">
        <f>MAX(Table1[RATING COUNT])</f>
        <v>426973</v>
      </c>
    </row>
    <row r="283" spans="1:16">
      <c r="A283" t="s">
        <v>1891</v>
      </c>
      <c r="B283" t="s">
        <v>281</v>
      </c>
      <c r="D283" t="s">
        <v>1345</v>
      </c>
      <c r="E283" t="s">
        <v>1346</v>
      </c>
      <c r="F283" t="s">
        <v>1347</v>
      </c>
      <c r="G283" t="s">
        <v>1348</v>
      </c>
      <c r="H283" s="7">
        <v>417.44</v>
      </c>
      <c r="I283" s="7">
        <v>670</v>
      </c>
      <c r="J283" s="7" t="str">
        <f t="shared" si="14"/>
        <v>&gt;₹500</v>
      </c>
      <c r="K283" s="1">
        <v>0.38</v>
      </c>
      <c r="L283" s="1" t="str">
        <f t="shared" si="12"/>
        <v>&lt;50%</v>
      </c>
      <c r="M283">
        <v>3.9</v>
      </c>
      <c r="N283" s="2">
        <v>523</v>
      </c>
      <c r="O283" s="5">
        <f t="shared" si="13"/>
        <v>350410</v>
      </c>
      <c r="P283">
        <f>MAX(Table1[RATING COUNT])</f>
        <v>426973</v>
      </c>
    </row>
    <row r="284" spans="1:16">
      <c r="A284" t="s">
        <v>1892</v>
      </c>
      <c r="B284" t="s">
        <v>282</v>
      </c>
      <c r="D284" t="s">
        <v>1345</v>
      </c>
      <c r="E284" t="s">
        <v>1346</v>
      </c>
      <c r="F284" t="s">
        <v>1347</v>
      </c>
      <c r="G284" t="s">
        <v>1348</v>
      </c>
      <c r="H284" s="7">
        <v>199</v>
      </c>
      <c r="I284" s="7">
        <v>999</v>
      </c>
      <c r="J284" s="7" t="str">
        <f t="shared" si="14"/>
        <v>&gt;₹500</v>
      </c>
      <c r="K284" s="1">
        <v>0.8</v>
      </c>
      <c r="L284" s="1" t="str">
        <f t="shared" si="12"/>
        <v>50% or More</v>
      </c>
      <c r="M284">
        <v>3</v>
      </c>
      <c r="O284" s="5">
        <f t="shared" si="13"/>
        <v>0</v>
      </c>
      <c r="P284">
        <f>MAX(Table1[RATING COUNT])</f>
        <v>426973</v>
      </c>
    </row>
    <row r="285" spans="1:16">
      <c r="A285" t="s">
        <v>1893</v>
      </c>
      <c r="B285" t="s">
        <v>283</v>
      </c>
      <c r="D285" t="s">
        <v>1352</v>
      </c>
      <c r="E285" t="s">
        <v>1353</v>
      </c>
      <c r="F285" t="s">
        <v>1355</v>
      </c>
      <c r="G285" t="s">
        <v>1356</v>
      </c>
      <c r="H285" s="7">
        <v>47990</v>
      </c>
      <c r="I285" s="7">
        <v>79990</v>
      </c>
      <c r="J285" s="7" t="str">
        <f t="shared" si="14"/>
        <v>&gt;₹500</v>
      </c>
      <c r="K285" s="1">
        <v>0.4</v>
      </c>
      <c r="L285" s="1" t="str">
        <f t="shared" si="12"/>
        <v>&lt;50%</v>
      </c>
      <c r="M285">
        <v>4.3</v>
      </c>
      <c r="N285" s="2">
        <v>1376</v>
      </c>
      <c r="O285" s="5">
        <f t="shared" si="13"/>
        <v>110066240</v>
      </c>
      <c r="P285">
        <f>MAX(Table1[RATING COUNT])</f>
        <v>426973</v>
      </c>
    </row>
    <row r="286" spans="1:16">
      <c r="A286" t="s">
        <v>1894</v>
      </c>
      <c r="B286" t="s">
        <v>284</v>
      </c>
      <c r="D286" t="s">
        <v>1352</v>
      </c>
      <c r="E286" t="s">
        <v>1353</v>
      </c>
      <c r="F286" t="s">
        <v>1354</v>
      </c>
      <c r="G286" t="s">
        <v>1357</v>
      </c>
      <c r="H286" s="7">
        <v>215</v>
      </c>
      <c r="I286" s="7">
        <v>499</v>
      </c>
      <c r="J286" s="7" t="str">
        <f t="shared" si="14"/>
        <v>₹200–₹500</v>
      </c>
      <c r="K286" s="1">
        <v>0.56999999999999995</v>
      </c>
      <c r="L286" s="1" t="str">
        <f t="shared" si="12"/>
        <v>50% or More</v>
      </c>
      <c r="M286">
        <v>3.5</v>
      </c>
      <c r="N286" s="2">
        <v>121</v>
      </c>
      <c r="O286" s="5">
        <f t="shared" si="13"/>
        <v>60379</v>
      </c>
      <c r="P286">
        <f>MAX(Table1[RATING COUNT])</f>
        <v>426973</v>
      </c>
    </row>
    <row r="287" spans="1:16">
      <c r="A287" t="s">
        <v>1895</v>
      </c>
      <c r="B287" t="s">
        <v>285</v>
      </c>
      <c r="D287" t="s">
        <v>1345</v>
      </c>
      <c r="E287" t="s">
        <v>1346</v>
      </c>
      <c r="F287" t="s">
        <v>1347</v>
      </c>
      <c r="G287" t="s">
        <v>1348</v>
      </c>
      <c r="H287" s="7">
        <v>99</v>
      </c>
      <c r="I287" s="7">
        <v>800</v>
      </c>
      <c r="J287" s="7" t="str">
        <f t="shared" si="14"/>
        <v>&gt;₹500</v>
      </c>
      <c r="K287" s="1">
        <v>0.88</v>
      </c>
      <c r="L287" s="1" t="str">
        <f t="shared" si="12"/>
        <v>50% or More</v>
      </c>
      <c r="M287">
        <v>3.9</v>
      </c>
      <c r="N287" s="2">
        <v>1075</v>
      </c>
      <c r="O287" s="5">
        <f t="shared" si="13"/>
        <v>860000</v>
      </c>
      <c r="P287">
        <f>MAX(Table1[RATING COUNT])</f>
        <v>426973</v>
      </c>
    </row>
    <row r="288" spans="1:16">
      <c r="A288" t="s">
        <v>1896</v>
      </c>
      <c r="B288" t="s">
        <v>286</v>
      </c>
      <c r="D288" t="s">
        <v>1352</v>
      </c>
      <c r="E288" t="s">
        <v>1353</v>
      </c>
      <c r="F288" t="s">
        <v>1355</v>
      </c>
      <c r="G288" t="s">
        <v>1356</v>
      </c>
      <c r="H288" s="7">
        <v>18999</v>
      </c>
      <c r="I288" s="7">
        <v>35000</v>
      </c>
      <c r="J288" s="7" t="str">
        <f t="shared" si="14"/>
        <v>&gt;₹500</v>
      </c>
      <c r="K288" s="1">
        <v>0.46</v>
      </c>
      <c r="L288" s="1" t="str">
        <f t="shared" si="12"/>
        <v>&lt;50%</v>
      </c>
      <c r="M288">
        <v>4</v>
      </c>
      <c r="N288" s="2">
        <v>1001</v>
      </c>
      <c r="O288" s="5">
        <f t="shared" si="13"/>
        <v>35035000</v>
      </c>
      <c r="P288">
        <f>MAX(Table1[RATING COUNT])</f>
        <v>426973</v>
      </c>
    </row>
    <row r="289" spans="1:16">
      <c r="A289" t="s">
        <v>1897</v>
      </c>
      <c r="B289" t="s">
        <v>287</v>
      </c>
      <c r="D289" t="s">
        <v>1345</v>
      </c>
      <c r="E289" t="s">
        <v>1346</v>
      </c>
      <c r="F289" t="s">
        <v>1347</v>
      </c>
      <c r="G289" t="s">
        <v>1348</v>
      </c>
      <c r="H289" s="7">
        <v>249</v>
      </c>
      <c r="I289" s="7">
        <v>999</v>
      </c>
      <c r="J289" s="7" t="str">
        <f t="shared" si="14"/>
        <v>&gt;₹500</v>
      </c>
      <c r="K289" s="1">
        <v>0.75</v>
      </c>
      <c r="L289" s="1" t="str">
        <f t="shared" si="12"/>
        <v>50% or More</v>
      </c>
      <c r="M289">
        <v>4.3</v>
      </c>
      <c r="N289" s="2">
        <v>112</v>
      </c>
      <c r="O289" s="5">
        <f t="shared" si="13"/>
        <v>111888</v>
      </c>
      <c r="P289">
        <f>MAX(Table1[RATING COUNT])</f>
        <v>426973</v>
      </c>
    </row>
    <row r="290" spans="1:16">
      <c r="A290" t="s">
        <v>1898</v>
      </c>
      <c r="B290" t="s">
        <v>288</v>
      </c>
      <c r="D290" t="s">
        <v>1352</v>
      </c>
      <c r="E290" t="s">
        <v>1353</v>
      </c>
      <c r="F290" t="s">
        <v>1355</v>
      </c>
      <c r="G290" t="s">
        <v>1358</v>
      </c>
      <c r="H290" s="7">
        <v>7999</v>
      </c>
      <c r="I290" s="7">
        <v>15999</v>
      </c>
      <c r="J290" s="7" t="str">
        <f t="shared" si="14"/>
        <v>&gt;₹500</v>
      </c>
      <c r="K290" s="1">
        <v>0.5</v>
      </c>
      <c r="L290" s="1" t="str">
        <f t="shared" si="12"/>
        <v>50% or More</v>
      </c>
      <c r="M290">
        <v>3.8</v>
      </c>
      <c r="N290" s="2">
        <v>3022</v>
      </c>
      <c r="O290" s="5">
        <f t="shared" si="13"/>
        <v>48348978</v>
      </c>
      <c r="P290">
        <f>MAX(Table1[RATING COUNT])</f>
        <v>426973</v>
      </c>
    </row>
    <row r="291" spans="1:16">
      <c r="A291" t="s">
        <v>1899</v>
      </c>
      <c r="B291" t="s">
        <v>289</v>
      </c>
      <c r="D291" t="s">
        <v>1345</v>
      </c>
      <c r="E291" t="s">
        <v>1346</v>
      </c>
      <c r="F291" t="s">
        <v>1347</v>
      </c>
      <c r="G291" t="s">
        <v>1348</v>
      </c>
      <c r="H291" s="7">
        <v>649</v>
      </c>
      <c r="I291" s="7">
        <v>1600</v>
      </c>
      <c r="J291" s="7" t="str">
        <f t="shared" si="14"/>
        <v>&gt;₹500</v>
      </c>
      <c r="K291" s="1">
        <v>0.59</v>
      </c>
      <c r="L291" s="1" t="str">
        <f t="shared" si="12"/>
        <v>50% or More</v>
      </c>
      <c r="M291">
        <v>4.3</v>
      </c>
      <c r="N291" s="2">
        <v>5451</v>
      </c>
      <c r="O291" s="5">
        <f t="shared" si="13"/>
        <v>8721600</v>
      </c>
      <c r="P291">
        <f>MAX(Table1[RATING COUNT])</f>
        <v>426973</v>
      </c>
    </row>
    <row r="292" spans="1:16">
      <c r="A292" t="s">
        <v>1900</v>
      </c>
      <c r="B292" t="s">
        <v>79</v>
      </c>
      <c r="D292" t="s">
        <v>1352</v>
      </c>
      <c r="E292" t="s">
        <v>1353</v>
      </c>
      <c r="F292" t="s">
        <v>1354</v>
      </c>
      <c r="G292" t="s">
        <v>1357</v>
      </c>
      <c r="H292" s="7">
        <v>1289</v>
      </c>
      <c r="I292" s="7">
        <v>2499</v>
      </c>
      <c r="J292" s="7" t="str">
        <f t="shared" si="14"/>
        <v>&gt;₹500</v>
      </c>
      <c r="K292" s="1">
        <v>0.48</v>
      </c>
      <c r="L292" s="1" t="str">
        <f t="shared" si="12"/>
        <v>&lt;50%</v>
      </c>
      <c r="M292">
        <v>3.3</v>
      </c>
      <c r="N292" s="2">
        <v>73</v>
      </c>
      <c r="O292" s="5">
        <f t="shared" si="13"/>
        <v>182427</v>
      </c>
      <c r="P292">
        <f>MAX(Table1[RATING COUNT])</f>
        <v>426973</v>
      </c>
    </row>
    <row r="293" spans="1:16">
      <c r="A293" t="s">
        <v>1901</v>
      </c>
      <c r="B293" t="s">
        <v>290</v>
      </c>
      <c r="D293" t="s">
        <v>1352</v>
      </c>
      <c r="E293" t="s">
        <v>1353</v>
      </c>
      <c r="F293" t="s">
        <v>1354</v>
      </c>
      <c r="G293" t="s">
        <v>1348</v>
      </c>
      <c r="H293" s="7">
        <v>609</v>
      </c>
      <c r="I293" s="7">
        <v>1500</v>
      </c>
      <c r="J293" s="7" t="str">
        <f t="shared" si="14"/>
        <v>&gt;₹500</v>
      </c>
      <c r="K293" s="1">
        <v>0.59</v>
      </c>
      <c r="L293" s="1" t="str">
        <f t="shared" si="12"/>
        <v>50% or More</v>
      </c>
      <c r="M293">
        <v>4.5</v>
      </c>
      <c r="N293" s="2">
        <v>1029</v>
      </c>
      <c r="O293" s="5">
        <f t="shared" si="13"/>
        <v>1543500</v>
      </c>
      <c r="P293">
        <f>MAX(Table1[RATING COUNT])</f>
        <v>426973</v>
      </c>
    </row>
    <row r="294" spans="1:16">
      <c r="A294" t="s">
        <v>1902</v>
      </c>
      <c r="B294" t="s">
        <v>291</v>
      </c>
      <c r="D294" t="s">
        <v>1352</v>
      </c>
      <c r="E294" t="s">
        <v>1353</v>
      </c>
      <c r="F294" t="s">
        <v>1355</v>
      </c>
      <c r="G294" t="s">
        <v>1356</v>
      </c>
      <c r="H294" s="7">
        <v>32990</v>
      </c>
      <c r="I294" s="7">
        <v>54990</v>
      </c>
      <c r="J294" s="7" t="str">
        <f t="shared" si="14"/>
        <v>&gt;₹500</v>
      </c>
      <c r="K294" s="1">
        <v>0.4</v>
      </c>
      <c r="L294" s="1" t="str">
        <f t="shared" si="12"/>
        <v>&lt;50%</v>
      </c>
      <c r="M294">
        <v>4.0999999999999996</v>
      </c>
      <c r="N294" s="2">
        <v>1555</v>
      </c>
      <c r="O294" s="5">
        <f t="shared" si="13"/>
        <v>85509450</v>
      </c>
      <c r="P294">
        <f>MAX(Table1[RATING COUNT])</f>
        <v>426973</v>
      </c>
    </row>
    <row r="295" spans="1:16">
      <c r="A295" t="s">
        <v>1903</v>
      </c>
      <c r="B295" t="s">
        <v>292</v>
      </c>
      <c r="D295" t="s">
        <v>1352</v>
      </c>
      <c r="E295" t="s">
        <v>1353</v>
      </c>
      <c r="F295" t="s">
        <v>1354</v>
      </c>
      <c r="G295" t="s">
        <v>1348</v>
      </c>
      <c r="H295" s="7">
        <v>599</v>
      </c>
      <c r="I295" s="7">
        <v>1999</v>
      </c>
      <c r="J295" s="7" t="str">
        <f t="shared" si="14"/>
        <v>&gt;₹500</v>
      </c>
      <c r="K295" s="1">
        <v>0.7</v>
      </c>
      <c r="L295" s="1" t="str">
        <f t="shared" si="12"/>
        <v>50% or More</v>
      </c>
      <c r="M295">
        <v>4.2</v>
      </c>
      <c r="N295" s="2">
        <v>47</v>
      </c>
      <c r="O295" s="5">
        <f t="shared" si="13"/>
        <v>93953</v>
      </c>
      <c r="P295">
        <f>MAX(Table1[RATING COUNT])</f>
        <v>426973</v>
      </c>
    </row>
    <row r="296" spans="1:16">
      <c r="A296" t="s">
        <v>1904</v>
      </c>
      <c r="B296" t="s">
        <v>293</v>
      </c>
      <c r="D296" t="s">
        <v>1345</v>
      </c>
      <c r="E296" t="s">
        <v>1346</v>
      </c>
      <c r="F296" t="s">
        <v>1347</v>
      </c>
      <c r="G296" t="s">
        <v>1348</v>
      </c>
      <c r="H296" s="7">
        <v>349</v>
      </c>
      <c r="I296" s="7">
        <v>899</v>
      </c>
      <c r="J296" s="7" t="str">
        <f t="shared" si="14"/>
        <v>&gt;₹500</v>
      </c>
      <c r="K296" s="1">
        <v>0.61</v>
      </c>
      <c r="L296" s="1" t="str">
        <f t="shared" si="12"/>
        <v>50% or More</v>
      </c>
      <c r="M296">
        <v>4.0999999999999996</v>
      </c>
      <c r="N296" s="2">
        <v>14896</v>
      </c>
      <c r="O296" s="5">
        <f t="shared" si="13"/>
        <v>13391504</v>
      </c>
      <c r="P296">
        <f>MAX(Table1[RATING COUNT])</f>
        <v>426973</v>
      </c>
    </row>
    <row r="297" spans="1:16">
      <c r="A297" t="s">
        <v>1905</v>
      </c>
      <c r="B297" t="s">
        <v>294</v>
      </c>
      <c r="D297" t="s">
        <v>1352</v>
      </c>
      <c r="E297" t="s">
        <v>1353</v>
      </c>
      <c r="F297" t="s">
        <v>1355</v>
      </c>
      <c r="G297" t="s">
        <v>1356</v>
      </c>
      <c r="H297" s="7">
        <v>29999</v>
      </c>
      <c r="I297" s="7">
        <v>50999</v>
      </c>
      <c r="J297" s="7" t="str">
        <f t="shared" si="14"/>
        <v>&gt;₹500</v>
      </c>
      <c r="K297" s="1">
        <v>0.41</v>
      </c>
      <c r="L297" s="1" t="str">
        <f t="shared" si="12"/>
        <v>&lt;50%</v>
      </c>
      <c r="M297">
        <v>4.4000000000000004</v>
      </c>
      <c r="N297" s="2">
        <v>1712</v>
      </c>
      <c r="O297" s="5">
        <f t="shared" si="13"/>
        <v>87310288</v>
      </c>
      <c r="P297">
        <f>MAX(Table1[RATING COUNT])</f>
        <v>426973</v>
      </c>
    </row>
    <row r="298" spans="1:16">
      <c r="A298" t="s">
        <v>1906</v>
      </c>
      <c r="B298" t="s">
        <v>295</v>
      </c>
      <c r="D298" t="s">
        <v>1352</v>
      </c>
      <c r="E298" t="s">
        <v>1353</v>
      </c>
      <c r="F298" t="s">
        <v>1354</v>
      </c>
      <c r="G298" t="s">
        <v>1357</v>
      </c>
      <c r="H298" s="7">
        <v>349</v>
      </c>
      <c r="I298" s="7">
        <v>699</v>
      </c>
      <c r="J298" s="7" t="str">
        <f t="shared" si="14"/>
        <v>&gt;₹500</v>
      </c>
      <c r="K298" s="1">
        <v>0.5</v>
      </c>
      <c r="L298" s="1" t="str">
        <f t="shared" si="12"/>
        <v>50% or More</v>
      </c>
      <c r="M298">
        <v>3.9</v>
      </c>
      <c r="N298" s="2">
        <v>214</v>
      </c>
      <c r="O298" s="5">
        <f t="shared" si="13"/>
        <v>149586</v>
      </c>
      <c r="P298">
        <f>MAX(Table1[RATING COUNT])</f>
        <v>426973</v>
      </c>
    </row>
    <row r="299" spans="1:16">
      <c r="A299" t="s">
        <v>1907</v>
      </c>
      <c r="B299" t="s">
        <v>296</v>
      </c>
      <c r="D299" t="s">
        <v>1352</v>
      </c>
      <c r="E299" t="s">
        <v>1353</v>
      </c>
      <c r="F299" t="s">
        <v>1354</v>
      </c>
      <c r="G299" t="s">
        <v>1359</v>
      </c>
      <c r="H299" s="7">
        <v>1850</v>
      </c>
      <c r="I299" s="7">
        <v>4500</v>
      </c>
      <c r="J299" s="7" t="str">
        <f t="shared" si="14"/>
        <v>&gt;₹500</v>
      </c>
      <c r="K299" s="1">
        <v>0.59</v>
      </c>
      <c r="L299" s="1" t="str">
        <f t="shared" si="12"/>
        <v>50% or More</v>
      </c>
      <c r="M299">
        <v>4</v>
      </c>
      <c r="N299" s="2">
        <v>184</v>
      </c>
      <c r="O299" s="5">
        <f t="shared" si="13"/>
        <v>828000</v>
      </c>
      <c r="P299">
        <f>MAX(Table1[RATING COUNT])</f>
        <v>426973</v>
      </c>
    </row>
    <row r="300" spans="1:16">
      <c r="A300" t="s">
        <v>1908</v>
      </c>
      <c r="B300" t="s">
        <v>297</v>
      </c>
      <c r="D300" t="s">
        <v>1352</v>
      </c>
      <c r="E300" t="s">
        <v>1353</v>
      </c>
      <c r="F300" t="s">
        <v>1363</v>
      </c>
      <c r="H300" s="7">
        <v>13990</v>
      </c>
      <c r="I300" s="7">
        <v>28900</v>
      </c>
      <c r="J300" s="7" t="str">
        <f t="shared" si="14"/>
        <v>&gt;₹500</v>
      </c>
      <c r="K300" s="1">
        <v>0.52</v>
      </c>
      <c r="L300" s="1" t="str">
        <f t="shared" si="12"/>
        <v>50% or More</v>
      </c>
      <c r="M300">
        <v>4.5</v>
      </c>
      <c r="N300" s="2">
        <v>7</v>
      </c>
      <c r="O300" s="5">
        <f t="shared" si="13"/>
        <v>202300</v>
      </c>
      <c r="P300">
        <f>MAX(Table1[RATING COUNT])</f>
        <v>426973</v>
      </c>
    </row>
    <row r="301" spans="1:16">
      <c r="A301" t="s">
        <v>1909</v>
      </c>
      <c r="B301" t="s">
        <v>298</v>
      </c>
      <c r="D301" t="s">
        <v>1345</v>
      </c>
      <c r="E301" t="s">
        <v>1346</v>
      </c>
      <c r="F301" t="s">
        <v>1347</v>
      </c>
      <c r="G301" t="s">
        <v>1348</v>
      </c>
      <c r="H301" s="7">
        <v>129</v>
      </c>
      <c r="I301" s="7">
        <v>449</v>
      </c>
      <c r="J301" s="7" t="str">
        <f t="shared" si="14"/>
        <v>₹200–₹500</v>
      </c>
      <c r="K301" s="1">
        <v>0.71</v>
      </c>
      <c r="L301" s="1" t="str">
        <f t="shared" si="12"/>
        <v>50% or More</v>
      </c>
      <c r="M301">
        <v>3.7</v>
      </c>
      <c r="N301" s="2">
        <v>41</v>
      </c>
      <c r="O301" s="5">
        <f t="shared" si="13"/>
        <v>18409</v>
      </c>
      <c r="P301">
        <f>MAX(Table1[RATING COUNT])</f>
        <v>426973</v>
      </c>
    </row>
    <row r="302" spans="1:16">
      <c r="A302" t="s">
        <v>1910</v>
      </c>
      <c r="B302" t="s">
        <v>299</v>
      </c>
      <c r="D302" t="s">
        <v>1352</v>
      </c>
      <c r="E302" t="s">
        <v>1353</v>
      </c>
      <c r="F302" t="s">
        <v>1354</v>
      </c>
      <c r="G302" t="s">
        <v>1348</v>
      </c>
      <c r="H302" s="7">
        <v>379</v>
      </c>
      <c r="I302" s="7">
        <v>999</v>
      </c>
      <c r="J302" s="7" t="str">
        <f t="shared" si="14"/>
        <v>&gt;₹500</v>
      </c>
      <c r="K302" s="1">
        <v>0.62</v>
      </c>
      <c r="L302" s="1" t="str">
        <f t="shared" si="12"/>
        <v>50% or More</v>
      </c>
      <c r="M302">
        <v>4.2</v>
      </c>
      <c r="N302" s="2">
        <v>12153</v>
      </c>
      <c r="O302" s="5">
        <f t="shared" si="13"/>
        <v>12140847</v>
      </c>
      <c r="P302">
        <f>MAX(Table1[RATING COUNT])</f>
        <v>426973</v>
      </c>
    </row>
    <row r="303" spans="1:16">
      <c r="A303" t="s">
        <v>1911</v>
      </c>
      <c r="B303" t="s">
        <v>300</v>
      </c>
      <c r="D303" t="s">
        <v>1352</v>
      </c>
      <c r="E303" t="s">
        <v>1353</v>
      </c>
      <c r="F303" t="s">
        <v>1354</v>
      </c>
      <c r="G303" t="s">
        <v>1348</v>
      </c>
      <c r="H303" s="7">
        <v>185</v>
      </c>
      <c r="I303" s="7">
        <v>499</v>
      </c>
      <c r="J303" s="7" t="str">
        <f t="shared" si="14"/>
        <v>₹200–₹500</v>
      </c>
      <c r="K303" s="1">
        <v>0.63</v>
      </c>
      <c r="L303" s="1" t="str">
        <f t="shared" si="12"/>
        <v>50% or More</v>
      </c>
      <c r="M303">
        <v>4.2</v>
      </c>
      <c r="N303" s="2">
        <v>25</v>
      </c>
      <c r="O303" s="5">
        <f t="shared" si="13"/>
        <v>12475</v>
      </c>
      <c r="P303">
        <f>MAX(Table1[RATING COUNT])</f>
        <v>426973</v>
      </c>
    </row>
    <row r="304" spans="1:16">
      <c r="A304" t="s">
        <v>1912</v>
      </c>
      <c r="B304" t="s">
        <v>301</v>
      </c>
      <c r="D304" t="s">
        <v>1345</v>
      </c>
      <c r="E304" t="s">
        <v>1349</v>
      </c>
      <c r="F304" t="s">
        <v>1350</v>
      </c>
      <c r="G304" t="s">
        <v>1351</v>
      </c>
      <c r="H304" s="7">
        <v>218</v>
      </c>
      <c r="I304" s="7">
        <v>999</v>
      </c>
      <c r="J304" s="7" t="str">
        <f t="shared" si="14"/>
        <v>&gt;₹500</v>
      </c>
      <c r="K304" s="1">
        <v>0.78</v>
      </c>
      <c r="L304" s="1" t="str">
        <f t="shared" si="12"/>
        <v>50% or More</v>
      </c>
      <c r="M304">
        <v>4.2</v>
      </c>
      <c r="N304" s="2">
        <v>163</v>
      </c>
      <c r="O304" s="5">
        <f t="shared" si="13"/>
        <v>162837</v>
      </c>
      <c r="P304">
        <f>MAX(Table1[RATING COUNT])</f>
        <v>426973</v>
      </c>
    </row>
    <row r="305" spans="1:16">
      <c r="A305" t="s">
        <v>1913</v>
      </c>
      <c r="B305" t="s">
        <v>302</v>
      </c>
      <c r="D305" t="s">
        <v>1345</v>
      </c>
      <c r="E305" t="s">
        <v>1346</v>
      </c>
      <c r="F305" t="s">
        <v>1347</v>
      </c>
      <c r="G305" t="s">
        <v>1348</v>
      </c>
      <c r="H305" s="7">
        <v>199</v>
      </c>
      <c r="I305" s="7">
        <v>999</v>
      </c>
      <c r="J305" s="7" t="str">
        <f t="shared" si="14"/>
        <v>&gt;₹500</v>
      </c>
      <c r="K305" s="1">
        <v>0.8</v>
      </c>
      <c r="L305" s="1" t="str">
        <f t="shared" si="12"/>
        <v>50% or More</v>
      </c>
      <c r="M305">
        <v>4.3</v>
      </c>
      <c r="N305" s="2">
        <v>87</v>
      </c>
      <c r="O305" s="5">
        <f t="shared" si="13"/>
        <v>86913</v>
      </c>
      <c r="P305">
        <f>MAX(Table1[RATING COUNT])</f>
        <v>426973</v>
      </c>
    </row>
    <row r="306" spans="1:16">
      <c r="A306" t="s">
        <v>1914</v>
      </c>
      <c r="B306" t="s">
        <v>303</v>
      </c>
      <c r="D306" t="s">
        <v>1352</v>
      </c>
      <c r="E306" t="s">
        <v>1353</v>
      </c>
      <c r="F306" t="s">
        <v>1354</v>
      </c>
      <c r="G306" t="s">
        <v>1348</v>
      </c>
      <c r="H306" s="7">
        <v>499</v>
      </c>
      <c r="I306" s="7">
        <v>900</v>
      </c>
      <c r="J306" s="7" t="str">
        <f t="shared" si="14"/>
        <v>&gt;₹500</v>
      </c>
      <c r="K306" s="1">
        <v>0.45</v>
      </c>
      <c r="L306" s="1" t="str">
        <f t="shared" si="12"/>
        <v>&lt;50%</v>
      </c>
      <c r="M306">
        <v>4.4000000000000004</v>
      </c>
      <c r="N306" s="2">
        <v>2165</v>
      </c>
      <c r="O306" s="5">
        <f t="shared" si="13"/>
        <v>1948500</v>
      </c>
      <c r="P306">
        <f>MAX(Table1[RATING COUNT])</f>
        <v>426973</v>
      </c>
    </row>
    <row r="307" spans="1:16">
      <c r="A307" t="s">
        <v>1915</v>
      </c>
      <c r="B307" t="s">
        <v>304</v>
      </c>
      <c r="D307" t="s">
        <v>1352</v>
      </c>
      <c r="E307" t="s">
        <v>1353</v>
      </c>
      <c r="F307" t="s">
        <v>1355</v>
      </c>
      <c r="G307" t="s">
        <v>1356</v>
      </c>
      <c r="H307" s="7">
        <v>26999</v>
      </c>
      <c r="I307" s="7">
        <v>42999</v>
      </c>
      <c r="J307" s="7" t="str">
        <f t="shared" si="14"/>
        <v>&gt;₹500</v>
      </c>
      <c r="K307" s="1">
        <v>0.37</v>
      </c>
      <c r="L307" s="1" t="str">
        <f t="shared" si="12"/>
        <v>&lt;50%</v>
      </c>
      <c r="M307">
        <v>4.2</v>
      </c>
      <c r="N307" s="2">
        <v>1510</v>
      </c>
      <c r="O307" s="5">
        <f t="shared" si="13"/>
        <v>64928490</v>
      </c>
      <c r="P307">
        <f>MAX(Table1[RATING COUNT])</f>
        <v>426973</v>
      </c>
    </row>
    <row r="308" spans="1:16">
      <c r="A308" t="s">
        <v>1916</v>
      </c>
      <c r="B308" t="s">
        <v>305</v>
      </c>
      <c r="D308" t="s">
        <v>1352</v>
      </c>
      <c r="E308" t="s">
        <v>1353</v>
      </c>
      <c r="F308" t="s">
        <v>1354</v>
      </c>
      <c r="G308" t="s">
        <v>1359</v>
      </c>
      <c r="H308" s="7">
        <v>893</v>
      </c>
      <c r="I308" s="7">
        <v>1052</v>
      </c>
      <c r="J308" s="7" t="str">
        <f t="shared" si="14"/>
        <v>&gt;₹500</v>
      </c>
      <c r="K308" s="1">
        <v>0.15</v>
      </c>
      <c r="L308" s="1" t="str">
        <f t="shared" si="12"/>
        <v>&lt;50%</v>
      </c>
      <c r="M308">
        <v>4.3</v>
      </c>
      <c r="N308" s="2">
        <v>106</v>
      </c>
      <c r="O308" s="5">
        <f t="shared" si="13"/>
        <v>111512</v>
      </c>
      <c r="P308">
        <f>MAX(Table1[RATING COUNT])</f>
        <v>426973</v>
      </c>
    </row>
    <row r="309" spans="1:16">
      <c r="A309" t="s">
        <v>1917</v>
      </c>
      <c r="B309" t="s">
        <v>306</v>
      </c>
      <c r="D309" t="s">
        <v>1352</v>
      </c>
      <c r="E309" t="s">
        <v>1353</v>
      </c>
      <c r="F309" t="s">
        <v>1355</v>
      </c>
      <c r="G309" t="s">
        <v>1356</v>
      </c>
      <c r="H309" s="7">
        <v>10990</v>
      </c>
      <c r="I309" s="7">
        <v>19990</v>
      </c>
      <c r="J309" s="7" t="str">
        <f t="shared" si="14"/>
        <v>&gt;₹500</v>
      </c>
      <c r="K309" s="1">
        <v>0.45</v>
      </c>
      <c r="L309" s="1" t="str">
        <f t="shared" si="12"/>
        <v>&lt;50%</v>
      </c>
      <c r="M309">
        <v>3.7</v>
      </c>
      <c r="N309" s="2">
        <v>129</v>
      </c>
      <c r="O309" s="5">
        <f t="shared" si="13"/>
        <v>2578710</v>
      </c>
      <c r="P309">
        <f>MAX(Table1[RATING COUNT])</f>
        <v>426973</v>
      </c>
    </row>
    <row r="310" spans="1:16">
      <c r="A310" t="s">
        <v>1918</v>
      </c>
      <c r="B310" t="s">
        <v>307</v>
      </c>
      <c r="D310" t="s">
        <v>1345</v>
      </c>
      <c r="E310" t="s">
        <v>1346</v>
      </c>
      <c r="F310" t="s">
        <v>1347</v>
      </c>
      <c r="G310" t="s">
        <v>1348</v>
      </c>
      <c r="H310" s="7">
        <v>379</v>
      </c>
      <c r="I310" s="7">
        <v>1099</v>
      </c>
      <c r="J310" s="7" t="str">
        <f t="shared" si="14"/>
        <v>&gt;₹500</v>
      </c>
      <c r="K310" s="1">
        <v>0.66</v>
      </c>
      <c r="L310" s="1" t="str">
        <f t="shared" si="12"/>
        <v>50% or More</v>
      </c>
      <c r="M310">
        <v>4.3</v>
      </c>
      <c r="N310" s="2">
        <v>3049</v>
      </c>
      <c r="O310" s="5">
        <f t="shared" si="13"/>
        <v>3350851</v>
      </c>
      <c r="P310">
        <f>MAX(Table1[RATING COUNT])</f>
        <v>426973</v>
      </c>
    </row>
    <row r="311" spans="1:16">
      <c r="A311" t="s">
        <v>1919</v>
      </c>
      <c r="B311" t="s">
        <v>308</v>
      </c>
      <c r="D311" t="s">
        <v>1352</v>
      </c>
      <c r="E311" t="s">
        <v>1353</v>
      </c>
      <c r="F311" t="s">
        <v>1355</v>
      </c>
      <c r="G311" t="s">
        <v>1356</v>
      </c>
      <c r="H311" s="7">
        <v>16999</v>
      </c>
      <c r="I311" s="7">
        <v>25999</v>
      </c>
      <c r="J311" s="7" t="str">
        <f t="shared" si="14"/>
        <v>&gt;₹500</v>
      </c>
      <c r="K311" s="1">
        <v>0.35</v>
      </c>
      <c r="L311" s="1" t="str">
        <f t="shared" si="12"/>
        <v>&lt;50%</v>
      </c>
      <c r="M311">
        <v>4.2</v>
      </c>
      <c r="N311" s="2">
        <v>32840</v>
      </c>
      <c r="O311" s="5">
        <f t="shared" si="13"/>
        <v>853807160</v>
      </c>
      <c r="P311">
        <f>MAX(Table1[RATING COUNT])</f>
        <v>426973</v>
      </c>
    </row>
    <row r="312" spans="1:16">
      <c r="A312" t="s">
        <v>1920</v>
      </c>
      <c r="B312" t="s">
        <v>309</v>
      </c>
      <c r="D312" t="s">
        <v>1352</v>
      </c>
      <c r="E312" t="s">
        <v>1353</v>
      </c>
      <c r="F312" t="s">
        <v>1354</v>
      </c>
      <c r="G312" t="s">
        <v>1348</v>
      </c>
      <c r="H312" s="7">
        <v>699</v>
      </c>
      <c r="I312" s="7">
        <v>1899</v>
      </c>
      <c r="J312" s="7" t="str">
        <f t="shared" si="14"/>
        <v>&gt;₹500</v>
      </c>
      <c r="K312" s="1">
        <v>0.63</v>
      </c>
      <c r="L312" s="1" t="str">
        <f t="shared" si="12"/>
        <v>50% or More</v>
      </c>
      <c r="M312">
        <v>4.4000000000000004</v>
      </c>
      <c r="N312" s="2">
        <v>390</v>
      </c>
      <c r="O312" s="5">
        <f t="shared" si="13"/>
        <v>740610</v>
      </c>
      <c r="P312">
        <f>MAX(Table1[RATING COUNT])</f>
        <v>426973</v>
      </c>
    </row>
    <row r="313" spans="1:16">
      <c r="A313" t="s">
        <v>1921</v>
      </c>
      <c r="B313" t="s">
        <v>310</v>
      </c>
      <c r="D313" t="s">
        <v>1352</v>
      </c>
      <c r="E313" t="s">
        <v>1353</v>
      </c>
      <c r="F313" t="s">
        <v>1354</v>
      </c>
      <c r="G313" t="s">
        <v>1372</v>
      </c>
      <c r="H313" s="7">
        <v>2699</v>
      </c>
      <c r="I313" s="7">
        <v>3500</v>
      </c>
      <c r="J313" s="7" t="str">
        <f t="shared" si="14"/>
        <v>&gt;₹500</v>
      </c>
      <c r="K313" s="1">
        <v>0.23</v>
      </c>
      <c r="L313" s="1" t="str">
        <f t="shared" si="12"/>
        <v>&lt;50%</v>
      </c>
      <c r="M313">
        <v>3.5</v>
      </c>
      <c r="N313" s="2">
        <v>621</v>
      </c>
      <c r="O313" s="5">
        <f t="shared" si="13"/>
        <v>2173500</v>
      </c>
      <c r="P313">
        <f>MAX(Table1[RATING COUNT])</f>
        <v>426973</v>
      </c>
    </row>
    <row r="314" spans="1:16">
      <c r="A314" t="s">
        <v>1922</v>
      </c>
      <c r="B314" t="s">
        <v>311</v>
      </c>
      <c r="D314" t="s">
        <v>1345</v>
      </c>
      <c r="E314" t="s">
        <v>1346</v>
      </c>
      <c r="F314" t="s">
        <v>1347</v>
      </c>
      <c r="G314" t="s">
        <v>1348</v>
      </c>
      <c r="H314" s="7">
        <v>129</v>
      </c>
      <c r="I314" s="7">
        <v>599</v>
      </c>
      <c r="J314" s="7" t="str">
        <f t="shared" si="14"/>
        <v>&gt;₹500</v>
      </c>
      <c r="K314" s="1">
        <v>0.78</v>
      </c>
      <c r="L314" s="1" t="str">
        <f t="shared" si="12"/>
        <v>50% or More</v>
      </c>
      <c r="M314">
        <v>4.0999999999999996</v>
      </c>
      <c r="N314" s="2">
        <v>265</v>
      </c>
      <c r="O314" s="5">
        <f t="shared" si="13"/>
        <v>158735</v>
      </c>
      <c r="P314">
        <f>MAX(Table1[RATING COUNT])</f>
        <v>426973</v>
      </c>
    </row>
    <row r="315" spans="1:16">
      <c r="A315" t="s">
        <v>1923</v>
      </c>
      <c r="B315" t="s">
        <v>312</v>
      </c>
      <c r="D315" t="s">
        <v>1345</v>
      </c>
      <c r="E315" t="s">
        <v>1346</v>
      </c>
      <c r="F315" t="s">
        <v>1347</v>
      </c>
      <c r="G315" t="s">
        <v>1348</v>
      </c>
      <c r="H315" s="7">
        <v>389</v>
      </c>
      <c r="I315" s="7">
        <v>999</v>
      </c>
      <c r="J315" s="7" t="str">
        <f t="shared" si="14"/>
        <v>&gt;₹500</v>
      </c>
      <c r="K315" s="1">
        <v>0.61</v>
      </c>
      <c r="L315" s="1" t="str">
        <f t="shared" si="12"/>
        <v>50% or More</v>
      </c>
      <c r="M315">
        <v>4.3</v>
      </c>
      <c r="N315" s="2">
        <v>838</v>
      </c>
      <c r="O315" s="5">
        <f t="shared" si="13"/>
        <v>837162</v>
      </c>
      <c r="P315">
        <f>MAX(Table1[RATING COUNT])</f>
        <v>426973</v>
      </c>
    </row>
    <row r="316" spans="1:16">
      <c r="A316" t="s">
        <v>1924</v>
      </c>
      <c r="B316" t="s">
        <v>313</v>
      </c>
      <c r="D316" t="s">
        <v>1352</v>
      </c>
      <c r="E316" t="s">
        <v>1353</v>
      </c>
      <c r="F316" t="s">
        <v>1354</v>
      </c>
      <c r="G316" t="s">
        <v>1357</v>
      </c>
      <c r="H316" s="7">
        <v>246</v>
      </c>
      <c r="I316" s="7">
        <v>600</v>
      </c>
      <c r="J316" s="7" t="str">
        <f t="shared" si="14"/>
        <v>&gt;₹500</v>
      </c>
      <c r="K316" s="1">
        <v>0.59</v>
      </c>
      <c r="L316" s="1" t="str">
        <f t="shared" si="12"/>
        <v>50% or More</v>
      </c>
      <c r="M316">
        <v>4.2</v>
      </c>
      <c r="N316" s="2">
        <v>143</v>
      </c>
      <c r="O316" s="5">
        <f t="shared" si="13"/>
        <v>85800</v>
      </c>
      <c r="P316">
        <f>MAX(Table1[RATING COUNT])</f>
        <v>426973</v>
      </c>
    </row>
    <row r="317" spans="1:16">
      <c r="A317" t="s">
        <v>1925</v>
      </c>
      <c r="B317" t="s">
        <v>314</v>
      </c>
      <c r="D317" t="s">
        <v>1345</v>
      </c>
      <c r="E317" t="s">
        <v>1346</v>
      </c>
      <c r="F317" t="s">
        <v>1347</v>
      </c>
      <c r="G317" t="s">
        <v>1348</v>
      </c>
      <c r="H317" s="7">
        <v>299</v>
      </c>
      <c r="I317" s="7">
        <v>799</v>
      </c>
      <c r="J317" s="7" t="str">
        <f t="shared" si="14"/>
        <v>&gt;₹500</v>
      </c>
      <c r="K317" s="1">
        <v>0.63</v>
      </c>
      <c r="L317" s="1" t="str">
        <f t="shared" si="12"/>
        <v>50% or More</v>
      </c>
      <c r="M317">
        <v>4</v>
      </c>
      <c r="N317" s="2">
        <v>151</v>
      </c>
      <c r="O317" s="5">
        <f t="shared" si="13"/>
        <v>120649</v>
      </c>
      <c r="P317">
        <f>MAX(Table1[RATING COUNT])</f>
        <v>426973</v>
      </c>
    </row>
    <row r="318" spans="1:16">
      <c r="A318" t="s">
        <v>1926</v>
      </c>
      <c r="B318" t="s">
        <v>315</v>
      </c>
      <c r="D318" t="s">
        <v>1352</v>
      </c>
      <c r="E318" t="s">
        <v>1353</v>
      </c>
      <c r="F318" t="s">
        <v>1354</v>
      </c>
      <c r="G318" t="s">
        <v>1357</v>
      </c>
      <c r="H318" s="7">
        <v>247</v>
      </c>
      <c r="I318" s="7">
        <v>399</v>
      </c>
      <c r="J318" s="7" t="str">
        <f t="shared" si="14"/>
        <v>₹200–₹500</v>
      </c>
      <c r="K318" s="1">
        <v>0.38</v>
      </c>
      <c r="L318" s="1" t="str">
        <f t="shared" si="12"/>
        <v>&lt;50%</v>
      </c>
      <c r="M318">
        <v>3.9</v>
      </c>
      <c r="N318" s="2">
        <v>200</v>
      </c>
      <c r="O318" s="5">
        <f t="shared" si="13"/>
        <v>79800</v>
      </c>
      <c r="P318">
        <f>MAX(Table1[RATING COUNT])</f>
        <v>426973</v>
      </c>
    </row>
    <row r="319" spans="1:16">
      <c r="A319" t="s">
        <v>1927</v>
      </c>
      <c r="B319" t="s">
        <v>316</v>
      </c>
      <c r="D319" t="s">
        <v>1352</v>
      </c>
      <c r="E319" t="s">
        <v>1353</v>
      </c>
      <c r="F319" t="s">
        <v>1354</v>
      </c>
      <c r="G319" t="s">
        <v>1357</v>
      </c>
      <c r="H319" s="7">
        <v>1369</v>
      </c>
      <c r="I319" s="7">
        <v>2999</v>
      </c>
      <c r="J319" s="7" t="str">
        <f t="shared" si="14"/>
        <v>&gt;₹500</v>
      </c>
      <c r="K319" s="1">
        <v>0.54</v>
      </c>
      <c r="L319" s="1" t="str">
        <f t="shared" si="12"/>
        <v>50% or More</v>
      </c>
      <c r="M319">
        <v>3.3</v>
      </c>
      <c r="N319" s="2">
        <v>227</v>
      </c>
      <c r="O319" s="5">
        <f t="shared" si="13"/>
        <v>680773</v>
      </c>
      <c r="P319">
        <f>MAX(Table1[RATING COUNT])</f>
        <v>426973</v>
      </c>
    </row>
    <row r="320" spans="1:16">
      <c r="A320" t="s">
        <v>1928</v>
      </c>
      <c r="B320" t="s">
        <v>317</v>
      </c>
      <c r="D320" t="s">
        <v>1352</v>
      </c>
      <c r="E320" t="s">
        <v>1353</v>
      </c>
      <c r="F320" t="s">
        <v>1354</v>
      </c>
      <c r="G320" t="s">
        <v>1357</v>
      </c>
      <c r="H320" s="7">
        <v>199</v>
      </c>
      <c r="I320" s="7">
        <v>499</v>
      </c>
      <c r="J320" s="7" t="str">
        <f t="shared" si="14"/>
        <v>₹200–₹500</v>
      </c>
      <c r="K320" s="1">
        <v>0.6</v>
      </c>
      <c r="L320" s="1" t="str">
        <f t="shared" si="12"/>
        <v>50% or More</v>
      </c>
      <c r="M320">
        <v>3.8</v>
      </c>
      <c r="N320" s="2">
        <v>538</v>
      </c>
      <c r="O320" s="5">
        <f t="shared" si="13"/>
        <v>268462</v>
      </c>
      <c r="P320">
        <f>MAX(Table1[RATING COUNT])</f>
        <v>426973</v>
      </c>
    </row>
    <row r="321" spans="1:16">
      <c r="A321" t="s">
        <v>1929</v>
      </c>
      <c r="B321" t="s">
        <v>318</v>
      </c>
      <c r="D321" t="s">
        <v>1352</v>
      </c>
      <c r="E321" t="s">
        <v>1353</v>
      </c>
      <c r="F321" t="s">
        <v>1354</v>
      </c>
      <c r="G321" t="s">
        <v>1348</v>
      </c>
      <c r="H321" s="7">
        <v>299</v>
      </c>
      <c r="I321" s="7">
        <v>599</v>
      </c>
      <c r="J321" s="7" t="str">
        <f t="shared" si="14"/>
        <v>&gt;₹500</v>
      </c>
      <c r="K321" s="1">
        <v>0.5</v>
      </c>
      <c r="L321" s="1" t="str">
        <f t="shared" si="12"/>
        <v>50% or More</v>
      </c>
      <c r="M321">
        <v>4</v>
      </c>
      <c r="N321" s="2">
        <v>171</v>
      </c>
      <c r="O321" s="5">
        <f t="shared" si="13"/>
        <v>102429</v>
      </c>
      <c r="P321">
        <f>MAX(Table1[RATING COUNT])</f>
        <v>426973</v>
      </c>
    </row>
    <row r="322" spans="1:16">
      <c r="A322" t="s">
        <v>1930</v>
      </c>
      <c r="B322" t="s">
        <v>319</v>
      </c>
      <c r="D322" t="s">
        <v>1352</v>
      </c>
      <c r="E322" t="s">
        <v>1353</v>
      </c>
      <c r="F322" t="s">
        <v>1355</v>
      </c>
      <c r="G322" t="s">
        <v>1356</v>
      </c>
      <c r="H322" s="7">
        <v>14999</v>
      </c>
      <c r="I322" s="7">
        <v>14999</v>
      </c>
      <c r="J322" s="7" t="str">
        <f t="shared" si="14"/>
        <v>&gt;₹500</v>
      </c>
      <c r="K322" s="1">
        <v>0</v>
      </c>
      <c r="L322" s="1" t="str">
        <f t="shared" ref="L322:L385" si="15">IF(K322&gt;=50%,"50% or More","&lt;50%")</f>
        <v>&lt;50%</v>
      </c>
      <c r="M322">
        <v>4.3</v>
      </c>
      <c r="N322" s="2">
        <v>27508</v>
      </c>
      <c r="O322" s="5">
        <f t="shared" ref="O322:O385" si="16">I322*N322</f>
        <v>412592492</v>
      </c>
      <c r="P322">
        <f>MAX(Table1[RATING COUNT])</f>
        <v>426973</v>
      </c>
    </row>
    <row r="323" spans="1:16">
      <c r="A323" t="s">
        <v>1931</v>
      </c>
      <c r="B323" t="s">
        <v>320</v>
      </c>
      <c r="D323" t="s">
        <v>1345</v>
      </c>
      <c r="E323" t="s">
        <v>1346</v>
      </c>
      <c r="F323" t="s">
        <v>1347</v>
      </c>
      <c r="G323" t="s">
        <v>1348</v>
      </c>
      <c r="H323" s="7">
        <v>299</v>
      </c>
      <c r="I323" s="7">
        <v>699</v>
      </c>
      <c r="J323" s="7" t="str">
        <f t="shared" ref="J323:J386" si="17">IF(I323&lt;200, "&lt;₹200", IF(I323&lt;=500, "₹200–₹500", "&gt;₹500"))</f>
        <v>&gt;₹500</v>
      </c>
      <c r="K323" s="1">
        <v>0.56999999999999995</v>
      </c>
      <c r="L323" s="1" t="str">
        <f t="shared" si="15"/>
        <v>50% or More</v>
      </c>
      <c r="M323">
        <v>3.9</v>
      </c>
      <c r="N323" s="2">
        <v>1454</v>
      </c>
      <c r="O323" s="5">
        <f t="shared" si="16"/>
        <v>1016346</v>
      </c>
      <c r="P323">
        <f>MAX(Table1[RATING COUNT])</f>
        <v>426973</v>
      </c>
    </row>
    <row r="324" spans="1:16">
      <c r="A324" t="s">
        <v>1932</v>
      </c>
      <c r="B324" t="s">
        <v>321</v>
      </c>
      <c r="D324" t="s">
        <v>1352</v>
      </c>
      <c r="E324" t="s">
        <v>1353</v>
      </c>
      <c r="F324" t="s">
        <v>1355</v>
      </c>
      <c r="G324" t="s">
        <v>1356</v>
      </c>
      <c r="H324" s="7">
        <v>24990</v>
      </c>
      <c r="I324" s="7">
        <v>51990</v>
      </c>
      <c r="J324" s="7" t="str">
        <f t="shared" si="17"/>
        <v>&gt;₹500</v>
      </c>
      <c r="K324" s="1">
        <v>0.52</v>
      </c>
      <c r="L324" s="1" t="str">
        <f t="shared" si="15"/>
        <v>50% or More</v>
      </c>
      <c r="M324">
        <v>4.2</v>
      </c>
      <c r="N324" s="2">
        <v>2951</v>
      </c>
      <c r="O324" s="5">
        <f t="shared" si="16"/>
        <v>153422490</v>
      </c>
      <c r="P324">
        <f>MAX(Table1[RATING COUNT])</f>
        <v>426973</v>
      </c>
    </row>
    <row r="325" spans="1:16">
      <c r="A325" t="s">
        <v>1933</v>
      </c>
      <c r="B325" t="s">
        <v>322</v>
      </c>
      <c r="D325" t="s">
        <v>1345</v>
      </c>
      <c r="E325" t="s">
        <v>1346</v>
      </c>
      <c r="F325" t="s">
        <v>1347</v>
      </c>
      <c r="G325" t="s">
        <v>1348</v>
      </c>
      <c r="H325" s="7">
        <v>249</v>
      </c>
      <c r="I325" s="7">
        <v>999</v>
      </c>
      <c r="J325" s="7" t="str">
        <f t="shared" si="17"/>
        <v>&gt;₹500</v>
      </c>
      <c r="K325" s="1">
        <v>0.75</v>
      </c>
      <c r="L325" s="1" t="str">
        <f t="shared" si="15"/>
        <v>50% or More</v>
      </c>
      <c r="M325">
        <v>5</v>
      </c>
      <c r="O325" s="5">
        <f t="shared" si="16"/>
        <v>0</v>
      </c>
      <c r="P325">
        <f>MAX(Table1[RATING COUNT])</f>
        <v>426973</v>
      </c>
    </row>
    <row r="326" spans="1:16">
      <c r="A326" t="s">
        <v>1934</v>
      </c>
      <c r="B326" t="s">
        <v>323</v>
      </c>
      <c r="D326" t="s">
        <v>1352</v>
      </c>
      <c r="E326" t="s">
        <v>1353</v>
      </c>
      <c r="F326" t="s">
        <v>1355</v>
      </c>
      <c r="G326" t="s">
        <v>1356</v>
      </c>
      <c r="H326" s="7">
        <v>61999</v>
      </c>
      <c r="I326" s="7">
        <v>69999</v>
      </c>
      <c r="J326" s="7" t="str">
        <f t="shared" si="17"/>
        <v>&gt;₹500</v>
      </c>
      <c r="K326" s="1">
        <v>0.11</v>
      </c>
      <c r="L326" s="1" t="str">
        <f t="shared" si="15"/>
        <v>&lt;50%</v>
      </c>
      <c r="M326">
        <v>4.0999999999999996</v>
      </c>
      <c r="N326" s="2">
        <v>6753</v>
      </c>
      <c r="O326" s="5">
        <f t="shared" si="16"/>
        <v>472703247</v>
      </c>
      <c r="P326">
        <f>MAX(Table1[RATING COUNT])</f>
        <v>426973</v>
      </c>
    </row>
    <row r="327" spans="1:16">
      <c r="A327" t="s">
        <v>1935</v>
      </c>
      <c r="B327" t="s">
        <v>324</v>
      </c>
      <c r="D327" t="s">
        <v>1352</v>
      </c>
      <c r="E327" t="s">
        <v>1353</v>
      </c>
      <c r="F327" t="s">
        <v>1355</v>
      </c>
      <c r="G327" t="s">
        <v>1356</v>
      </c>
      <c r="H327" s="7">
        <v>24499</v>
      </c>
      <c r="I327" s="7">
        <v>50000</v>
      </c>
      <c r="J327" s="7" t="str">
        <f t="shared" si="17"/>
        <v>&gt;₹500</v>
      </c>
      <c r="K327" s="1">
        <v>0.51</v>
      </c>
      <c r="L327" s="1" t="str">
        <f t="shared" si="15"/>
        <v>50% or More</v>
      </c>
      <c r="M327">
        <v>3.9</v>
      </c>
      <c r="N327" s="2">
        <v>3518</v>
      </c>
      <c r="O327" s="5">
        <f t="shared" si="16"/>
        <v>175900000</v>
      </c>
      <c r="P327">
        <f>MAX(Table1[RATING COUNT])</f>
        <v>426973</v>
      </c>
    </row>
    <row r="328" spans="1:16">
      <c r="A328" t="s">
        <v>1936</v>
      </c>
      <c r="B328" t="s">
        <v>325</v>
      </c>
      <c r="D328" t="s">
        <v>1352</v>
      </c>
      <c r="E328" t="s">
        <v>1353</v>
      </c>
      <c r="F328" t="s">
        <v>1355</v>
      </c>
      <c r="G328" t="s">
        <v>1356</v>
      </c>
      <c r="H328" s="7">
        <v>10499</v>
      </c>
      <c r="I328" s="7">
        <v>19499</v>
      </c>
      <c r="J328" s="7" t="str">
        <f t="shared" si="17"/>
        <v>&gt;₹500</v>
      </c>
      <c r="K328" s="1">
        <v>0.46</v>
      </c>
      <c r="L328" s="1" t="str">
        <f t="shared" si="15"/>
        <v>&lt;50%</v>
      </c>
      <c r="M328">
        <v>4.2</v>
      </c>
      <c r="N328" s="2">
        <v>1510</v>
      </c>
      <c r="O328" s="5">
        <f t="shared" si="16"/>
        <v>29443490</v>
      </c>
      <c r="P328">
        <f>MAX(Table1[RATING COUNT])</f>
        <v>426973</v>
      </c>
    </row>
    <row r="329" spans="1:16">
      <c r="A329" t="s">
        <v>1937</v>
      </c>
      <c r="B329" t="s">
        <v>326</v>
      </c>
      <c r="D329" t="s">
        <v>1345</v>
      </c>
      <c r="E329" t="s">
        <v>1346</v>
      </c>
      <c r="F329" t="s">
        <v>1347</v>
      </c>
      <c r="G329" t="s">
        <v>1348</v>
      </c>
      <c r="H329" s="7">
        <v>349</v>
      </c>
      <c r="I329" s="7">
        <v>999</v>
      </c>
      <c r="J329" s="7" t="str">
        <f t="shared" si="17"/>
        <v>&gt;₹500</v>
      </c>
      <c r="K329" s="1">
        <v>0.65</v>
      </c>
      <c r="L329" s="1" t="str">
        <f t="shared" si="15"/>
        <v>50% or More</v>
      </c>
      <c r="M329">
        <v>4.3</v>
      </c>
      <c r="N329" s="2">
        <v>838</v>
      </c>
      <c r="O329" s="5">
        <f t="shared" si="16"/>
        <v>837162</v>
      </c>
      <c r="P329">
        <f>MAX(Table1[RATING COUNT])</f>
        <v>426973</v>
      </c>
    </row>
    <row r="330" spans="1:16">
      <c r="A330" t="s">
        <v>1938</v>
      </c>
      <c r="B330" t="s">
        <v>327</v>
      </c>
      <c r="D330" t="s">
        <v>1352</v>
      </c>
      <c r="E330" t="s">
        <v>1353</v>
      </c>
      <c r="F330" t="s">
        <v>1354</v>
      </c>
      <c r="G330" t="s">
        <v>1357</v>
      </c>
      <c r="H330" s="7">
        <v>197</v>
      </c>
      <c r="I330" s="7">
        <v>499</v>
      </c>
      <c r="J330" s="7" t="str">
        <f t="shared" si="17"/>
        <v>₹200–₹500</v>
      </c>
      <c r="K330" s="1">
        <v>0.61</v>
      </c>
      <c r="L330" s="1" t="str">
        <f t="shared" si="15"/>
        <v>50% or More</v>
      </c>
      <c r="M330">
        <v>3.8</v>
      </c>
      <c r="N330" s="2">
        <v>136</v>
      </c>
      <c r="O330" s="5">
        <f t="shared" si="16"/>
        <v>67864</v>
      </c>
      <c r="P330">
        <f>MAX(Table1[RATING COUNT])</f>
        <v>426973</v>
      </c>
    </row>
    <row r="331" spans="1:16">
      <c r="A331" t="s">
        <v>1939</v>
      </c>
      <c r="B331" t="s">
        <v>328</v>
      </c>
      <c r="D331" t="s">
        <v>1352</v>
      </c>
      <c r="E331" t="s">
        <v>1353</v>
      </c>
      <c r="F331" t="s">
        <v>1365</v>
      </c>
      <c r="G331" t="s">
        <v>1366</v>
      </c>
      <c r="H331" s="7">
        <v>1299</v>
      </c>
      <c r="I331" s="7">
        <v>2499</v>
      </c>
      <c r="J331" s="7" t="str">
        <f t="shared" si="17"/>
        <v>&gt;₹500</v>
      </c>
      <c r="K331" s="1">
        <v>0.48</v>
      </c>
      <c r="L331" s="1" t="str">
        <f t="shared" si="15"/>
        <v>&lt;50%</v>
      </c>
      <c r="M331">
        <v>4.3</v>
      </c>
      <c r="N331" s="2">
        <v>301</v>
      </c>
      <c r="O331" s="5">
        <f t="shared" si="16"/>
        <v>752199</v>
      </c>
      <c r="P331">
        <f>MAX(Table1[RATING COUNT])</f>
        <v>426973</v>
      </c>
    </row>
    <row r="332" spans="1:16">
      <c r="A332" t="s">
        <v>1940</v>
      </c>
      <c r="B332" t="s">
        <v>329</v>
      </c>
      <c r="D332" t="s">
        <v>1345</v>
      </c>
      <c r="E332" t="s">
        <v>1346</v>
      </c>
      <c r="F332" t="s">
        <v>1347</v>
      </c>
      <c r="G332" t="s">
        <v>1348</v>
      </c>
      <c r="H332" s="7">
        <v>1519</v>
      </c>
      <c r="I332" s="7">
        <v>1899</v>
      </c>
      <c r="J332" s="7" t="str">
        <f t="shared" si="17"/>
        <v>&gt;₹500</v>
      </c>
      <c r="K332" s="1">
        <v>0.2</v>
      </c>
      <c r="L332" s="1" t="str">
        <f t="shared" si="15"/>
        <v>&lt;50%</v>
      </c>
      <c r="M332">
        <v>4.4000000000000004</v>
      </c>
      <c r="N332" s="2">
        <v>19763</v>
      </c>
      <c r="O332" s="5">
        <f t="shared" si="16"/>
        <v>37529937</v>
      </c>
      <c r="P332">
        <f>MAX(Table1[RATING COUNT])</f>
        <v>426973</v>
      </c>
    </row>
    <row r="333" spans="1:16">
      <c r="A333" t="s">
        <v>1941</v>
      </c>
      <c r="B333" t="s">
        <v>330</v>
      </c>
      <c r="D333" t="s">
        <v>1352</v>
      </c>
      <c r="E333" t="s">
        <v>1353</v>
      </c>
      <c r="F333" t="s">
        <v>1355</v>
      </c>
      <c r="G333" t="s">
        <v>1356</v>
      </c>
      <c r="H333" s="7">
        <v>46999</v>
      </c>
      <c r="I333" s="7">
        <v>69999</v>
      </c>
      <c r="J333" s="7" t="str">
        <f t="shared" si="17"/>
        <v>&gt;₹500</v>
      </c>
      <c r="K333" s="1">
        <v>0.33</v>
      </c>
      <c r="L333" s="1" t="str">
        <f t="shared" si="15"/>
        <v>&lt;50%</v>
      </c>
      <c r="M333">
        <v>4.3</v>
      </c>
      <c r="N333" s="2">
        <v>21252</v>
      </c>
      <c r="O333" s="5">
        <f t="shared" si="16"/>
        <v>1487618748</v>
      </c>
      <c r="P333">
        <f>MAX(Table1[RATING COUNT])</f>
        <v>426973</v>
      </c>
    </row>
    <row r="334" spans="1:16">
      <c r="A334" t="s">
        <v>1942</v>
      </c>
      <c r="B334" t="s">
        <v>331</v>
      </c>
      <c r="D334" t="s">
        <v>1345</v>
      </c>
      <c r="E334" t="s">
        <v>1346</v>
      </c>
      <c r="F334" t="s">
        <v>1347</v>
      </c>
      <c r="G334" t="s">
        <v>1348</v>
      </c>
      <c r="H334" s="7">
        <v>299</v>
      </c>
      <c r="I334" s="7">
        <v>799</v>
      </c>
      <c r="J334" s="7" t="str">
        <f t="shared" si="17"/>
        <v>&gt;₹500</v>
      </c>
      <c r="K334" s="1">
        <v>0.63</v>
      </c>
      <c r="L334" s="1" t="str">
        <f t="shared" si="15"/>
        <v>50% or More</v>
      </c>
      <c r="M334">
        <v>4.3</v>
      </c>
      <c r="N334" s="2">
        <v>1902</v>
      </c>
      <c r="O334" s="5">
        <f t="shared" si="16"/>
        <v>1519698</v>
      </c>
      <c r="P334">
        <f>MAX(Table1[RATING COUNT])</f>
        <v>426973</v>
      </c>
    </row>
    <row r="335" spans="1:16">
      <c r="A335" t="s">
        <v>1943</v>
      </c>
      <c r="B335" t="s">
        <v>332</v>
      </c>
      <c r="D335" t="s">
        <v>1352</v>
      </c>
      <c r="E335" t="s">
        <v>1373</v>
      </c>
      <c r="F335" t="s">
        <v>1374</v>
      </c>
      <c r="H335" s="7">
        <v>1799</v>
      </c>
      <c r="I335" s="7">
        <v>19999</v>
      </c>
      <c r="J335" s="7" t="str">
        <f t="shared" si="17"/>
        <v>&gt;₹500</v>
      </c>
      <c r="K335" s="1">
        <v>0.91</v>
      </c>
      <c r="L335" s="1" t="str">
        <f t="shared" si="15"/>
        <v>50% or More</v>
      </c>
      <c r="M335">
        <v>4.2</v>
      </c>
      <c r="N335" s="2">
        <v>13937</v>
      </c>
      <c r="O335" s="5">
        <f t="shared" si="16"/>
        <v>278726063</v>
      </c>
      <c r="P335">
        <f>MAX(Table1[RATING COUNT])</f>
        <v>426973</v>
      </c>
    </row>
    <row r="336" spans="1:16">
      <c r="A336" t="s">
        <v>1944</v>
      </c>
      <c r="B336" t="s">
        <v>333</v>
      </c>
      <c r="D336" t="s">
        <v>1352</v>
      </c>
      <c r="E336" t="s">
        <v>1373</v>
      </c>
      <c r="F336" t="s">
        <v>1374</v>
      </c>
      <c r="H336" s="7">
        <v>1998</v>
      </c>
      <c r="I336" s="7">
        <v>9999</v>
      </c>
      <c r="J336" s="7" t="str">
        <f t="shared" si="17"/>
        <v>&gt;₹500</v>
      </c>
      <c r="K336" s="1">
        <v>0.8</v>
      </c>
      <c r="L336" s="1" t="str">
        <f t="shared" si="15"/>
        <v>50% or More</v>
      </c>
      <c r="M336">
        <v>4.3</v>
      </c>
      <c r="N336" s="2">
        <v>27696</v>
      </c>
      <c r="O336" s="5">
        <f t="shared" si="16"/>
        <v>276932304</v>
      </c>
      <c r="P336">
        <f>MAX(Table1[RATING COUNT])</f>
        <v>426973</v>
      </c>
    </row>
    <row r="337" spans="1:16">
      <c r="A337" t="s">
        <v>1945</v>
      </c>
      <c r="B337" t="s">
        <v>334</v>
      </c>
      <c r="D337" t="s">
        <v>1352</v>
      </c>
      <c r="E337" t="s">
        <v>1373</v>
      </c>
      <c r="F337" t="s">
        <v>1374</v>
      </c>
      <c r="H337" s="7">
        <v>1999</v>
      </c>
      <c r="I337" s="7">
        <v>7990</v>
      </c>
      <c r="J337" s="7" t="str">
        <f t="shared" si="17"/>
        <v>&gt;₹500</v>
      </c>
      <c r="K337" s="1">
        <v>0.75</v>
      </c>
      <c r="L337" s="1" t="str">
        <f t="shared" si="15"/>
        <v>50% or More</v>
      </c>
      <c r="M337">
        <v>3.8</v>
      </c>
      <c r="N337" s="2">
        <v>17831</v>
      </c>
      <c r="O337" s="5">
        <f t="shared" si="16"/>
        <v>142469690</v>
      </c>
      <c r="P337">
        <f>MAX(Table1[RATING COUNT])</f>
        <v>426973</v>
      </c>
    </row>
    <row r="338" spans="1:16">
      <c r="A338" t="s">
        <v>1946</v>
      </c>
      <c r="B338" t="s">
        <v>335</v>
      </c>
      <c r="D338" t="s">
        <v>1352</v>
      </c>
      <c r="E338" t="s">
        <v>1375</v>
      </c>
      <c r="F338" t="s">
        <v>1376</v>
      </c>
      <c r="G338" t="s">
        <v>1377</v>
      </c>
      <c r="H338" s="7">
        <v>2049</v>
      </c>
      <c r="I338" s="7">
        <v>2199</v>
      </c>
      <c r="J338" s="7" t="str">
        <f t="shared" si="17"/>
        <v>&gt;₹500</v>
      </c>
      <c r="K338" s="1">
        <v>7.0000000000000007E-2</v>
      </c>
      <c r="L338" s="1" t="str">
        <f t="shared" si="15"/>
        <v>&lt;50%</v>
      </c>
      <c r="M338">
        <v>4.3</v>
      </c>
      <c r="N338" s="2">
        <v>178912</v>
      </c>
      <c r="O338" s="5">
        <f t="shared" si="16"/>
        <v>393427488</v>
      </c>
      <c r="P338">
        <f>MAX(Table1[RATING COUNT])</f>
        <v>426973</v>
      </c>
    </row>
    <row r="339" spans="1:16">
      <c r="A339" t="s">
        <v>1947</v>
      </c>
      <c r="B339" t="s">
        <v>336</v>
      </c>
      <c r="D339" t="s">
        <v>1352</v>
      </c>
      <c r="E339" t="s">
        <v>1375</v>
      </c>
      <c r="F339" t="s">
        <v>1378</v>
      </c>
      <c r="G339" t="s">
        <v>1379</v>
      </c>
      <c r="H339" s="7">
        <v>6499</v>
      </c>
      <c r="I339" s="7">
        <v>8999</v>
      </c>
      <c r="J339" s="7" t="str">
        <f t="shared" si="17"/>
        <v>&gt;₹500</v>
      </c>
      <c r="K339" s="1">
        <v>0.28000000000000003</v>
      </c>
      <c r="L339" s="1" t="str">
        <f t="shared" si="15"/>
        <v>&lt;50%</v>
      </c>
      <c r="M339">
        <v>4</v>
      </c>
      <c r="N339" s="2">
        <v>7807</v>
      </c>
      <c r="O339" s="5">
        <f t="shared" si="16"/>
        <v>70255193</v>
      </c>
      <c r="P339">
        <f>MAX(Table1[RATING COUNT])</f>
        <v>426973</v>
      </c>
    </row>
    <row r="340" spans="1:16">
      <c r="A340" t="s">
        <v>1948</v>
      </c>
      <c r="B340" t="s">
        <v>337</v>
      </c>
      <c r="D340" t="s">
        <v>1352</v>
      </c>
      <c r="E340" t="s">
        <v>1375</v>
      </c>
      <c r="F340" t="s">
        <v>1378</v>
      </c>
      <c r="G340" t="s">
        <v>1379</v>
      </c>
      <c r="H340" s="7">
        <v>28999</v>
      </c>
      <c r="I340" s="7">
        <v>28999</v>
      </c>
      <c r="J340" s="7" t="str">
        <f t="shared" si="17"/>
        <v>&gt;₹500</v>
      </c>
      <c r="K340" s="1">
        <v>0</v>
      </c>
      <c r="L340" s="1" t="str">
        <f t="shared" si="15"/>
        <v>&lt;50%</v>
      </c>
      <c r="M340">
        <v>4.3</v>
      </c>
      <c r="N340" s="2">
        <v>17415</v>
      </c>
      <c r="O340" s="5">
        <f t="shared" si="16"/>
        <v>505017585</v>
      </c>
      <c r="P340">
        <f>MAX(Table1[RATING COUNT])</f>
        <v>426973</v>
      </c>
    </row>
    <row r="341" spans="1:16">
      <c r="A341" t="s">
        <v>1949</v>
      </c>
      <c r="B341" t="s">
        <v>338</v>
      </c>
      <c r="D341" t="s">
        <v>1352</v>
      </c>
      <c r="E341" t="s">
        <v>1375</v>
      </c>
      <c r="F341" t="s">
        <v>1378</v>
      </c>
      <c r="G341" t="s">
        <v>1379</v>
      </c>
      <c r="H341" s="7">
        <v>28999</v>
      </c>
      <c r="I341" s="7">
        <v>28999</v>
      </c>
      <c r="J341" s="7" t="str">
        <f t="shared" si="17"/>
        <v>&gt;₹500</v>
      </c>
      <c r="K341" s="1">
        <v>0</v>
      </c>
      <c r="L341" s="1" t="str">
        <f t="shared" si="15"/>
        <v>&lt;50%</v>
      </c>
      <c r="M341">
        <v>4.3</v>
      </c>
      <c r="N341" s="2">
        <v>17415</v>
      </c>
      <c r="O341" s="5">
        <f t="shared" si="16"/>
        <v>505017585</v>
      </c>
      <c r="P341">
        <f>MAX(Table1[RATING COUNT])</f>
        <v>426973</v>
      </c>
    </row>
    <row r="342" spans="1:16">
      <c r="A342" t="s">
        <v>1950</v>
      </c>
      <c r="B342" t="s">
        <v>339</v>
      </c>
      <c r="D342" t="s">
        <v>1352</v>
      </c>
      <c r="E342" t="s">
        <v>1375</v>
      </c>
      <c r="F342" t="s">
        <v>1378</v>
      </c>
      <c r="G342" t="s">
        <v>1379</v>
      </c>
      <c r="H342" s="7">
        <v>6499</v>
      </c>
      <c r="I342" s="7">
        <v>8999</v>
      </c>
      <c r="J342" s="7" t="str">
        <f t="shared" si="17"/>
        <v>&gt;₹500</v>
      </c>
      <c r="K342" s="1">
        <v>0.28000000000000003</v>
      </c>
      <c r="L342" s="1" t="str">
        <f t="shared" si="15"/>
        <v>&lt;50%</v>
      </c>
      <c r="M342">
        <v>4</v>
      </c>
      <c r="N342" s="2">
        <v>7807</v>
      </c>
      <c r="O342" s="5">
        <f t="shared" si="16"/>
        <v>70255193</v>
      </c>
      <c r="P342">
        <f>MAX(Table1[RATING COUNT])</f>
        <v>426973</v>
      </c>
    </row>
    <row r="343" spans="1:16">
      <c r="A343" t="s">
        <v>1951</v>
      </c>
      <c r="B343" t="s">
        <v>340</v>
      </c>
      <c r="D343" t="s">
        <v>1352</v>
      </c>
      <c r="E343" t="s">
        <v>1375</v>
      </c>
      <c r="F343" t="s">
        <v>1378</v>
      </c>
      <c r="G343" t="s">
        <v>1379</v>
      </c>
      <c r="H343" s="7">
        <v>6499</v>
      </c>
      <c r="I343" s="7">
        <v>8999</v>
      </c>
      <c r="J343" s="7" t="str">
        <f t="shared" si="17"/>
        <v>&gt;₹500</v>
      </c>
      <c r="K343" s="1">
        <v>0.28000000000000003</v>
      </c>
      <c r="L343" s="1" t="str">
        <f t="shared" si="15"/>
        <v>&lt;50%</v>
      </c>
      <c r="M343">
        <v>4</v>
      </c>
      <c r="N343" s="2">
        <v>7807</v>
      </c>
      <c r="O343" s="5">
        <f t="shared" si="16"/>
        <v>70255193</v>
      </c>
      <c r="P343">
        <f>MAX(Table1[RATING COUNT])</f>
        <v>426973</v>
      </c>
    </row>
    <row r="344" spans="1:16">
      <c r="A344" t="s">
        <v>1952</v>
      </c>
      <c r="B344" t="s">
        <v>341</v>
      </c>
      <c r="D344" t="s">
        <v>1352</v>
      </c>
      <c r="E344" t="s">
        <v>1354</v>
      </c>
      <c r="F344" t="s">
        <v>1380</v>
      </c>
      <c r="G344" t="s">
        <v>1381</v>
      </c>
      <c r="H344" s="7">
        <v>569</v>
      </c>
      <c r="I344" s="7">
        <v>1000</v>
      </c>
      <c r="J344" s="7" t="str">
        <f t="shared" si="17"/>
        <v>&gt;₹500</v>
      </c>
      <c r="K344" s="1">
        <v>0.43</v>
      </c>
      <c r="L344" s="1" t="str">
        <f t="shared" si="15"/>
        <v>&lt;50%</v>
      </c>
      <c r="M344">
        <v>4.4000000000000004</v>
      </c>
      <c r="N344" s="2">
        <v>67259</v>
      </c>
      <c r="O344" s="5">
        <f t="shared" si="16"/>
        <v>67259000</v>
      </c>
      <c r="P344">
        <f>MAX(Table1[RATING COUNT])</f>
        <v>426973</v>
      </c>
    </row>
    <row r="345" spans="1:16">
      <c r="A345" t="s">
        <v>1953</v>
      </c>
      <c r="B345" t="s">
        <v>342</v>
      </c>
      <c r="D345" t="s">
        <v>1352</v>
      </c>
      <c r="E345" t="s">
        <v>1373</v>
      </c>
      <c r="F345" t="s">
        <v>1374</v>
      </c>
      <c r="H345" s="7">
        <v>1898</v>
      </c>
      <c r="I345" s="7">
        <v>4999</v>
      </c>
      <c r="J345" s="7" t="str">
        <f t="shared" si="17"/>
        <v>&gt;₹500</v>
      </c>
      <c r="K345" s="1">
        <v>0.62</v>
      </c>
      <c r="L345" s="1" t="str">
        <f t="shared" si="15"/>
        <v>50% or More</v>
      </c>
      <c r="M345">
        <v>4.0999999999999996</v>
      </c>
      <c r="N345" s="2">
        <v>10689</v>
      </c>
      <c r="O345" s="5">
        <f t="shared" si="16"/>
        <v>53434311</v>
      </c>
      <c r="P345">
        <f>MAX(Table1[RATING COUNT])</f>
        <v>426973</v>
      </c>
    </row>
    <row r="346" spans="1:16">
      <c r="A346" t="s">
        <v>1954</v>
      </c>
      <c r="B346" t="s">
        <v>343</v>
      </c>
      <c r="D346" t="s">
        <v>1352</v>
      </c>
      <c r="E346" t="s">
        <v>1375</v>
      </c>
      <c r="F346" t="s">
        <v>1378</v>
      </c>
      <c r="G346" t="s">
        <v>1382</v>
      </c>
      <c r="H346" s="7">
        <v>1299</v>
      </c>
      <c r="I346" s="7">
        <v>1599</v>
      </c>
      <c r="J346" s="7" t="str">
        <f t="shared" si="17"/>
        <v>&gt;₹500</v>
      </c>
      <c r="K346" s="1">
        <v>0.19</v>
      </c>
      <c r="L346" s="1" t="str">
        <f t="shared" si="15"/>
        <v>&lt;50%</v>
      </c>
      <c r="M346">
        <v>4</v>
      </c>
      <c r="N346" s="2">
        <v>128311</v>
      </c>
      <c r="O346" s="5">
        <f t="shared" si="16"/>
        <v>205169289</v>
      </c>
      <c r="P346">
        <f>MAX(Table1[RATING COUNT])</f>
        <v>426973</v>
      </c>
    </row>
    <row r="347" spans="1:16">
      <c r="A347" t="s">
        <v>1955</v>
      </c>
      <c r="B347" t="s">
        <v>344</v>
      </c>
      <c r="D347" t="s">
        <v>1352</v>
      </c>
      <c r="E347" t="s">
        <v>1373</v>
      </c>
      <c r="F347" t="s">
        <v>1374</v>
      </c>
      <c r="H347" s="7">
        <v>1499</v>
      </c>
      <c r="I347" s="7">
        <v>6990</v>
      </c>
      <c r="J347" s="7" t="str">
        <f t="shared" si="17"/>
        <v>&gt;₹500</v>
      </c>
      <c r="K347" s="1">
        <v>0.79</v>
      </c>
      <c r="L347" s="1" t="str">
        <f t="shared" si="15"/>
        <v>50% or More</v>
      </c>
      <c r="M347">
        <v>3.9</v>
      </c>
      <c r="N347" s="2">
        <v>21796</v>
      </c>
      <c r="O347" s="5">
        <f t="shared" si="16"/>
        <v>152354040</v>
      </c>
      <c r="P347">
        <f>MAX(Table1[RATING COUNT])</f>
        <v>426973</v>
      </c>
    </row>
    <row r="348" spans="1:16">
      <c r="A348" t="s">
        <v>1956</v>
      </c>
      <c r="B348" t="s">
        <v>345</v>
      </c>
      <c r="D348" t="s">
        <v>1352</v>
      </c>
      <c r="E348" t="s">
        <v>1383</v>
      </c>
      <c r="F348" t="s">
        <v>1384</v>
      </c>
      <c r="G348" t="s">
        <v>1385</v>
      </c>
      <c r="H348" s="7">
        <v>599</v>
      </c>
      <c r="I348" s="7">
        <v>999</v>
      </c>
      <c r="J348" s="7" t="str">
        <f t="shared" si="17"/>
        <v>&gt;₹500</v>
      </c>
      <c r="K348" s="1">
        <v>0.4</v>
      </c>
      <c r="L348" s="1" t="str">
        <f t="shared" si="15"/>
        <v>&lt;50%</v>
      </c>
      <c r="M348">
        <v>4.0999999999999996</v>
      </c>
      <c r="N348" s="2">
        <v>192590</v>
      </c>
      <c r="O348" s="5">
        <f t="shared" si="16"/>
        <v>192397410</v>
      </c>
      <c r="P348">
        <f>MAX(Table1[RATING COUNT])</f>
        <v>426973</v>
      </c>
    </row>
    <row r="349" spans="1:16">
      <c r="A349" t="s">
        <v>1957</v>
      </c>
      <c r="B349" t="s">
        <v>346</v>
      </c>
      <c r="D349" t="s">
        <v>1352</v>
      </c>
      <c r="E349" t="s">
        <v>1375</v>
      </c>
      <c r="F349" t="s">
        <v>1378</v>
      </c>
      <c r="G349" t="s">
        <v>1379</v>
      </c>
      <c r="H349" s="7">
        <v>9499</v>
      </c>
      <c r="I349" s="7">
        <v>11999</v>
      </c>
      <c r="J349" s="7" t="str">
        <f t="shared" si="17"/>
        <v>&gt;₹500</v>
      </c>
      <c r="K349" s="1">
        <v>0.21</v>
      </c>
      <c r="L349" s="1" t="str">
        <f t="shared" si="15"/>
        <v>&lt;50%</v>
      </c>
      <c r="M349">
        <v>4.2</v>
      </c>
      <c r="N349" s="2">
        <v>284</v>
      </c>
      <c r="O349" s="5">
        <f t="shared" si="16"/>
        <v>3407716</v>
      </c>
      <c r="P349">
        <f>MAX(Table1[RATING COUNT])</f>
        <v>426973</v>
      </c>
    </row>
    <row r="350" spans="1:16">
      <c r="A350" t="s">
        <v>1958</v>
      </c>
      <c r="B350" t="s">
        <v>347</v>
      </c>
      <c r="D350" t="s">
        <v>1352</v>
      </c>
      <c r="E350" t="s">
        <v>1383</v>
      </c>
      <c r="F350" t="s">
        <v>1384</v>
      </c>
      <c r="G350" t="s">
        <v>1385</v>
      </c>
      <c r="H350" s="7">
        <v>599</v>
      </c>
      <c r="I350" s="7">
        <v>2499</v>
      </c>
      <c r="J350" s="7" t="str">
        <f t="shared" si="17"/>
        <v>&gt;₹500</v>
      </c>
      <c r="K350" s="1">
        <v>0.76</v>
      </c>
      <c r="L350" s="1" t="str">
        <f t="shared" si="15"/>
        <v>50% or More</v>
      </c>
      <c r="M350">
        <v>3.9</v>
      </c>
      <c r="N350" s="2">
        <v>58162</v>
      </c>
      <c r="O350" s="5">
        <f t="shared" si="16"/>
        <v>145346838</v>
      </c>
      <c r="P350">
        <f>MAX(Table1[RATING COUNT])</f>
        <v>426973</v>
      </c>
    </row>
    <row r="351" spans="1:16">
      <c r="A351" t="s">
        <v>1959</v>
      </c>
      <c r="B351" t="s">
        <v>348</v>
      </c>
      <c r="D351" t="s">
        <v>1352</v>
      </c>
      <c r="E351" t="s">
        <v>1375</v>
      </c>
      <c r="F351" t="s">
        <v>1378</v>
      </c>
      <c r="G351" t="s">
        <v>1379</v>
      </c>
      <c r="H351" s="7">
        <v>8999</v>
      </c>
      <c r="I351" s="7">
        <v>11999</v>
      </c>
      <c r="J351" s="7" t="str">
        <f t="shared" si="17"/>
        <v>&gt;₹500</v>
      </c>
      <c r="K351" s="1">
        <v>0.25</v>
      </c>
      <c r="L351" s="1" t="str">
        <f t="shared" si="15"/>
        <v>&lt;50%</v>
      </c>
      <c r="M351">
        <v>4</v>
      </c>
      <c r="N351" s="2">
        <v>12796</v>
      </c>
      <c r="O351" s="5">
        <f t="shared" si="16"/>
        <v>153539204</v>
      </c>
      <c r="P351">
        <f>MAX(Table1[RATING COUNT])</f>
        <v>426973</v>
      </c>
    </row>
    <row r="352" spans="1:16">
      <c r="A352" t="s">
        <v>1960</v>
      </c>
      <c r="B352" t="s">
        <v>349</v>
      </c>
      <c r="D352" t="s">
        <v>1352</v>
      </c>
      <c r="E352" t="s">
        <v>1375</v>
      </c>
      <c r="F352" t="s">
        <v>1376</v>
      </c>
      <c r="G352" t="s">
        <v>1377</v>
      </c>
      <c r="H352" s="7">
        <v>349</v>
      </c>
      <c r="I352" s="7">
        <v>1299</v>
      </c>
      <c r="J352" s="7" t="str">
        <f t="shared" si="17"/>
        <v>&gt;₹500</v>
      </c>
      <c r="K352" s="1">
        <v>0.73</v>
      </c>
      <c r="L352" s="1" t="str">
        <f t="shared" si="15"/>
        <v>50% or More</v>
      </c>
      <c r="M352">
        <v>4</v>
      </c>
      <c r="N352" s="2">
        <v>14282</v>
      </c>
      <c r="O352" s="5">
        <f t="shared" si="16"/>
        <v>18552318</v>
      </c>
      <c r="P352">
        <f>MAX(Table1[RATING COUNT])</f>
        <v>426973</v>
      </c>
    </row>
    <row r="353" spans="1:16">
      <c r="A353" t="s">
        <v>1961</v>
      </c>
      <c r="B353" t="s">
        <v>350</v>
      </c>
      <c r="D353" t="s">
        <v>1352</v>
      </c>
      <c r="E353" t="s">
        <v>1383</v>
      </c>
      <c r="F353" t="s">
        <v>1384</v>
      </c>
      <c r="G353" t="s">
        <v>1385</v>
      </c>
      <c r="H353" s="7">
        <v>349</v>
      </c>
      <c r="I353" s="7">
        <v>999</v>
      </c>
      <c r="J353" s="7" t="str">
        <f t="shared" si="17"/>
        <v>&gt;₹500</v>
      </c>
      <c r="K353" s="1">
        <v>0.65</v>
      </c>
      <c r="L353" s="1" t="str">
        <f t="shared" si="15"/>
        <v>50% or More</v>
      </c>
      <c r="M353">
        <v>4.0999999999999996</v>
      </c>
      <c r="N353" s="2">
        <v>363713</v>
      </c>
      <c r="O353" s="5">
        <f t="shared" si="16"/>
        <v>363349287</v>
      </c>
      <c r="P353">
        <f>MAX(Table1[RATING COUNT])</f>
        <v>426973</v>
      </c>
    </row>
    <row r="354" spans="1:16">
      <c r="A354" t="s">
        <v>1962</v>
      </c>
      <c r="B354" t="s">
        <v>351</v>
      </c>
      <c r="D354" t="s">
        <v>1352</v>
      </c>
      <c r="E354" t="s">
        <v>1354</v>
      </c>
      <c r="F354" t="s">
        <v>1380</v>
      </c>
      <c r="G354" t="s">
        <v>1381</v>
      </c>
      <c r="H354" s="7">
        <v>959</v>
      </c>
      <c r="I354" s="7">
        <v>1800</v>
      </c>
      <c r="J354" s="7" t="str">
        <f t="shared" si="17"/>
        <v>&gt;₹500</v>
      </c>
      <c r="K354" s="1">
        <v>0.47</v>
      </c>
      <c r="L354" s="1" t="str">
        <f t="shared" si="15"/>
        <v>&lt;50%</v>
      </c>
      <c r="M354">
        <v>4.4000000000000004</v>
      </c>
      <c r="N354" s="2">
        <v>67259</v>
      </c>
      <c r="O354" s="5">
        <f t="shared" si="16"/>
        <v>121066200</v>
      </c>
      <c r="P354">
        <f>MAX(Table1[RATING COUNT])</f>
        <v>426973</v>
      </c>
    </row>
    <row r="355" spans="1:16">
      <c r="A355" t="s">
        <v>1963</v>
      </c>
      <c r="B355" t="s">
        <v>352</v>
      </c>
      <c r="D355" t="s">
        <v>1352</v>
      </c>
      <c r="E355" t="s">
        <v>1375</v>
      </c>
      <c r="F355" t="s">
        <v>1378</v>
      </c>
      <c r="G355" t="s">
        <v>1379</v>
      </c>
      <c r="H355" s="7">
        <v>9499</v>
      </c>
      <c r="I355" s="7">
        <v>11999</v>
      </c>
      <c r="J355" s="7" t="str">
        <f t="shared" si="17"/>
        <v>&gt;₹500</v>
      </c>
      <c r="K355" s="1">
        <v>0.21</v>
      </c>
      <c r="L355" s="1" t="str">
        <f t="shared" si="15"/>
        <v>&lt;50%</v>
      </c>
      <c r="M355">
        <v>4.2</v>
      </c>
      <c r="N355" s="2">
        <v>284</v>
      </c>
      <c r="O355" s="5">
        <f t="shared" si="16"/>
        <v>3407716</v>
      </c>
      <c r="P355">
        <f>MAX(Table1[RATING COUNT])</f>
        <v>426973</v>
      </c>
    </row>
    <row r="356" spans="1:16">
      <c r="A356" t="s">
        <v>1964</v>
      </c>
      <c r="B356" t="s">
        <v>353</v>
      </c>
      <c r="D356" t="s">
        <v>1352</v>
      </c>
      <c r="E356" t="s">
        <v>1375</v>
      </c>
      <c r="F356" t="s">
        <v>1376</v>
      </c>
      <c r="G356" t="s">
        <v>1377</v>
      </c>
      <c r="H356" s="7">
        <v>1499</v>
      </c>
      <c r="I356" s="7">
        <v>2499</v>
      </c>
      <c r="J356" s="7" t="str">
        <f t="shared" si="17"/>
        <v>&gt;₹500</v>
      </c>
      <c r="K356" s="1">
        <v>0.4</v>
      </c>
      <c r="L356" s="1" t="str">
        <f t="shared" si="15"/>
        <v>&lt;50%</v>
      </c>
      <c r="M356">
        <v>4.3</v>
      </c>
      <c r="N356" s="2">
        <v>15970</v>
      </c>
      <c r="O356" s="5">
        <f t="shared" si="16"/>
        <v>39909030</v>
      </c>
      <c r="P356">
        <f>MAX(Table1[RATING COUNT])</f>
        <v>426973</v>
      </c>
    </row>
    <row r="357" spans="1:16">
      <c r="A357" t="s">
        <v>1965</v>
      </c>
      <c r="B357" t="s">
        <v>354</v>
      </c>
      <c r="D357" t="s">
        <v>1352</v>
      </c>
      <c r="E357" t="s">
        <v>1375</v>
      </c>
      <c r="F357" t="s">
        <v>1376</v>
      </c>
      <c r="G357" t="s">
        <v>1377</v>
      </c>
      <c r="H357" s="7">
        <v>1149</v>
      </c>
      <c r="I357" s="7">
        <v>2199</v>
      </c>
      <c r="J357" s="7" t="str">
        <f t="shared" si="17"/>
        <v>&gt;₹500</v>
      </c>
      <c r="K357" s="1">
        <v>0.48</v>
      </c>
      <c r="L357" s="1" t="str">
        <f t="shared" si="15"/>
        <v>&lt;50%</v>
      </c>
      <c r="M357">
        <v>4.3</v>
      </c>
      <c r="N357" s="2">
        <v>178912</v>
      </c>
      <c r="O357" s="5">
        <f t="shared" si="16"/>
        <v>393427488</v>
      </c>
      <c r="P357">
        <f>MAX(Table1[RATING COUNT])</f>
        <v>426973</v>
      </c>
    </row>
    <row r="358" spans="1:16">
      <c r="A358" t="s">
        <v>1966</v>
      </c>
      <c r="B358" t="s">
        <v>355</v>
      </c>
      <c r="D358" t="s">
        <v>1352</v>
      </c>
      <c r="E358" t="s">
        <v>1375</v>
      </c>
      <c r="F358" t="s">
        <v>1376</v>
      </c>
      <c r="G358" t="s">
        <v>1386</v>
      </c>
      <c r="H358" s="7">
        <v>349</v>
      </c>
      <c r="I358" s="7">
        <v>999</v>
      </c>
      <c r="J358" s="7" t="str">
        <f t="shared" si="17"/>
        <v>&gt;₹500</v>
      </c>
      <c r="K358" s="1">
        <v>0.65</v>
      </c>
      <c r="L358" s="1" t="str">
        <f t="shared" si="15"/>
        <v>50% or More</v>
      </c>
      <c r="M358">
        <v>3.9</v>
      </c>
      <c r="N358" s="2">
        <v>46399</v>
      </c>
      <c r="O358" s="5">
        <f t="shared" si="16"/>
        <v>46352601</v>
      </c>
      <c r="P358">
        <f>MAX(Table1[RATING COUNT])</f>
        <v>426973</v>
      </c>
    </row>
    <row r="359" spans="1:16">
      <c r="A359" t="s">
        <v>1967</v>
      </c>
      <c r="B359" t="s">
        <v>356</v>
      </c>
      <c r="D359" t="s">
        <v>1352</v>
      </c>
      <c r="E359" t="s">
        <v>1375</v>
      </c>
      <c r="F359" t="s">
        <v>1376</v>
      </c>
      <c r="G359" t="s">
        <v>1377</v>
      </c>
      <c r="H359" s="7">
        <v>1219</v>
      </c>
      <c r="I359" s="7">
        <v>1699</v>
      </c>
      <c r="J359" s="7" t="str">
        <f t="shared" si="17"/>
        <v>&gt;₹500</v>
      </c>
      <c r="K359" s="1">
        <v>0.28000000000000003</v>
      </c>
      <c r="L359" s="1" t="str">
        <f t="shared" si="15"/>
        <v>&lt;50%</v>
      </c>
      <c r="M359">
        <v>4.4000000000000004</v>
      </c>
      <c r="N359" s="2">
        <v>8891</v>
      </c>
      <c r="O359" s="5">
        <f t="shared" si="16"/>
        <v>15105809</v>
      </c>
      <c r="P359">
        <f>MAX(Table1[RATING COUNT])</f>
        <v>426973</v>
      </c>
    </row>
    <row r="360" spans="1:16">
      <c r="A360" t="s">
        <v>1968</v>
      </c>
      <c r="B360" t="s">
        <v>357</v>
      </c>
      <c r="D360" t="s">
        <v>1352</v>
      </c>
      <c r="E360" t="s">
        <v>1373</v>
      </c>
      <c r="F360" t="s">
        <v>1374</v>
      </c>
      <c r="H360" s="7">
        <v>1599</v>
      </c>
      <c r="I360" s="7">
        <v>3999</v>
      </c>
      <c r="J360" s="7" t="str">
        <f t="shared" si="17"/>
        <v>&gt;₹500</v>
      </c>
      <c r="K360" s="1">
        <v>0.6</v>
      </c>
      <c r="L360" s="1" t="str">
        <f t="shared" si="15"/>
        <v>50% or More</v>
      </c>
      <c r="M360">
        <v>4</v>
      </c>
      <c r="N360" s="2">
        <v>30254</v>
      </c>
      <c r="O360" s="5">
        <f t="shared" si="16"/>
        <v>120985746</v>
      </c>
      <c r="P360">
        <f>MAX(Table1[RATING COUNT])</f>
        <v>426973</v>
      </c>
    </row>
    <row r="361" spans="1:16">
      <c r="A361" t="s">
        <v>1969</v>
      </c>
      <c r="B361" t="s">
        <v>358</v>
      </c>
      <c r="D361" t="s">
        <v>1352</v>
      </c>
      <c r="E361" t="s">
        <v>1373</v>
      </c>
      <c r="F361" t="s">
        <v>1374</v>
      </c>
      <c r="H361" s="7">
        <v>1499</v>
      </c>
      <c r="I361" s="7">
        <v>7999</v>
      </c>
      <c r="J361" s="7" t="str">
        <f t="shared" si="17"/>
        <v>&gt;₹500</v>
      </c>
      <c r="K361" s="1">
        <v>0.81</v>
      </c>
      <c r="L361" s="1" t="str">
        <f t="shared" si="15"/>
        <v>50% or More</v>
      </c>
      <c r="M361">
        <v>4.2</v>
      </c>
      <c r="N361" s="2">
        <v>22636</v>
      </c>
      <c r="O361" s="5">
        <f t="shared" si="16"/>
        <v>181065364</v>
      </c>
      <c r="P361">
        <f>MAX(Table1[RATING COUNT])</f>
        <v>426973</v>
      </c>
    </row>
    <row r="362" spans="1:16">
      <c r="A362" t="s">
        <v>1970</v>
      </c>
      <c r="B362" t="s">
        <v>359</v>
      </c>
      <c r="D362" t="s">
        <v>1352</v>
      </c>
      <c r="E362" t="s">
        <v>1375</v>
      </c>
      <c r="F362" t="s">
        <v>1378</v>
      </c>
      <c r="G362" t="s">
        <v>1379</v>
      </c>
      <c r="H362" s="7">
        <v>18499</v>
      </c>
      <c r="I362" s="7">
        <v>25999</v>
      </c>
      <c r="J362" s="7" t="str">
        <f t="shared" si="17"/>
        <v>&gt;₹500</v>
      </c>
      <c r="K362" s="1">
        <v>0.28999999999999998</v>
      </c>
      <c r="L362" s="1" t="str">
        <f t="shared" si="15"/>
        <v>&lt;50%</v>
      </c>
      <c r="M362">
        <v>4.0999999999999996</v>
      </c>
      <c r="N362" s="2">
        <v>22318</v>
      </c>
      <c r="O362" s="5">
        <f t="shared" si="16"/>
        <v>580245682</v>
      </c>
      <c r="P362">
        <f>MAX(Table1[RATING COUNT])</f>
        <v>426973</v>
      </c>
    </row>
    <row r="363" spans="1:16">
      <c r="A363" t="s">
        <v>1971</v>
      </c>
      <c r="B363" t="s">
        <v>360</v>
      </c>
      <c r="D363" t="s">
        <v>1352</v>
      </c>
      <c r="E363" t="s">
        <v>1354</v>
      </c>
      <c r="F363" t="s">
        <v>1380</v>
      </c>
      <c r="G363" t="s">
        <v>1381</v>
      </c>
      <c r="H363" s="7">
        <v>369</v>
      </c>
      <c r="I363" s="7">
        <v>700</v>
      </c>
      <c r="J363" s="7" t="str">
        <f t="shared" si="17"/>
        <v>&gt;₹500</v>
      </c>
      <c r="K363" s="1">
        <v>0.47</v>
      </c>
      <c r="L363" s="1" t="str">
        <f t="shared" si="15"/>
        <v>&lt;50%</v>
      </c>
      <c r="M363">
        <v>4.4000000000000004</v>
      </c>
      <c r="N363" s="2">
        <v>67259</v>
      </c>
      <c r="O363" s="5">
        <f t="shared" si="16"/>
        <v>47081300</v>
      </c>
      <c r="P363">
        <f>MAX(Table1[RATING COUNT])</f>
        <v>426973</v>
      </c>
    </row>
    <row r="364" spans="1:16">
      <c r="A364" t="s">
        <v>1972</v>
      </c>
      <c r="B364" t="s">
        <v>361</v>
      </c>
      <c r="D364" t="s">
        <v>1352</v>
      </c>
      <c r="E364" t="s">
        <v>1375</v>
      </c>
      <c r="F364" t="s">
        <v>1378</v>
      </c>
      <c r="G364" t="s">
        <v>1379</v>
      </c>
      <c r="H364" s="7">
        <v>12999</v>
      </c>
      <c r="I364" s="7">
        <v>17999</v>
      </c>
      <c r="J364" s="7" t="str">
        <f t="shared" si="17"/>
        <v>&gt;₹500</v>
      </c>
      <c r="K364" s="1">
        <v>0.28000000000000003</v>
      </c>
      <c r="L364" s="1" t="str">
        <f t="shared" si="15"/>
        <v>&lt;50%</v>
      </c>
      <c r="M364">
        <v>4.0999999999999996</v>
      </c>
      <c r="N364" s="2">
        <v>18998</v>
      </c>
      <c r="O364" s="5">
        <f t="shared" si="16"/>
        <v>341945002</v>
      </c>
      <c r="P364">
        <f>MAX(Table1[RATING COUNT])</f>
        <v>426973</v>
      </c>
    </row>
    <row r="365" spans="1:16">
      <c r="A365" t="s">
        <v>1973</v>
      </c>
      <c r="B365" t="s">
        <v>362</v>
      </c>
      <c r="D365" t="s">
        <v>1352</v>
      </c>
      <c r="E365" t="s">
        <v>1373</v>
      </c>
      <c r="F365" t="s">
        <v>1374</v>
      </c>
      <c r="H365" s="7">
        <v>2199</v>
      </c>
      <c r="I365" s="7">
        <v>9999</v>
      </c>
      <c r="J365" s="7" t="str">
        <f t="shared" si="17"/>
        <v>&gt;₹500</v>
      </c>
      <c r="K365" s="1">
        <v>0.78</v>
      </c>
      <c r="L365" s="1" t="str">
        <f t="shared" si="15"/>
        <v>50% or More</v>
      </c>
      <c r="M365">
        <v>4.2</v>
      </c>
      <c r="N365" s="2">
        <v>29471</v>
      </c>
      <c r="O365" s="5">
        <f t="shared" si="16"/>
        <v>294680529</v>
      </c>
      <c r="P365">
        <f>MAX(Table1[RATING COUNT])</f>
        <v>426973</v>
      </c>
    </row>
    <row r="366" spans="1:16">
      <c r="A366" t="s">
        <v>1974</v>
      </c>
      <c r="B366" t="s">
        <v>363</v>
      </c>
      <c r="D366" t="s">
        <v>1352</v>
      </c>
      <c r="E366" t="s">
        <v>1375</v>
      </c>
      <c r="F366" t="s">
        <v>1378</v>
      </c>
      <c r="G366" t="s">
        <v>1379</v>
      </c>
      <c r="H366" s="7">
        <v>16999</v>
      </c>
      <c r="I366" s="7">
        <v>24999</v>
      </c>
      <c r="J366" s="7" t="str">
        <f t="shared" si="17"/>
        <v>&gt;₹500</v>
      </c>
      <c r="K366" s="1">
        <v>0.32</v>
      </c>
      <c r="L366" s="1" t="str">
        <f t="shared" si="15"/>
        <v>&lt;50%</v>
      </c>
      <c r="M366">
        <v>4.0999999999999996</v>
      </c>
      <c r="N366" s="2">
        <v>22318</v>
      </c>
      <c r="O366" s="5">
        <f t="shared" si="16"/>
        <v>557927682</v>
      </c>
      <c r="P366">
        <f>MAX(Table1[RATING COUNT])</f>
        <v>426973</v>
      </c>
    </row>
    <row r="367" spans="1:16">
      <c r="A367" t="s">
        <v>1975</v>
      </c>
      <c r="B367" t="s">
        <v>364</v>
      </c>
      <c r="D367" t="s">
        <v>1352</v>
      </c>
      <c r="E367" t="s">
        <v>1375</v>
      </c>
      <c r="F367" t="s">
        <v>1378</v>
      </c>
      <c r="G367" t="s">
        <v>1379</v>
      </c>
      <c r="H367" s="7">
        <v>16499</v>
      </c>
      <c r="I367" s="7">
        <v>20999</v>
      </c>
      <c r="J367" s="7" t="str">
        <f t="shared" si="17"/>
        <v>&gt;₹500</v>
      </c>
      <c r="K367" s="1">
        <v>0.21</v>
      </c>
      <c r="L367" s="1" t="str">
        <f t="shared" si="15"/>
        <v>&lt;50%</v>
      </c>
      <c r="M367">
        <v>4</v>
      </c>
      <c r="N367" s="2">
        <v>21350</v>
      </c>
      <c r="O367" s="5">
        <f t="shared" si="16"/>
        <v>448328650</v>
      </c>
      <c r="P367">
        <f>MAX(Table1[RATING COUNT])</f>
        <v>426973</v>
      </c>
    </row>
    <row r="368" spans="1:16">
      <c r="A368" t="s">
        <v>1976</v>
      </c>
      <c r="B368" t="s">
        <v>0</v>
      </c>
      <c r="D368" t="s">
        <v>1345</v>
      </c>
      <c r="E368" t="s">
        <v>1346</v>
      </c>
      <c r="F368" t="s">
        <v>1347</v>
      </c>
      <c r="G368" t="s">
        <v>1348</v>
      </c>
      <c r="H368" s="7">
        <v>399</v>
      </c>
      <c r="I368" s="7">
        <v>1099</v>
      </c>
      <c r="J368" s="7" t="str">
        <f t="shared" si="17"/>
        <v>&gt;₹500</v>
      </c>
      <c r="K368" s="1">
        <v>0.64</v>
      </c>
      <c r="L368" s="1" t="str">
        <f t="shared" si="15"/>
        <v>50% or More</v>
      </c>
      <c r="M368">
        <v>4.2</v>
      </c>
      <c r="N368" s="2">
        <v>24270</v>
      </c>
      <c r="O368" s="5">
        <f t="shared" si="16"/>
        <v>26672730</v>
      </c>
      <c r="P368">
        <f>MAX(Table1[RATING COUNT])</f>
        <v>426973</v>
      </c>
    </row>
    <row r="369" spans="1:16">
      <c r="A369" t="s">
        <v>1977</v>
      </c>
      <c r="B369" t="s">
        <v>365</v>
      </c>
      <c r="D369" t="s">
        <v>1352</v>
      </c>
      <c r="E369" t="s">
        <v>1375</v>
      </c>
      <c r="F369" t="s">
        <v>1378</v>
      </c>
      <c r="G369" t="s">
        <v>1379</v>
      </c>
      <c r="H369" s="7">
        <v>8499</v>
      </c>
      <c r="I369" s="7">
        <v>10999</v>
      </c>
      <c r="J369" s="7" t="str">
        <f t="shared" si="17"/>
        <v>&gt;₹500</v>
      </c>
      <c r="K369" s="1">
        <v>0.23</v>
      </c>
      <c r="L369" s="1" t="str">
        <f t="shared" si="15"/>
        <v>&lt;50%</v>
      </c>
      <c r="M369">
        <v>4.0999999999999996</v>
      </c>
      <c r="N369" s="2">
        <v>313836</v>
      </c>
      <c r="O369" s="5">
        <f t="shared" si="16"/>
        <v>3451882164</v>
      </c>
      <c r="P369">
        <f>MAX(Table1[RATING COUNT])</f>
        <v>426973</v>
      </c>
    </row>
    <row r="370" spans="1:16">
      <c r="A370" t="s">
        <v>1978</v>
      </c>
      <c r="B370" t="s">
        <v>366</v>
      </c>
      <c r="D370" t="s">
        <v>1352</v>
      </c>
      <c r="E370" t="s">
        <v>1375</v>
      </c>
      <c r="F370" t="s">
        <v>1378</v>
      </c>
      <c r="G370" t="s">
        <v>1379</v>
      </c>
      <c r="H370" s="7">
        <v>6499</v>
      </c>
      <c r="I370" s="7">
        <v>8499</v>
      </c>
      <c r="J370" s="7" t="str">
        <f t="shared" si="17"/>
        <v>&gt;₹500</v>
      </c>
      <c r="K370" s="1">
        <v>0.24</v>
      </c>
      <c r="L370" s="1" t="str">
        <f t="shared" si="15"/>
        <v>&lt;50%</v>
      </c>
      <c r="M370">
        <v>4.0999999999999996</v>
      </c>
      <c r="N370" s="2">
        <v>313836</v>
      </c>
      <c r="O370" s="5">
        <f t="shared" si="16"/>
        <v>2667292164</v>
      </c>
      <c r="P370">
        <f>MAX(Table1[RATING COUNT])</f>
        <v>426973</v>
      </c>
    </row>
    <row r="371" spans="1:16">
      <c r="A371" t="s">
        <v>1610</v>
      </c>
      <c r="B371" t="s">
        <v>367</v>
      </c>
      <c r="D371" t="s">
        <v>1352</v>
      </c>
      <c r="E371" t="s">
        <v>1375</v>
      </c>
      <c r="F371" t="s">
        <v>1378</v>
      </c>
      <c r="G371" t="s">
        <v>1379</v>
      </c>
      <c r="H371" s="7">
        <v>8999</v>
      </c>
      <c r="I371" s="7">
        <v>11999</v>
      </c>
      <c r="J371" s="7" t="str">
        <f t="shared" si="17"/>
        <v>&gt;₹500</v>
      </c>
      <c r="K371" s="1">
        <v>0.25</v>
      </c>
      <c r="L371" s="1" t="str">
        <f t="shared" si="15"/>
        <v>&lt;50%</v>
      </c>
      <c r="M371">
        <v>4</v>
      </c>
      <c r="N371" s="2">
        <v>12796</v>
      </c>
      <c r="O371" s="5">
        <f t="shared" si="16"/>
        <v>153539204</v>
      </c>
      <c r="P371">
        <f>MAX(Table1[RATING COUNT])</f>
        <v>426973</v>
      </c>
    </row>
    <row r="372" spans="1:16">
      <c r="A372" t="s">
        <v>1979</v>
      </c>
      <c r="B372" t="s">
        <v>368</v>
      </c>
      <c r="D372" t="s">
        <v>1352</v>
      </c>
      <c r="E372" t="s">
        <v>1375</v>
      </c>
      <c r="F372" t="s">
        <v>1376</v>
      </c>
      <c r="G372" t="s">
        <v>1387</v>
      </c>
      <c r="H372" s="7">
        <v>139</v>
      </c>
      <c r="I372" s="7">
        <v>495</v>
      </c>
      <c r="J372" s="7" t="str">
        <f t="shared" si="17"/>
        <v>₹200–₹500</v>
      </c>
      <c r="K372" s="1">
        <v>0.72</v>
      </c>
      <c r="L372" s="1" t="str">
        <f t="shared" si="15"/>
        <v>50% or More</v>
      </c>
      <c r="M372">
        <v>4.3</v>
      </c>
      <c r="N372" s="2">
        <v>14185</v>
      </c>
      <c r="O372" s="5">
        <f t="shared" si="16"/>
        <v>7021575</v>
      </c>
      <c r="P372">
        <f>MAX(Table1[RATING COUNT])</f>
        <v>426973</v>
      </c>
    </row>
    <row r="373" spans="1:16">
      <c r="A373" t="s">
        <v>1980</v>
      </c>
      <c r="B373" t="s">
        <v>369</v>
      </c>
      <c r="D373" t="s">
        <v>1352</v>
      </c>
      <c r="E373" t="s">
        <v>1373</v>
      </c>
      <c r="F373" t="s">
        <v>1374</v>
      </c>
      <c r="H373" s="7">
        <v>3999</v>
      </c>
      <c r="I373" s="7">
        <v>16999</v>
      </c>
      <c r="J373" s="7" t="str">
        <f t="shared" si="17"/>
        <v>&gt;₹500</v>
      </c>
      <c r="K373" s="1">
        <v>0.76</v>
      </c>
      <c r="L373" s="1" t="str">
        <f t="shared" si="15"/>
        <v>50% or More</v>
      </c>
      <c r="M373">
        <v>4.3</v>
      </c>
      <c r="N373" s="2">
        <v>17159</v>
      </c>
      <c r="O373" s="5">
        <f t="shared" si="16"/>
        <v>291685841</v>
      </c>
      <c r="P373">
        <f>MAX(Table1[RATING COUNT])</f>
        <v>426973</v>
      </c>
    </row>
    <row r="374" spans="1:16">
      <c r="A374" t="s">
        <v>1981</v>
      </c>
      <c r="B374" t="s">
        <v>370</v>
      </c>
      <c r="D374" t="s">
        <v>1352</v>
      </c>
      <c r="E374" t="s">
        <v>1373</v>
      </c>
      <c r="F374" t="s">
        <v>1374</v>
      </c>
      <c r="H374" s="7">
        <v>2998</v>
      </c>
      <c r="I374" s="7">
        <v>5999</v>
      </c>
      <c r="J374" s="7" t="str">
        <f t="shared" si="17"/>
        <v>&gt;₹500</v>
      </c>
      <c r="K374" s="1">
        <v>0.5</v>
      </c>
      <c r="L374" s="1" t="str">
        <f t="shared" si="15"/>
        <v>50% or More</v>
      </c>
      <c r="M374">
        <v>4.0999999999999996</v>
      </c>
      <c r="N374" s="2">
        <v>5179</v>
      </c>
      <c r="O374" s="5">
        <f t="shared" si="16"/>
        <v>31068821</v>
      </c>
      <c r="P374">
        <f>MAX(Table1[RATING COUNT])</f>
        <v>426973</v>
      </c>
    </row>
    <row r="375" spans="1:16">
      <c r="A375" t="s">
        <v>1982</v>
      </c>
      <c r="B375" t="s">
        <v>1</v>
      </c>
      <c r="D375" t="s">
        <v>1345</v>
      </c>
      <c r="E375" t="s">
        <v>1346</v>
      </c>
      <c r="F375" t="s">
        <v>1347</v>
      </c>
      <c r="G375" t="s">
        <v>1348</v>
      </c>
      <c r="H375" s="7">
        <v>199</v>
      </c>
      <c r="I375" s="7">
        <v>349</v>
      </c>
      <c r="J375" s="7" t="str">
        <f t="shared" si="17"/>
        <v>₹200–₹500</v>
      </c>
      <c r="K375" s="1">
        <v>0.43</v>
      </c>
      <c r="L375" s="1" t="str">
        <f t="shared" si="15"/>
        <v>&lt;50%</v>
      </c>
      <c r="M375">
        <v>4</v>
      </c>
      <c r="N375" s="2">
        <v>43993</v>
      </c>
      <c r="O375" s="5">
        <f t="shared" si="16"/>
        <v>15353557</v>
      </c>
      <c r="P375">
        <f>MAX(Table1[RATING COUNT])</f>
        <v>426973</v>
      </c>
    </row>
    <row r="376" spans="1:16">
      <c r="A376" t="s">
        <v>1983</v>
      </c>
      <c r="B376" t="s">
        <v>371</v>
      </c>
      <c r="D376" t="s">
        <v>1352</v>
      </c>
      <c r="E376" t="s">
        <v>1375</v>
      </c>
      <c r="F376" t="s">
        <v>1378</v>
      </c>
      <c r="G376" t="s">
        <v>1379</v>
      </c>
      <c r="H376" s="7">
        <v>15499</v>
      </c>
      <c r="I376" s="7">
        <v>18999</v>
      </c>
      <c r="J376" s="7" t="str">
        <f t="shared" si="17"/>
        <v>&gt;₹500</v>
      </c>
      <c r="K376" s="1">
        <v>0.18</v>
      </c>
      <c r="L376" s="1" t="str">
        <f t="shared" si="15"/>
        <v>&lt;50%</v>
      </c>
      <c r="M376">
        <v>4.0999999999999996</v>
      </c>
      <c r="N376" s="2">
        <v>19252</v>
      </c>
      <c r="O376" s="5">
        <f t="shared" si="16"/>
        <v>365768748</v>
      </c>
      <c r="P376">
        <f>MAX(Table1[RATING COUNT])</f>
        <v>426973</v>
      </c>
    </row>
    <row r="377" spans="1:16">
      <c r="A377" t="s">
        <v>1984</v>
      </c>
      <c r="B377" t="s">
        <v>2</v>
      </c>
      <c r="D377" t="s">
        <v>1345</v>
      </c>
      <c r="E377" t="s">
        <v>1346</v>
      </c>
      <c r="F377" t="s">
        <v>1347</v>
      </c>
      <c r="G377" t="s">
        <v>1348</v>
      </c>
      <c r="H377" s="7">
        <v>199</v>
      </c>
      <c r="I377" s="7">
        <v>999</v>
      </c>
      <c r="J377" s="7" t="str">
        <f t="shared" si="17"/>
        <v>&gt;₹500</v>
      </c>
      <c r="K377" s="1">
        <v>0.8</v>
      </c>
      <c r="L377" s="1" t="str">
        <f t="shared" si="15"/>
        <v>50% or More</v>
      </c>
      <c r="M377">
        <v>3.9</v>
      </c>
      <c r="N377" s="2">
        <v>7928</v>
      </c>
      <c r="O377" s="5">
        <f t="shared" si="16"/>
        <v>7920072</v>
      </c>
      <c r="P377">
        <f>MAX(Table1[RATING COUNT])</f>
        <v>426973</v>
      </c>
    </row>
    <row r="378" spans="1:16">
      <c r="A378" t="s">
        <v>1985</v>
      </c>
      <c r="B378" t="s">
        <v>372</v>
      </c>
      <c r="D378" t="s">
        <v>1352</v>
      </c>
      <c r="E378" t="s">
        <v>1375</v>
      </c>
      <c r="F378" t="s">
        <v>1378</v>
      </c>
      <c r="G378" t="s">
        <v>1379</v>
      </c>
      <c r="H378" s="7">
        <v>8999</v>
      </c>
      <c r="I378" s="7">
        <v>11999</v>
      </c>
      <c r="J378" s="7" t="str">
        <f t="shared" si="17"/>
        <v>&gt;₹500</v>
      </c>
      <c r="K378" s="1">
        <v>0.25</v>
      </c>
      <c r="L378" s="1" t="str">
        <f t="shared" si="15"/>
        <v>&lt;50%</v>
      </c>
      <c r="M378">
        <v>4</v>
      </c>
      <c r="N378" s="2">
        <v>12796</v>
      </c>
      <c r="O378" s="5">
        <f t="shared" si="16"/>
        <v>153539204</v>
      </c>
      <c r="P378">
        <f>MAX(Table1[RATING COUNT])</f>
        <v>426973</v>
      </c>
    </row>
    <row r="379" spans="1:16">
      <c r="A379" t="s">
        <v>1611</v>
      </c>
      <c r="B379" t="s">
        <v>373</v>
      </c>
      <c r="D379" t="s">
        <v>1352</v>
      </c>
      <c r="E379" t="s">
        <v>1375</v>
      </c>
      <c r="F379" t="s">
        <v>1376</v>
      </c>
      <c r="G379" t="s">
        <v>1377</v>
      </c>
      <c r="H379" s="7">
        <v>873</v>
      </c>
      <c r="I379" s="7">
        <v>1699</v>
      </c>
      <c r="J379" s="7" t="str">
        <f t="shared" si="17"/>
        <v>&gt;₹500</v>
      </c>
      <c r="K379" s="1">
        <v>0.49</v>
      </c>
      <c r="L379" s="1" t="str">
        <f t="shared" si="15"/>
        <v>&lt;50%</v>
      </c>
      <c r="M379">
        <v>4.4000000000000004</v>
      </c>
      <c r="N379" s="2">
        <v>1680</v>
      </c>
      <c r="O379" s="5">
        <f t="shared" si="16"/>
        <v>2854320</v>
      </c>
      <c r="P379">
        <f>MAX(Table1[RATING COUNT])</f>
        <v>426973</v>
      </c>
    </row>
    <row r="380" spans="1:16">
      <c r="A380" t="s">
        <v>1986</v>
      </c>
      <c r="B380" t="s">
        <v>374</v>
      </c>
      <c r="D380" t="s">
        <v>1352</v>
      </c>
      <c r="E380" t="s">
        <v>1375</v>
      </c>
      <c r="F380" t="s">
        <v>1378</v>
      </c>
      <c r="G380" t="s">
        <v>1379</v>
      </c>
      <c r="H380" s="7">
        <v>12999</v>
      </c>
      <c r="I380" s="7">
        <v>15999</v>
      </c>
      <c r="J380" s="7" t="str">
        <f t="shared" si="17"/>
        <v>&gt;₹500</v>
      </c>
      <c r="K380" s="1">
        <v>0.19</v>
      </c>
      <c r="L380" s="1" t="str">
        <f t="shared" si="15"/>
        <v>&lt;50%</v>
      </c>
      <c r="M380">
        <v>4.2</v>
      </c>
      <c r="N380" s="2">
        <v>13246</v>
      </c>
      <c r="O380" s="5">
        <f t="shared" si="16"/>
        <v>211922754</v>
      </c>
      <c r="P380">
        <f>MAX(Table1[RATING COUNT])</f>
        <v>426973</v>
      </c>
    </row>
    <row r="381" spans="1:16">
      <c r="A381" t="s">
        <v>1612</v>
      </c>
      <c r="B381" t="s">
        <v>375</v>
      </c>
      <c r="D381" t="s">
        <v>1352</v>
      </c>
      <c r="E381" t="s">
        <v>1375</v>
      </c>
      <c r="F381" t="s">
        <v>1376</v>
      </c>
      <c r="G381" t="s">
        <v>1388</v>
      </c>
      <c r="H381" s="7">
        <v>539</v>
      </c>
      <c r="I381" s="7">
        <v>1599</v>
      </c>
      <c r="J381" s="7" t="str">
        <f t="shared" si="17"/>
        <v>&gt;₹500</v>
      </c>
      <c r="K381" s="1">
        <v>0.66</v>
      </c>
      <c r="L381" s="1" t="str">
        <f t="shared" si="15"/>
        <v>50% or More</v>
      </c>
      <c r="M381">
        <v>3.8</v>
      </c>
      <c r="N381" s="2">
        <v>14648</v>
      </c>
      <c r="O381" s="5">
        <f t="shared" si="16"/>
        <v>23422152</v>
      </c>
      <c r="P381">
        <f>MAX(Table1[RATING COUNT])</f>
        <v>426973</v>
      </c>
    </row>
    <row r="382" spans="1:16">
      <c r="A382" t="s">
        <v>1987</v>
      </c>
      <c r="B382" t="s">
        <v>333</v>
      </c>
      <c r="D382" t="s">
        <v>1352</v>
      </c>
      <c r="E382" t="s">
        <v>1373</v>
      </c>
      <c r="F382" t="s">
        <v>1374</v>
      </c>
      <c r="H382" s="7">
        <v>1999</v>
      </c>
      <c r="I382" s="7">
        <v>9999</v>
      </c>
      <c r="J382" s="7" t="str">
        <f t="shared" si="17"/>
        <v>&gt;₹500</v>
      </c>
      <c r="K382" s="1">
        <v>0.8</v>
      </c>
      <c r="L382" s="1" t="str">
        <f t="shared" si="15"/>
        <v>50% or More</v>
      </c>
      <c r="M382">
        <v>4.3</v>
      </c>
      <c r="N382" s="2">
        <v>27696</v>
      </c>
      <c r="O382" s="5">
        <f t="shared" si="16"/>
        <v>276932304</v>
      </c>
      <c r="P382">
        <f>MAX(Table1[RATING COUNT])</f>
        <v>426973</v>
      </c>
    </row>
    <row r="383" spans="1:16">
      <c r="A383" t="s">
        <v>1988</v>
      </c>
      <c r="B383" t="s">
        <v>376</v>
      </c>
      <c r="D383" t="s">
        <v>1352</v>
      </c>
      <c r="E383" t="s">
        <v>1375</v>
      </c>
      <c r="F383" t="s">
        <v>1378</v>
      </c>
      <c r="G383" t="s">
        <v>1379</v>
      </c>
      <c r="H383" s="7">
        <v>15490</v>
      </c>
      <c r="I383" s="7">
        <v>20990</v>
      </c>
      <c r="J383" s="7" t="str">
        <f t="shared" si="17"/>
        <v>&gt;₹500</v>
      </c>
      <c r="K383" s="1">
        <v>0.26</v>
      </c>
      <c r="L383" s="1" t="str">
        <f t="shared" si="15"/>
        <v>&lt;50%</v>
      </c>
      <c r="M383">
        <v>4.2</v>
      </c>
      <c r="N383" s="2">
        <v>32916</v>
      </c>
      <c r="O383" s="5">
        <f t="shared" si="16"/>
        <v>690906840</v>
      </c>
      <c r="P383">
        <f>MAX(Table1[RATING COUNT])</f>
        <v>426973</v>
      </c>
    </row>
    <row r="384" spans="1:16">
      <c r="A384" t="s">
        <v>1989</v>
      </c>
      <c r="B384" t="s">
        <v>377</v>
      </c>
      <c r="D384" t="s">
        <v>1352</v>
      </c>
      <c r="E384" t="s">
        <v>1375</v>
      </c>
      <c r="F384" t="s">
        <v>1378</v>
      </c>
      <c r="G384" t="s">
        <v>1379</v>
      </c>
      <c r="H384" s="7">
        <v>19999</v>
      </c>
      <c r="I384" s="7">
        <v>24999</v>
      </c>
      <c r="J384" s="7" t="str">
        <f t="shared" si="17"/>
        <v>&gt;₹500</v>
      </c>
      <c r="K384" s="1">
        <v>0.2</v>
      </c>
      <c r="L384" s="1" t="str">
        <f t="shared" si="15"/>
        <v>&lt;50%</v>
      </c>
      <c r="M384">
        <v>3.9</v>
      </c>
      <c r="N384" s="2">
        <v>25824</v>
      </c>
      <c r="O384" s="5">
        <f t="shared" si="16"/>
        <v>645574176</v>
      </c>
      <c r="P384">
        <f>MAX(Table1[RATING COUNT])</f>
        <v>426973</v>
      </c>
    </row>
    <row r="385" spans="1:16">
      <c r="A385" t="s">
        <v>1990</v>
      </c>
      <c r="B385" t="s">
        <v>378</v>
      </c>
      <c r="D385" t="s">
        <v>1352</v>
      </c>
      <c r="E385" t="s">
        <v>1375</v>
      </c>
      <c r="F385" t="s">
        <v>1376</v>
      </c>
      <c r="G385" t="s">
        <v>1377</v>
      </c>
      <c r="H385" s="7">
        <v>1075</v>
      </c>
      <c r="I385" s="7">
        <v>1699</v>
      </c>
      <c r="J385" s="7" t="str">
        <f t="shared" si="17"/>
        <v>&gt;₹500</v>
      </c>
      <c r="K385" s="1">
        <v>0.37</v>
      </c>
      <c r="L385" s="1" t="str">
        <f t="shared" si="15"/>
        <v>&lt;50%</v>
      </c>
      <c r="M385">
        <v>4.4000000000000004</v>
      </c>
      <c r="N385" s="2">
        <v>7462</v>
      </c>
      <c r="O385" s="5">
        <f t="shared" si="16"/>
        <v>12677938</v>
      </c>
      <c r="P385">
        <f>MAX(Table1[RATING COUNT])</f>
        <v>426973</v>
      </c>
    </row>
    <row r="386" spans="1:16">
      <c r="A386" t="s">
        <v>1991</v>
      </c>
      <c r="B386" t="s">
        <v>379</v>
      </c>
      <c r="D386" t="s">
        <v>1352</v>
      </c>
      <c r="E386" t="s">
        <v>1383</v>
      </c>
      <c r="F386" t="s">
        <v>1384</v>
      </c>
      <c r="G386" t="s">
        <v>1385</v>
      </c>
      <c r="H386" s="7">
        <v>399</v>
      </c>
      <c r="I386" s="7">
        <v>699</v>
      </c>
      <c r="J386" s="7" t="str">
        <f t="shared" si="17"/>
        <v>&gt;₹500</v>
      </c>
      <c r="K386" s="1">
        <v>0.43</v>
      </c>
      <c r="L386" s="1" t="str">
        <f t="shared" ref="L386:L449" si="18">IF(K386&gt;=50%,"50% or More","&lt;50%")</f>
        <v>&lt;50%</v>
      </c>
      <c r="M386">
        <v>4</v>
      </c>
      <c r="N386" s="2">
        <v>37817</v>
      </c>
      <c r="O386" s="5">
        <f t="shared" ref="O386:O449" si="19">I386*N386</f>
        <v>26434083</v>
      </c>
      <c r="P386">
        <f>MAX(Table1[RATING COUNT])</f>
        <v>426973</v>
      </c>
    </row>
    <row r="387" spans="1:16">
      <c r="A387" t="s">
        <v>1992</v>
      </c>
      <c r="B387" t="s">
        <v>380</v>
      </c>
      <c r="D387" t="s">
        <v>1352</v>
      </c>
      <c r="E387" t="s">
        <v>1373</v>
      </c>
      <c r="F387" t="s">
        <v>1374</v>
      </c>
      <c r="H387" s="7">
        <v>1999</v>
      </c>
      <c r="I387" s="7">
        <v>3990</v>
      </c>
      <c r="J387" s="7" t="str">
        <f t="shared" ref="J387:J450" si="20">IF(I387&lt;200, "&lt;₹200", IF(I387&lt;=500, "₹200–₹500", "&gt;₹500"))</f>
        <v>&gt;₹500</v>
      </c>
      <c r="K387" s="1">
        <v>0.5</v>
      </c>
      <c r="L387" s="1" t="str">
        <f t="shared" si="18"/>
        <v>50% or More</v>
      </c>
      <c r="M387">
        <v>4</v>
      </c>
      <c r="N387" s="2">
        <v>30254</v>
      </c>
      <c r="O387" s="5">
        <f t="shared" si="19"/>
        <v>120713460</v>
      </c>
      <c r="P387">
        <f>MAX(Table1[RATING COUNT])</f>
        <v>426973</v>
      </c>
    </row>
    <row r="388" spans="1:16">
      <c r="A388" t="s">
        <v>1993</v>
      </c>
      <c r="B388" t="s">
        <v>381</v>
      </c>
      <c r="D388" t="s">
        <v>1352</v>
      </c>
      <c r="E388" t="s">
        <v>1373</v>
      </c>
      <c r="F388" t="s">
        <v>1374</v>
      </c>
      <c r="H388" s="7">
        <v>1999</v>
      </c>
      <c r="I388" s="7">
        <v>7990</v>
      </c>
      <c r="J388" s="7" t="str">
        <f t="shared" si="20"/>
        <v>&gt;₹500</v>
      </c>
      <c r="K388" s="1">
        <v>0.75</v>
      </c>
      <c r="L388" s="1" t="str">
        <f t="shared" si="18"/>
        <v>50% or More</v>
      </c>
      <c r="M388">
        <v>3.8</v>
      </c>
      <c r="N388" s="2">
        <v>17831</v>
      </c>
      <c r="O388" s="5">
        <f t="shared" si="19"/>
        <v>142469690</v>
      </c>
      <c r="P388">
        <f>MAX(Table1[RATING COUNT])</f>
        <v>426973</v>
      </c>
    </row>
    <row r="389" spans="1:16">
      <c r="A389" t="s">
        <v>1994</v>
      </c>
      <c r="B389" t="s">
        <v>3</v>
      </c>
      <c r="D389" t="s">
        <v>1345</v>
      </c>
      <c r="E389" t="s">
        <v>1346</v>
      </c>
      <c r="F389" t="s">
        <v>1347</v>
      </c>
      <c r="G389" t="s">
        <v>1348</v>
      </c>
      <c r="H389" s="7">
        <v>329</v>
      </c>
      <c r="I389" s="7">
        <v>699</v>
      </c>
      <c r="J389" s="7" t="str">
        <f t="shared" si="20"/>
        <v>&gt;₹500</v>
      </c>
      <c r="K389" s="1">
        <v>0.53</v>
      </c>
      <c r="L389" s="1" t="str">
        <f t="shared" si="18"/>
        <v>50% or More</v>
      </c>
      <c r="M389">
        <v>4.2</v>
      </c>
      <c r="N389" s="2">
        <v>94364</v>
      </c>
      <c r="O389" s="5">
        <f t="shared" si="19"/>
        <v>65960436</v>
      </c>
      <c r="P389">
        <f>MAX(Table1[RATING COUNT])</f>
        <v>426973</v>
      </c>
    </row>
    <row r="390" spans="1:16">
      <c r="A390" t="s">
        <v>1995</v>
      </c>
      <c r="B390" t="s">
        <v>382</v>
      </c>
      <c r="D390" t="s">
        <v>1352</v>
      </c>
      <c r="E390" t="s">
        <v>1375</v>
      </c>
      <c r="F390" t="s">
        <v>1378</v>
      </c>
      <c r="G390" t="s">
        <v>1379</v>
      </c>
      <c r="H390" s="7">
        <v>28999</v>
      </c>
      <c r="I390" s="7">
        <v>34999</v>
      </c>
      <c r="J390" s="7" t="str">
        <f t="shared" si="20"/>
        <v>&gt;₹500</v>
      </c>
      <c r="K390" s="1">
        <v>0.17</v>
      </c>
      <c r="L390" s="1" t="str">
        <f t="shared" si="18"/>
        <v>&lt;50%</v>
      </c>
      <c r="M390">
        <v>4.4000000000000004</v>
      </c>
      <c r="N390" s="2">
        <v>20311</v>
      </c>
      <c r="O390" s="5">
        <f t="shared" si="19"/>
        <v>710864689</v>
      </c>
      <c r="P390">
        <f>MAX(Table1[RATING COUNT])</f>
        <v>426973</v>
      </c>
    </row>
    <row r="391" spans="1:16">
      <c r="A391" t="s">
        <v>1996</v>
      </c>
      <c r="B391" t="s">
        <v>383</v>
      </c>
      <c r="D391" t="s">
        <v>1352</v>
      </c>
      <c r="E391" t="s">
        <v>1373</v>
      </c>
      <c r="F391" t="s">
        <v>1374</v>
      </c>
      <c r="H391" s="7">
        <v>2299</v>
      </c>
      <c r="I391" s="7">
        <v>7990</v>
      </c>
      <c r="J391" s="7" t="str">
        <f t="shared" si="20"/>
        <v>&gt;₹500</v>
      </c>
      <c r="K391" s="1">
        <v>0.71</v>
      </c>
      <c r="L391" s="1" t="str">
        <f t="shared" si="18"/>
        <v>50% or More</v>
      </c>
      <c r="M391">
        <v>4.2</v>
      </c>
      <c r="N391" s="2">
        <v>69622</v>
      </c>
      <c r="O391" s="5">
        <f t="shared" si="19"/>
        <v>556279780</v>
      </c>
      <c r="P391">
        <f>MAX(Table1[RATING COUNT])</f>
        <v>426973</v>
      </c>
    </row>
    <row r="392" spans="1:16">
      <c r="A392" t="s">
        <v>1997</v>
      </c>
      <c r="B392" t="s">
        <v>384</v>
      </c>
      <c r="D392" t="s">
        <v>1352</v>
      </c>
      <c r="E392" t="s">
        <v>1375</v>
      </c>
      <c r="F392" t="s">
        <v>1376</v>
      </c>
      <c r="G392" t="s">
        <v>1388</v>
      </c>
      <c r="H392" s="7">
        <v>399</v>
      </c>
      <c r="I392" s="7">
        <v>1999</v>
      </c>
      <c r="J392" s="7" t="str">
        <f t="shared" si="20"/>
        <v>&gt;₹500</v>
      </c>
      <c r="K392" s="1">
        <v>0.8</v>
      </c>
      <c r="L392" s="1" t="str">
        <f t="shared" si="18"/>
        <v>50% or More</v>
      </c>
      <c r="M392">
        <v>4</v>
      </c>
      <c r="N392" s="2">
        <v>3382</v>
      </c>
      <c r="O392" s="5">
        <f t="shared" si="19"/>
        <v>6760618</v>
      </c>
      <c r="P392">
        <f>MAX(Table1[RATING COUNT])</f>
        <v>426973</v>
      </c>
    </row>
    <row r="393" spans="1:16">
      <c r="A393" t="s">
        <v>1998</v>
      </c>
      <c r="B393" t="s">
        <v>385</v>
      </c>
      <c r="D393" t="s">
        <v>1352</v>
      </c>
      <c r="E393" t="s">
        <v>1354</v>
      </c>
      <c r="F393" t="s">
        <v>1380</v>
      </c>
      <c r="G393" t="s">
        <v>1381</v>
      </c>
      <c r="H393" s="7">
        <v>1149</v>
      </c>
      <c r="I393" s="7">
        <v>3999</v>
      </c>
      <c r="J393" s="7" t="str">
        <f t="shared" si="20"/>
        <v>&gt;₹500</v>
      </c>
      <c r="K393" s="1">
        <v>0.71</v>
      </c>
      <c r="L393" s="1" t="str">
        <f t="shared" si="18"/>
        <v>50% or More</v>
      </c>
      <c r="M393">
        <v>4.3</v>
      </c>
      <c r="N393" s="2">
        <v>140036</v>
      </c>
      <c r="O393" s="5">
        <f t="shared" si="19"/>
        <v>560003964</v>
      </c>
      <c r="P393">
        <f>MAX(Table1[RATING COUNT])</f>
        <v>426973</v>
      </c>
    </row>
    <row r="394" spans="1:16">
      <c r="A394" t="s">
        <v>1613</v>
      </c>
      <c r="B394" t="s">
        <v>386</v>
      </c>
      <c r="D394" t="s">
        <v>1352</v>
      </c>
      <c r="E394" t="s">
        <v>1375</v>
      </c>
      <c r="F394" t="s">
        <v>1376</v>
      </c>
      <c r="G394" t="s">
        <v>1377</v>
      </c>
      <c r="H394" s="7">
        <v>529</v>
      </c>
      <c r="I394" s="7">
        <v>1499</v>
      </c>
      <c r="J394" s="7" t="str">
        <f t="shared" si="20"/>
        <v>&gt;₹500</v>
      </c>
      <c r="K394" s="1">
        <v>0.65</v>
      </c>
      <c r="L394" s="1" t="str">
        <f t="shared" si="18"/>
        <v>50% or More</v>
      </c>
      <c r="M394">
        <v>4.0999999999999996</v>
      </c>
      <c r="N394" s="2">
        <v>8599</v>
      </c>
      <c r="O394" s="5">
        <f t="shared" si="19"/>
        <v>12889901</v>
      </c>
      <c r="P394">
        <f>MAX(Table1[RATING COUNT])</f>
        <v>426973</v>
      </c>
    </row>
    <row r="395" spans="1:16">
      <c r="A395" t="s">
        <v>1614</v>
      </c>
      <c r="B395" t="s">
        <v>387</v>
      </c>
      <c r="D395" t="s">
        <v>1352</v>
      </c>
      <c r="E395" t="s">
        <v>1375</v>
      </c>
      <c r="F395" t="s">
        <v>1378</v>
      </c>
      <c r="G395" t="s">
        <v>1379</v>
      </c>
      <c r="H395" s="7">
        <v>13999</v>
      </c>
      <c r="I395" s="7">
        <v>19499</v>
      </c>
      <c r="J395" s="7" t="str">
        <f t="shared" si="20"/>
        <v>&gt;₹500</v>
      </c>
      <c r="K395" s="1">
        <v>0.28000000000000003</v>
      </c>
      <c r="L395" s="1" t="str">
        <f t="shared" si="18"/>
        <v>&lt;50%</v>
      </c>
      <c r="M395">
        <v>4.0999999999999996</v>
      </c>
      <c r="N395" s="2">
        <v>18998</v>
      </c>
      <c r="O395" s="5">
        <f t="shared" si="19"/>
        <v>370442002</v>
      </c>
      <c r="P395">
        <f>MAX(Table1[RATING COUNT])</f>
        <v>426973</v>
      </c>
    </row>
    <row r="396" spans="1:16">
      <c r="A396" t="s">
        <v>1999</v>
      </c>
      <c r="B396" t="s">
        <v>388</v>
      </c>
      <c r="D396" t="s">
        <v>1352</v>
      </c>
      <c r="E396" t="s">
        <v>1383</v>
      </c>
      <c r="F396" t="s">
        <v>1384</v>
      </c>
      <c r="G396" t="s">
        <v>1385</v>
      </c>
      <c r="H396" s="7">
        <v>379</v>
      </c>
      <c r="I396" s="7">
        <v>999</v>
      </c>
      <c r="J396" s="7" t="str">
        <f t="shared" si="20"/>
        <v>&gt;₹500</v>
      </c>
      <c r="K396" s="1">
        <v>0.62</v>
      </c>
      <c r="L396" s="1" t="str">
        <f t="shared" si="18"/>
        <v>50% or More</v>
      </c>
      <c r="M396">
        <v>4.0999999999999996</v>
      </c>
      <c r="N396" s="2">
        <v>363713</v>
      </c>
      <c r="O396" s="5">
        <f t="shared" si="19"/>
        <v>363349287</v>
      </c>
      <c r="P396">
        <f>MAX(Table1[RATING COUNT])</f>
        <v>426973</v>
      </c>
    </row>
    <row r="397" spans="1:16">
      <c r="A397" t="s">
        <v>2000</v>
      </c>
      <c r="B397" t="s">
        <v>389</v>
      </c>
      <c r="D397" t="s">
        <v>1352</v>
      </c>
      <c r="E397" t="s">
        <v>1375</v>
      </c>
      <c r="F397" t="s">
        <v>1378</v>
      </c>
      <c r="G397" t="s">
        <v>1379</v>
      </c>
      <c r="H397" s="7">
        <v>13999</v>
      </c>
      <c r="I397" s="7">
        <v>19999</v>
      </c>
      <c r="J397" s="7" t="str">
        <f t="shared" si="20"/>
        <v>&gt;₹500</v>
      </c>
      <c r="K397" s="1">
        <v>0.3</v>
      </c>
      <c r="L397" s="1" t="str">
        <f t="shared" si="18"/>
        <v>&lt;50%</v>
      </c>
      <c r="M397">
        <v>4.0999999999999996</v>
      </c>
      <c r="N397" s="2">
        <v>19252</v>
      </c>
      <c r="O397" s="5">
        <f t="shared" si="19"/>
        <v>385020748</v>
      </c>
      <c r="P397">
        <f>MAX(Table1[RATING COUNT])</f>
        <v>426973</v>
      </c>
    </row>
    <row r="398" spans="1:16">
      <c r="A398" t="s">
        <v>2001</v>
      </c>
      <c r="B398" t="s">
        <v>390</v>
      </c>
      <c r="D398" t="s">
        <v>1352</v>
      </c>
      <c r="E398" t="s">
        <v>1373</v>
      </c>
      <c r="F398" t="s">
        <v>1374</v>
      </c>
      <c r="H398" s="7">
        <v>3999</v>
      </c>
      <c r="I398" s="7">
        <v>9999</v>
      </c>
      <c r="J398" s="7" t="str">
        <f t="shared" si="20"/>
        <v>&gt;₹500</v>
      </c>
      <c r="K398" s="1">
        <v>0.6</v>
      </c>
      <c r="L398" s="1" t="str">
        <f t="shared" si="18"/>
        <v>50% or More</v>
      </c>
      <c r="M398">
        <v>4.4000000000000004</v>
      </c>
      <c r="N398" s="2">
        <v>73</v>
      </c>
      <c r="O398" s="5">
        <f t="shared" si="19"/>
        <v>729927</v>
      </c>
      <c r="P398">
        <f>MAX(Table1[RATING COUNT])</f>
        <v>426973</v>
      </c>
    </row>
    <row r="399" spans="1:16">
      <c r="A399" t="s">
        <v>2002</v>
      </c>
      <c r="B399" t="s">
        <v>5</v>
      </c>
      <c r="D399" t="s">
        <v>1345</v>
      </c>
      <c r="E399" t="s">
        <v>1346</v>
      </c>
      <c r="F399" t="s">
        <v>1347</v>
      </c>
      <c r="G399" t="s">
        <v>1348</v>
      </c>
      <c r="H399" s="7">
        <v>149</v>
      </c>
      <c r="I399" s="7">
        <v>1000</v>
      </c>
      <c r="J399" s="7" t="str">
        <f t="shared" si="20"/>
        <v>&gt;₹500</v>
      </c>
      <c r="K399" s="1">
        <v>0.85</v>
      </c>
      <c r="L399" s="1" t="str">
        <f t="shared" si="18"/>
        <v>50% or More</v>
      </c>
      <c r="M399">
        <v>3.9</v>
      </c>
      <c r="N399" s="2">
        <v>24870</v>
      </c>
      <c r="O399" s="5">
        <f t="shared" si="19"/>
        <v>24870000</v>
      </c>
      <c r="P399">
        <f>MAX(Table1[RATING COUNT])</f>
        <v>426973</v>
      </c>
    </row>
    <row r="400" spans="1:16">
      <c r="A400" t="s">
        <v>2003</v>
      </c>
      <c r="B400" t="s">
        <v>391</v>
      </c>
      <c r="D400" t="s">
        <v>1352</v>
      </c>
      <c r="E400" t="s">
        <v>1375</v>
      </c>
      <c r="F400" t="s">
        <v>1376</v>
      </c>
      <c r="G400" t="s">
        <v>1389</v>
      </c>
      <c r="H400" s="7">
        <v>99</v>
      </c>
      <c r="I400" s="7">
        <v>499</v>
      </c>
      <c r="J400" s="7" t="str">
        <f t="shared" si="20"/>
        <v>₹200–₹500</v>
      </c>
      <c r="K400" s="1">
        <v>0.8</v>
      </c>
      <c r="L400" s="1" t="str">
        <f t="shared" si="18"/>
        <v>50% or More</v>
      </c>
      <c r="M400">
        <v>4.3</v>
      </c>
      <c r="N400" s="2">
        <v>42641</v>
      </c>
      <c r="O400" s="5">
        <f t="shared" si="19"/>
        <v>21277859</v>
      </c>
      <c r="P400">
        <f>MAX(Table1[RATING COUNT])</f>
        <v>426973</v>
      </c>
    </row>
    <row r="401" spans="1:16">
      <c r="A401" t="s">
        <v>2004</v>
      </c>
      <c r="B401" t="s">
        <v>392</v>
      </c>
      <c r="D401" t="s">
        <v>1352</v>
      </c>
      <c r="E401" t="s">
        <v>1383</v>
      </c>
      <c r="F401" t="s">
        <v>1384</v>
      </c>
      <c r="G401" t="s">
        <v>1385</v>
      </c>
      <c r="H401" s="7">
        <v>4790</v>
      </c>
      <c r="I401" s="7">
        <v>15990</v>
      </c>
      <c r="J401" s="7" t="str">
        <f t="shared" si="20"/>
        <v>&gt;₹500</v>
      </c>
      <c r="K401" s="1">
        <v>0.7</v>
      </c>
      <c r="L401" s="1" t="str">
        <f t="shared" si="18"/>
        <v>50% or More</v>
      </c>
      <c r="M401">
        <v>4</v>
      </c>
      <c r="N401" s="2">
        <v>4390</v>
      </c>
      <c r="O401" s="5">
        <f t="shared" si="19"/>
        <v>70196100</v>
      </c>
      <c r="P401">
        <f>MAX(Table1[RATING COUNT])</f>
        <v>426973</v>
      </c>
    </row>
    <row r="402" spans="1:16">
      <c r="A402" t="s">
        <v>2005</v>
      </c>
      <c r="B402" t="s">
        <v>393</v>
      </c>
      <c r="D402" t="s">
        <v>1352</v>
      </c>
      <c r="E402" t="s">
        <v>1375</v>
      </c>
      <c r="F402" t="s">
        <v>1378</v>
      </c>
      <c r="G402" t="s">
        <v>1379</v>
      </c>
      <c r="H402" s="7">
        <v>33999</v>
      </c>
      <c r="I402" s="7">
        <v>33999</v>
      </c>
      <c r="J402" s="7" t="str">
        <f t="shared" si="20"/>
        <v>&gt;₹500</v>
      </c>
      <c r="K402" s="1">
        <v>0</v>
      </c>
      <c r="L402" s="1" t="str">
        <f t="shared" si="18"/>
        <v>&lt;50%</v>
      </c>
      <c r="M402">
        <v>4.3</v>
      </c>
      <c r="N402" s="2">
        <v>17415</v>
      </c>
      <c r="O402" s="5">
        <f t="shared" si="19"/>
        <v>592092585</v>
      </c>
      <c r="P402">
        <f>MAX(Table1[RATING COUNT])</f>
        <v>426973</v>
      </c>
    </row>
    <row r="403" spans="1:16">
      <c r="A403" t="s">
        <v>2006</v>
      </c>
      <c r="B403" t="s">
        <v>394</v>
      </c>
      <c r="D403" t="s">
        <v>1345</v>
      </c>
      <c r="E403" t="s">
        <v>1346</v>
      </c>
      <c r="F403" t="s">
        <v>1347</v>
      </c>
      <c r="G403" t="s">
        <v>1390</v>
      </c>
      <c r="H403" s="7">
        <v>99</v>
      </c>
      <c r="I403" s="7">
        <v>999</v>
      </c>
      <c r="J403" s="7" t="str">
        <f t="shared" si="20"/>
        <v>&gt;₹500</v>
      </c>
      <c r="K403" s="1">
        <v>0.9</v>
      </c>
      <c r="L403" s="1" t="str">
        <f t="shared" si="18"/>
        <v>50% or More</v>
      </c>
      <c r="M403">
        <v>4</v>
      </c>
      <c r="N403" s="2">
        <v>1396</v>
      </c>
      <c r="O403" s="5">
        <f t="shared" si="19"/>
        <v>1394604</v>
      </c>
      <c r="P403">
        <f>MAX(Table1[RATING COUNT])</f>
        <v>426973</v>
      </c>
    </row>
    <row r="404" spans="1:16">
      <c r="A404" t="s">
        <v>2007</v>
      </c>
      <c r="B404" t="s">
        <v>395</v>
      </c>
      <c r="D404" t="s">
        <v>1352</v>
      </c>
      <c r="E404" t="s">
        <v>1383</v>
      </c>
      <c r="F404" t="s">
        <v>1384</v>
      </c>
      <c r="G404" t="s">
        <v>1385</v>
      </c>
      <c r="H404" s="7">
        <v>299</v>
      </c>
      <c r="I404" s="7">
        <v>1900</v>
      </c>
      <c r="J404" s="7" t="str">
        <f t="shared" si="20"/>
        <v>&gt;₹500</v>
      </c>
      <c r="K404" s="1">
        <v>0.84</v>
      </c>
      <c r="L404" s="1" t="str">
        <f t="shared" si="18"/>
        <v>50% or More</v>
      </c>
      <c r="M404">
        <v>3.6</v>
      </c>
      <c r="N404" s="2">
        <v>18202</v>
      </c>
      <c r="O404" s="5">
        <f t="shared" si="19"/>
        <v>34583800</v>
      </c>
      <c r="P404">
        <f>MAX(Table1[RATING COUNT])</f>
        <v>426973</v>
      </c>
    </row>
    <row r="405" spans="1:16">
      <c r="A405" t="s">
        <v>1615</v>
      </c>
      <c r="B405" t="s">
        <v>396</v>
      </c>
      <c r="D405" t="s">
        <v>1352</v>
      </c>
      <c r="E405" t="s">
        <v>1375</v>
      </c>
      <c r="F405" t="s">
        <v>1378</v>
      </c>
      <c r="G405" t="s">
        <v>1379</v>
      </c>
      <c r="H405" s="7">
        <v>10999</v>
      </c>
      <c r="I405" s="7">
        <v>14999</v>
      </c>
      <c r="J405" s="7" t="str">
        <f t="shared" si="20"/>
        <v>&gt;₹500</v>
      </c>
      <c r="K405" s="1">
        <v>0.27</v>
      </c>
      <c r="L405" s="1" t="str">
        <f t="shared" si="18"/>
        <v>&lt;50%</v>
      </c>
      <c r="M405">
        <v>4.0999999999999996</v>
      </c>
      <c r="N405" s="2">
        <v>18998</v>
      </c>
      <c r="O405" s="5">
        <f t="shared" si="19"/>
        <v>284951002</v>
      </c>
      <c r="P405">
        <f>MAX(Table1[RATING COUNT])</f>
        <v>426973</v>
      </c>
    </row>
    <row r="406" spans="1:16">
      <c r="A406" t="s">
        <v>2008</v>
      </c>
      <c r="B406" t="s">
        <v>397</v>
      </c>
      <c r="D406" t="s">
        <v>1352</v>
      </c>
      <c r="E406" t="s">
        <v>1375</v>
      </c>
      <c r="F406" t="s">
        <v>1378</v>
      </c>
      <c r="G406" t="s">
        <v>1379</v>
      </c>
      <c r="H406" s="7">
        <v>34999</v>
      </c>
      <c r="I406" s="7">
        <v>38999</v>
      </c>
      <c r="J406" s="7" t="str">
        <f t="shared" si="20"/>
        <v>&gt;₹500</v>
      </c>
      <c r="K406" s="1">
        <v>0.1</v>
      </c>
      <c r="L406" s="1" t="str">
        <f t="shared" si="18"/>
        <v>&lt;50%</v>
      </c>
      <c r="M406">
        <v>4.2</v>
      </c>
      <c r="N406" s="2">
        <v>11029</v>
      </c>
      <c r="O406" s="5">
        <f t="shared" si="19"/>
        <v>430119971</v>
      </c>
      <c r="P406">
        <f>MAX(Table1[RATING COUNT])</f>
        <v>426973</v>
      </c>
    </row>
    <row r="407" spans="1:16">
      <c r="A407" t="s">
        <v>2009</v>
      </c>
      <c r="B407" t="s">
        <v>398</v>
      </c>
      <c r="D407" t="s">
        <v>1352</v>
      </c>
      <c r="E407" t="s">
        <v>1375</v>
      </c>
      <c r="F407" t="s">
        <v>1376</v>
      </c>
      <c r="G407" t="s">
        <v>1389</v>
      </c>
      <c r="H407" s="7">
        <v>199</v>
      </c>
      <c r="I407" s="7">
        <v>499</v>
      </c>
      <c r="J407" s="7" t="str">
        <f t="shared" si="20"/>
        <v>₹200–₹500</v>
      </c>
      <c r="K407" s="1">
        <v>0.6</v>
      </c>
      <c r="L407" s="1" t="str">
        <f t="shared" si="18"/>
        <v>50% or More</v>
      </c>
      <c r="M407">
        <v>4.0999999999999996</v>
      </c>
      <c r="N407" s="2">
        <v>1786</v>
      </c>
      <c r="O407" s="5">
        <f t="shared" si="19"/>
        <v>891214</v>
      </c>
      <c r="P407">
        <f>MAX(Table1[RATING COUNT])</f>
        <v>426973</v>
      </c>
    </row>
    <row r="408" spans="1:16">
      <c r="A408" t="s">
        <v>2010</v>
      </c>
      <c r="B408" t="s">
        <v>399</v>
      </c>
      <c r="D408" t="s">
        <v>1352</v>
      </c>
      <c r="E408" t="s">
        <v>1375</v>
      </c>
      <c r="F408" t="s">
        <v>1376</v>
      </c>
      <c r="G408" t="s">
        <v>1377</v>
      </c>
      <c r="H408" s="7">
        <v>999</v>
      </c>
      <c r="I408" s="7">
        <v>1599</v>
      </c>
      <c r="J408" s="7" t="str">
        <f t="shared" si="20"/>
        <v>&gt;₹500</v>
      </c>
      <c r="K408" s="1">
        <v>0.38</v>
      </c>
      <c r="L408" s="1" t="str">
        <f t="shared" si="18"/>
        <v>&lt;50%</v>
      </c>
      <c r="M408">
        <v>4</v>
      </c>
      <c r="N408" s="2">
        <v>7222</v>
      </c>
      <c r="O408" s="5">
        <f t="shared" si="19"/>
        <v>11547978</v>
      </c>
      <c r="P408">
        <f>MAX(Table1[RATING COUNT])</f>
        <v>426973</v>
      </c>
    </row>
    <row r="409" spans="1:16">
      <c r="A409" t="s">
        <v>2011</v>
      </c>
      <c r="B409" t="s">
        <v>400</v>
      </c>
      <c r="D409" t="s">
        <v>1352</v>
      </c>
      <c r="E409" t="s">
        <v>1375</v>
      </c>
      <c r="F409" t="s">
        <v>1378</v>
      </c>
      <c r="G409" t="s">
        <v>1382</v>
      </c>
      <c r="H409" s="7">
        <v>1299</v>
      </c>
      <c r="I409" s="7">
        <v>1599</v>
      </c>
      <c r="J409" s="7" t="str">
        <f t="shared" si="20"/>
        <v>&gt;₹500</v>
      </c>
      <c r="K409" s="1">
        <v>0.19</v>
      </c>
      <c r="L409" s="1" t="str">
        <f t="shared" si="18"/>
        <v>&lt;50%</v>
      </c>
      <c r="M409">
        <v>4</v>
      </c>
      <c r="N409" s="2">
        <v>128311</v>
      </c>
      <c r="O409" s="5">
        <f t="shared" si="19"/>
        <v>205169289</v>
      </c>
      <c r="P409">
        <f>MAX(Table1[RATING COUNT])</f>
        <v>426973</v>
      </c>
    </row>
    <row r="410" spans="1:16">
      <c r="A410" t="s">
        <v>2012</v>
      </c>
      <c r="B410" t="s">
        <v>401</v>
      </c>
      <c r="D410" t="s">
        <v>1352</v>
      </c>
      <c r="E410" t="s">
        <v>1383</v>
      </c>
      <c r="F410" t="s">
        <v>1384</v>
      </c>
      <c r="G410" t="s">
        <v>1385</v>
      </c>
      <c r="H410" s="7">
        <v>599</v>
      </c>
      <c r="I410" s="7">
        <v>1800</v>
      </c>
      <c r="J410" s="7" t="str">
        <f t="shared" si="20"/>
        <v>&gt;₹500</v>
      </c>
      <c r="K410" s="1">
        <v>0.67</v>
      </c>
      <c r="L410" s="1" t="str">
        <f t="shared" si="18"/>
        <v>50% or More</v>
      </c>
      <c r="M410">
        <v>3.5</v>
      </c>
      <c r="N410" s="2">
        <v>83996</v>
      </c>
      <c r="O410" s="5">
        <f t="shared" si="19"/>
        <v>151192800</v>
      </c>
      <c r="P410">
        <f>MAX(Table1[RATING COUNT])</f>
        <v>426973</v>
      </c>
    </row>
    <row r="411" spans="1:16">
      <c r="A411" t="s">
        <v>2013</v>
      </c>
      <c r="B411" t="s">
        <v>402</v>
      </c>
      <c r="D411" t="s">
        <v>1352</v>
      </c>
      <c r="E411" t="s">
        <v>1354</v>
      </c>
      <c r="F411" t="s">
        <v>1380</v>
      </c>
      <c r="G411" t="s">
        <v>1381</v>
      </c>
      <c r="H411" s="7">
        <v>599</v>
      </c>
      <c r="I411" s="7">
        <v>1899</v>
      </c>
      <c r="J411" s="7" t="str">
        <f t="shared" si="20"/>
        <v>&gt;₹500</v>
      </c>
      <c r="K411" s="1">
        <v>0.68</v>
      </c>
      <c r="L411" s="1" t="str">
        <f t="shared" si="18"/>
        <v>50% or More</v>
      </c>
      <c r="M411">
        <v>4.3</v>
      </c>
      <c r="N411" s="2">
        <v>140036</v>
      </c>
      <c r="O411" s="5">
        <f t="shared" si="19"/>
        <v>265928364</v>
      </c>
      <c r="P411">
        <f>MAX(Table1[RATING COUNT])</f>
        <v>426973</v>
      </c>
    </row>
    <row r="412" spans="1:16">
      <c r="A412" t="s">
        <v>2014</v>
      </c>
      <c r="B412" t="s">
        <v>403</v>
      </c>
      <c r="D412" t="s">
        <v>1352</v>
      </c>
      <c r="E412" t="s">
        <v>1375</v>
      </c>
      <c r="F412" t="s">
        <v>1376</v>
      </c>
      <c r="G412" t="s">
        <v>1377</v>
      </c>
      <c r="H412" s="7">
        <v>1799</v>
      </c>
      <c r="I412" s="7">
        <v>2499</v>
      </c>
      <c r="J412" s="7" t="str">
        <f t="shared" si="20"/>
        <v>&gt;₹500</v>
      </c>
      <c r="K412" s="1">
        <v>0.28000000000000003</v>
      </c>
      <c r="L412" s="1" t="str">
        <f t="shared" si="18"/>
        <v>&lt;50%</v>
      </c>
      <c r="M412">
        <v>4.0999999999999996</v>
      </c>
      <c r="N412" s="2">
        <v>18678</v>
      </c>
      <c r="O412" s="5">
        <f t="shared" si="19"/>
        <v>46676322</v>
      </c>
      <c r="P412">
        <f>MAX(Table1[RATING COUNT])</f>
        <v>426973</v>
      </c>
    </row>
    <row r="413" spans="1:16">
      <c r="A413" t="s">
        <v>2015</v>
      </c>
      <c r="B413" t="s">
        <v>6</v>
      </c>
      <c r="D413" t="s">
        <v>1345</v>
      </c>
      <c r="E413" t="s">
        <v>1346</v>
      </c>
      <c r="F413" t="s">
        <v>1347</v>
      </c>
      <c r="G413" t="s">
        <v>1348</v>
      </c>
      <c r="H413" s="7">
        <v>176.63</v>
      </c>
      <c r="I413" s="7">
        <v>499</v>
      </c>
      <c r="J413" s="7" t="str">
        <f t="shared" si="20"/>
        <v>₹200–₹500</v>
      </c>
      <c r="K413" s="1">
        <v>0.65</v>
      </c>
      <c r="L413" s="1" t="str">
        <f t="shared" si="18"/>
        <v>50% or More</v>
      </c>
      <c r="M413">
        <v>4.0999999999999996</v>
      </c>
      <c r="N413" s="2">
        <v>15189</v>
      </c>
      <c r="O413" s="5">
        <f t="shared" si="19"/>
        <v>7579311</v>
      </c>
      <c r="P413">
        <f>MAX(Table1[RATING COUNT])</f>
        <v>426973</v>
      </c>
    </row>
    <row r="414" spans="1:16">
      <c r="A414" t="s">
        <v>2016</v>
      </c>
      <c r="B414" t="s">
        <v>404</v>
      </c>
      <c r="D414" t="s">
        <v>1352</v>
      </c>
      <c r="E414" t="s">
        <v>1375</v>
      </c>
      <c r="F414" t="s">
        <v>1378</v>
      </c>
      <c r="G414" t="s">
        <v>1379</v>
      </c>
      <c r="H414" s="7">
        <v>10999</v>
      </c>
      <c r="I414" s="7">
        <v>14999</v>
      </c>
      <c r="J414" s="7" t="str">
        <f t="shared" si="20"/>
        <v>&gt;₹500</v>
      </c>
      <c r="K414" s="1">
        <v>0.27</v>
      </c>
      <c r="L414" s="1" t="str">
        <f t="shared" si="18"/>
        <v>&lt;50%</v>
      </c>
      <c r="M414">
        <v>4.0999999999999996</v>
      </c>
      <c r="N414" s="2">
        <v>18998</v>
      </c>
      <c r="O414" s="5">
        <f t="shared" si="19"/>
        <v>284951002</v>
      </c>
      <c r="P414">
        <f>MAX(Table1[RATING COUNT])</f>
        <v>426973</v>
      </c>
    </row>
    <row r="415" spans="1:16">
      <c r="A415" t="s">
        <v>2017</v>
      </c>
      <c r="B415" t="s">
        <v>405</v>
      </c>
      <c r="D415" t="s">
        <v>1352</v>
      </c>
      <c r="E415" t="s">
        <v>1373</v>
      </c>
      <c r="F415" t="s">
        <v>1374</v>
      </c>
      <c r="H415" s="7">
        <v>2999</v>
      </c>
      <c r="I415" s="7">
        <v>7990</v>
      </c>
      <c r="J415" s="7" t="str">
        <f t="shared" si="20"/>
        <v>&gt;₹500</v>
      </c>
      <c r="K415" s="1">
        <v>0.62</v>
      </c>
      <c r="L415" s="1" t="str">
        <f t="shared" si="18"/>
        <v>50% or More</v>
      </c>
      <c r="M415">
        <v>4.0999999999999996</v>
      </c>
      <c r="N415" s="2">
        <v>48449</v>
      </c>
      <c r="O415" s="5">
        <f t="shared" si="19"/>
        <v>387107510</v>
      </c>
      <c r="P415">
        <f>MAX(Table1[RATING COUNT])</f>
        <v>426973</v>
      </c>
    </row>
    <row r="416" spans="1:16">
      <c r="A416" t="s">
        <v>2018</v>
      </c>
      <c r="B416" t="s">
        <v>406</v>
      </c>
      <c r="D416" t="s">
        <v>1352</v>
      </c>
      <c r="E416" t="s">
        <v>1373</v>
      </c>
      <c r="F416" t="s">
        <v>1374</v>
      </c>
      <c r="H416" s="7">
        <v>1999</v>
      </c>
      <c r="I416" s="7">
        <v>7990</v>
      </c>
      <c r="J416" s="7" t="str">
        <f t="shared" si="20"/>
        <v>&gt;₹500</v>
      </c>
      <c r="K416" s="1">
        <v>0.75</v>
      </c>
      <c r="L416" s="1" t="str">
        <f t="shared" si="18"/>
        <v>50% or More</v>
      </c>
      <c r="M416">
        <v>3.8</v>
      </c>
      <c r="N416" s="2">
        <v>17831</v>
      </c>
      <c r="O416" s="5">
        <f t="shared" si="19"/>
        <v>142469690</v>
      </c>
      <c r="P416">
        <f>MAX(Table1[RATING COUNT])</f>
        <v>426973</v>
      </c>
    </row>
    <row r="417" spans="1:16">
      <c r="A417" t="s">
        <v>2019</v>
      </c>
      <c r="B417" t="s">
        <v>407</v>
      </c>
      <c r="D417" t="s">
        <v>1352</v>
      </c>
      <c r="E417" t="s">
        <v>1375</v>
      </c>
      <c r="F417" t="s">
        <v>1376</v>
      </c>
      <c r="G417" t="s">
        <v>1377</v>
      </c>
      <c r="H417" s="7">
        <v>649</v>
      </c>
      <c r="I417" s="7">
        <v>999</v>
      </c>
      <c r="J417" s="7" t="str">
        <f t="shared" si="20"/>
        <v>&gt;₹500</v>
      </c>
      <c r="K417" s="1">
        <v>0.35</v>
      </c>
      <c r="L417" s="1" t="str">
        <f t="shared" si="18"/>
        <v>&lt;50%</v>
      </c>
      <c r="M417">
        <v>4.2</v>
      </c>
      <c r="N417" s="2">
        <v>1315</v>
      </c>
      <c r="O417" s="5">
        <f t="shared" si="19"/>
        <v>1313685</v>
      </c>
      <c r="P417">
        <f>MAX(Table1[RATING COUNT])</f>
        <v>426973</v>
      </c>
    </row>
    <row r="418" spans="1:16">
      <c r="A418" t="s">
        <v>2020</v>
      </c>
      <c r="B418" t="s">
        <v>408</v>
      </c>
      <c r="D418" t="s">
        <v>1352</v>
      </c>
      <c r="E418" t="s">
        <v>1375</v>
      </c>
      <c r="F418" t="s">
        <v>1376</v>
      </c>
      <c r="G418" t="s">
        <v>1391</v>
      </c>
      <c r="H418" s="7">
        <v>119</v>
      </c>
      <c r="I418" s="7">
        <v>299</v>
      </c>
      <c r="J418" s="7" t="str">
        <f t="shared" si="20"/>
        <v>₹200–₹500</v>
      </c>
      <c r="K418" s="1">
        <v>0.6</v>
      </c>
      <c r="L418" s="1" t="str">
        <f t="shared" si="18"/>
        <v>50% or More</v>
      </c>
      <c r="M418">
        <v>4.0999999999999996</v>
      </c>
      <c r="N418" s="2">
        <v>5999</v>
      </c>
      <c r="O418" s="5">
        <f t="shared" si="19"/>
        <v>1793701</v>
      </c>
      <c r="P418">
        <f>MAX(Table1[RATING COUNT])</f>
        <v>426973</v>
      </c>
    </row>
    <row r="419" spans="1:16">
      <c r="A419" t="s">
        <v>2021</v>
      </c>
      <c r="B419" t="s">
        <v>409</v>
      </c>
      <c r="D419" t="s">
        <v>1352</v>
      </c>
      <c r="E419" t="s">
        <v>1375</v>
      </c>
      <c r="F419" t="s">
        <v>1378</v>
      </c>
      <c r="G419" t="s">
        <v>1379</v>
      </c>
      <c r="H419" s="7">
        <v>12999</v>
      </c>
      <c r="I419" s="7">
        <v>17999</v>
      </c>
      <c r="J419" s="7" t="str">
        <f t="shared" si="20"/>
        <v>&gt;₹500</v>
      </c>
      <c r="K419" s="1">
        <v>0.28000000000000003</v>
      </c>
      <c r="L419" s="1" t="str">
        <f t="shared" si="18"/>
        <v>&lt;50%</v>
      </c>
      <c r="M419">
        <v>4.0999999999999996</v>
      </c>
      <c r="N419" s="2">
        <v>50772</v>
      </c>
      <c r="O419" s="5">
        <f t="shared" si="19"/>
        <v>913845228</v>
      </c>
      <c r="P419">
        <f>MAX(Table1[RATING COUNT])</f>
        <v>426973</v>
      </c>
    </row>
    <row r="420" spans="1:16">
      <c r="A420" t="s">
        <v>1616</v>
      </c>
      <c r="B420" t="s">
        <v>410</v>
      </c>
      <c r="D420" t="s">
        <v>1352</v>
      </c>
      <c r="E420" t="s">
        <v>1375</v>
      </c>
      <c r="F420" t="s">
        <v>1378</v>
      </c>
      <c r="G420" t="s">
        <v>1379</v>
      </c>
      <c r="H420" s="7">
        <v>20999</v>
      </c>
      <c r="I420" s="7">
        <v>26999</v>
      </c>
      <c r="J420" s="7" t="str">
        <f t="shared" si="20"/>
        <v>&gt;₹500</v>
      </c>
      <c r="K420" s="1">
        <v>0.22</v>
      </c>
      <c r="L420" s="1" t="str">
        <f t="shared" si="18"/>
        <v>&lt;50%</v>
      </c>
      <c r="M420">
        <v>3.9</v>
      </c>
      <c r="N420" s="2">
        <v>25824</v>
      </c>
      <c r="O420" s="5">
        <f t="shared" si="19"/>
        <v>697222176</v>
      </c>
      <c r="P420">
        <f>MAX(Table1[RATING COUNT])</f>
        <v>426973</v>
      </c>
    </row>
    <row r="421" spans="1:16">
      <c r="A421" t="s">
        <v>2022</v>
      </c>
      <c r="B421" t="s">
        <v>411</v>
      </c>
      <c r="D421" t="s">
        <v>1352</v>
      </c>
      <c r="E421" t="s">
        <v>1375</v>
      </c>
      <c r="F421" t="s">
        <v>1376</v>
      </c>
      <c r="G421" t="s">
        <v>1377</v>
      </c>
      <c r="H421" s="7">
        <v>249</v>
      </c>
      <c r="I421" s="7">
        <v>649</v>
      </c>
      <c r="J421" s="7" t="str">
        <f t="shared" si="20"/>
        <v>&gt;₹500</v>
      </c>
      <c r="K421" s="1">
        <v>0.62</v>
      </c>
      <c r="L421" s="1" t="str">
        <f t="shared" si="18"/>
        <v>50% or More</v>
      </c>
      <c r="M421">
        <v>4</v>
      </c>
      <c r="N421" s="2">
        <v>14404</v>
      </c>
      <c r="O421" s="5">
        <f t="shared" si="19"/>
        <v>9348196</v>
      </c>
      <c r="P421">
        <f>MAX(Table1[RATING COUNT])</f>
        <v>426973</v>
      </c>
    </row>
    <row r="422" spans="1:16">
      <c r="A422" t="s">
        <v>2023</v>
      </c>
      <c r="B422" t="s">
        <v>412</v>
      </c>
      <c r="D422" t="s">
        <v>1352</v>
      </c>
      <c r="E422" t="s">
        <v>1375</v>
      </c>
      <c r="F422" t="s">
        <v>1376</v>
      </c>
      <c r="G422" t="s">
        <v>1377</v>
      </c>
      <c r="H422" s="7">
        <v>99</v>
      </c>
      <c r="I422" s="7">
        <v>171</v>
      </c>
      <c r="J422" s="7" t="str">
        <f t="shared" si="20"/>
        <v>&lt;₹200</v>
      </c>
      <c r="K422" s="1">
        <v>0.42</v>
      </c>
      <c r="L422" s="1" t="str">
        <f t="shared" si="18"/>
        <v>&lt;50%</v>
      </c>
      <c r="M422">
        <v>4.5</v>
      </c>
      <c r="N422" s="2">
        <v>11339</v>
      </c>
      <c r="O422" s="5">
        <f t="shared" si="19"/>
        <v>1938969</v>
      </c>
      <c r="P422">
        <f>MAX(Table1[RATING COUNT])</f>
        <v>426973</v>
      </c>
    </row>
    <row r="423" spans="1:16">
      <c r="A423" t="s">
        <v>2024</v>
      </c>
      <c r="B423" t="s">
        <v>413</v>
      </c>
      <c r="D423" t="s">
        <v>1352</v>
      </c>
      <c r="E423" t="s">
        <v>1375</v>
      </c>
      <c r="F423" t="s">
        <v>1376</v>
      </c>
      <c r="G423" t="s">
        <v>1386</v>
      </c>
      <c r="H423" s="7">
        <v>489</v>
      </c>
      <c r="I423" s="7">
        <v>1999</v>
      </c>
      <c r="J423" s="7" t="str">
        <f t="shared" si="20"/>
        <v>&gt;₹500</v>
      </c>
      <c r="K423" s="1">
        <v>0.76</v>
      </c>
      <c r="L423" s="1" t="str">
        <f t="shared" si="18"/>
        <v>50% or More</v>
      </c>
      <c r="M423">
        <v>4</v>
      </c>
      <c r="N423" s="2">
        <v>3626</v>
      </c>
      <c r="O423" s="5">
        <f t="shared" si="19"/>
        <v>7248374</v>
      </c>
      <c r="P423">
        <f>MAX(Table1[RATING COUNT])</f>
        <v>426973</v>
      </c>
    </row>
    <row r="424" spans="1:16">
      <c r="A424" t="s">
        <v>1617</v>
      </c>
      <c r="B424" t="s">
        <v>414</v>
      </c>
      <c r="D424" t="s">
        <v>1352</v>
      </c>
      <c r="E424" t="s">
        <v>1354</v>
      </c>
      <c r="F424" t="s">
        <v>1380</v>
      </c>
      <c r="G424" t="s">
        <v>1381</v>
      </c>
      <c r="H424" s="7">
        <v>369</v>
      </c>
      <c r="I424" s="7">
        <v>1600</v>
      </c>
      <c r="J424" s="7" t="str">
        <f t="shared" si="20"/>
        <v>&gt;₹500</v>
      </c>
      <c r="K424" s="1">
        <v>0.77</v>
      </c>
      <c r="L424" s="1" t="str">
        <f t="shared" si="18"/>
        <v>50% or More</v>
      </c>
      <c r="M424">
        <v>4</v>
      </c>
      <c r="N424" s="2">
        <v>32625</v>
      </c>
      <c r="O424" s="5">
        <f t="shared" si="19"/>
        <v>52200000</v>
      </c>
      <c r="P424">
        <f>MAX(Table1[RATING COUNT])</f>
        <v>426973</v>
      </c>
    </row>
    <row r="425" spans="1:16">
      <c r="A425" t="s">
        <v>1619</v>
      </c>
      <c r="B425" t="s">
        <v>415</v>
      </c>
      <c r="D425" t="s">
        <v>1352</v>
      </c>
      <c r="E425" t="s">
        <v>1375</v>
      </c>
      <c r="F425" t="s">
        <v>1378</v>
      </c>
      <c r="G425" t="s">
        <v>1379</v>
      </c>
      <c r="H425" s="7">
        <v>15499</v>
      </c>
      <c r="I425" s="7">
        <v>20999</v>
      </c>
      <c r="J425" s="7" t="str">
        <f t="shared" si="20"/>
        <v>&gt;₹500</v>
      </c>
      <c r="K425" s="1">
        <v>0.26</v>
      </c>
      <c r="L425" s="1" t="str">
        <f t="shared" si="18"/>
        <v>&lt;50%</v>
      </c>
      <c r="M425">
        <v>4.0999999999999996</v>
      </c>
      <c r="N425" s="2">
        <v>19252</v>
      </c>
      <c r="O425" s="5">
        <f t="shared" si="19"/>
        <v>404272748</v>
      </c>
      <c r="P425">
        <f>MAX(Table1[RATING COUNT])</f>
        <v>426973</v>
      </c>
    </row>
    <row r="426" spans="1:16">
      <c r="A426" t="s">
        <v>2025</v>
      </c>
      <c r="B426" t="s">
        <v>416</v>
      </c>
      <c r="D426" t="s">
        <v>1352</v>
      </c>
      <c r="E426" t="s">
        <v>1375</v>
      </c>
      <c r="F426" t="s">
        <v>1378</v>
      </c>
      <c r="G426" t="s">
        <v>1379</v>
      </c>
      <c r="H426" s="7">
        <v>15499</v>
      </c>
      <c r="I426" s="7">
        <v>18999</v>
      </c>
      <c r="J426" s="7" t="str">
        <f t="shared" si="20"/>
        <v>&gt;₹500</v>
      </c>
      <c r="K426" s="1">
        <v>0.18</v>
      </c>
      <c r="L426" s="1" t="str">
        <f t="shared" si="18"/>
        <v>&lt;50%</v>
      </c>
      <c r="M426">
        <v>4.0999999999999996</v>
      </c>
      <c r="N426" s="2">
        <v>19252</v>
      </c>
      <c r="O426" s="5">
        <f t="shared" si="19"/>
        <v>365768748</v>
      </c>
      <c r="P426">
        <f>MAX(Table1[RATING COUNT])</f>
        <v>426973</v>
      </c>
    </row>
    <row r="427" spans="1:16">
      <c r="A427" t="s">
        <v>2026</v>
      </c>
      <c r="B427" t="s">
        <v>417</v>
      </c>
      <c r="D427" t="s">
        <v>1352</v>
      </c>
      <c r="E427" t="s">
        <v>1375</v>
      </c>
      <c r="F427" t="s">
        <v>1378</v>
      </c>
      <c r="G427" t="s">
        <v>1379</v>
      </c>
      <c r="H427" s="7">
        <v>22999</v>
      </c>
      <c r="I427" s="7">
        <v>28999</v>
      </c>
      <c r="J427" s="7" t="str">
        <f t="shared" si="20"/>
        <v>&gt;₹500</v>
      </c>
      <c r="K427" s="1">
        <v>0.21</v>
      </c>
      <c r="L427" s="1" t="str">
        <f t="shared" si="18"/>
        <v>&lt;50%</v>
      </c>
      <c r="M427">
        <v>3.9</v>
      </c>
      <c r="N427" s="2">
        <v>25824</v>
      </c>
      <c r="O427" s="5">
        <f t="shared" si="19"/>
        <v>748870176</v>
      </c>
      <c r="P427">
        <f>MAX(Table1[RATING COUNT])</f>
        <v>426973</v>
      </c>
    </row>
    <row r="428" spans="1:16">
      <c r="A428" t="s">
        <v>2027</v>
      </c>
      <c r="B428" t="s">
        <v>418</v>
      </c>
      <c r="D428" t="s">
        <v>1352</v>
      </c>
      <c r="E428" t="s">
        <v>1383</v>
      </c>
      <c r="F428" t="s">
        <v>1384</v>
      </c>
      <c r="G428" t="s">
        <v>1385</v>
      </c>
      <c r="H428" s="7">
        <v>599</v>
      </c>
      <c r="I428" s="7">
        <v>1490</v>
      </c>
      <c r="J428" s="7" t="str">
        <f t="shared" si="20"/>
        <v>&gt;₹500</v>
      </c>
      <c r="K428" s="1">
        <v>0.6</v>
      </c>
      <c r="L428" s="1" t="str">
        <f t="shared" si="18"/>
        <v>50% or More</v>
      </c>
      <c r="M428">
        <v>4.0999999999999996</v>
      </c>
      <c r="N428" s="2">
        <v>161679</v>
      </c>
      <c r="O428" s="5">
        <f t="shared" si="19"/>
        <v>240901710</v>
      </c>
      <c r="P428">
        <f>MAX(Table1[RATING COUNT])</f>
        <v>426973</v>
      </c>
    </row>
    <row r="429" spans="1:16">
      <c r="A429" t="s">
        <v>2028</v>
      </c>
      <c r="B429" t="s">
        <v>419</v>
      </c>
      <c r="D429" t="s">
        <v>1352</v>
      </c>
      <c r="E429" t="s">
        <v>1375</v>
      </c>
      <c r="F429" t="s">
        <v>1376</v>
      </c>
      <c r="G429" t="s">
        <v>1389</v>
      </c>
      <c r="H429" s="7">
        <v>134</v>
      </c>
      <c r="I429" s="7">
        <v>699</v>
      </c>
      <c r="J429" s="7" t="str">
        <f t="shared" si="20"/>
        <v>&gt;₹500</v>
      </c>
      <c r="K429" s="1">
        <v>0.81</v>
      </c>
      <c r="L429" s="1" t="str">
        <f t="shared" si="18"/>
        <v>50% or More</v>
      </c>
      <c r="M429">
        <v>4.0999999999999996</v>
      </c>
      <c r="N429" s="2">
        <v>16685</v>
      </c>
      <c r="O429" s="5">
        <f t="shared" si="19"/>
        <v>11662815</v>
      </c>
      <c r="P429">
        <f>MAX(Table1[RATING COUNT])</f>
        <v>426973</v>
      </c>
    </row>
    <row r="430" spans="1:16">
      <c r="A430" t="s">
        <v>1620</v>
      </c>
      <c r="B430" t="s">
        <v>420</v>
      </c>
      <c r="D430" t="s">
        <v>1352</v>
      </c>
      <c r="E430" t="s">
        <v>1375</v>
      </c>
      <c r="F430" t="s">
        <v>1378</v>
      </c>
      <c r="G430" t="s">
        <v>1379</v>
      </c>
      <c r="H430" s="7">
        <v>7499</v>
      </c>
      <c r="I430" s="7">
        <v>7999</v>
      </c>
      <c r="J430" s="7" t="str">
        <f t="shared" si="20"/>
        <v>&gt;₹500</v>
      </c>
      <c r="K430" s="1">
        <v>0.06</v>
      </c>
      <c r="L430" s="1" t="str">
        <f t="shared" si="18"/>
        <v>&lt;50%</v>
      </c>
      <c r="M430">
        <v>4</v>
      </c>
      <c r="N430" s="2">
        <v>30907</v>
      </c>
      <c r="O430" s="5">
        <f t="shared" si="19"/>
        <v>247225093</v>
      </c>
      <c r="P430">
        <f>MAX(Table1[RATING COUNT])</f>
        <v>426973</v>
      </c>
    </row>
    <row r="431" spans="1:16">
      <c r="A431" t="s">
        <v>2029</v>
      </c>
      <c r="B431" t="s">
        <v>421</v>
      </c>
      <c r="D431" t="s">
        <v>1352</v>
      </c>
      <c r="E431" t="s">
        <v>1375</v>
      </c>
      <c r="F431" t="s">
        <v>1376</v>
      </c>
      <c r="G431" t="s">
        <v>1377</v>
      </c>
      <c r="H431" s="7">
        <v>1149</v>
      </c>
      <c r="I431" s="7">
        <v>2199</v>
      </c>
      <c r="J431" s="7" t="str">
        <f t="shared" si="20"/>
        <v>&gt;₹500</v>
      </c>
      <c r="K431" s="1">
        <v>0.48</v>
      </c>
      <c r="L431" s="1" t="str">
        <f t="shared" si="18"/>
        <v>&lt;50%</v>
      </c>
      <c r="M431">
        <v>4.3</v>
      </c>
      <c r="N431" s="2">
        <v>178912</v>
      </c>
      <c r="O431" s="5">
        <f t="shared" si="19"/>
        <v>393427488</v>
      </c>
      <c r="P431">
        <f>MAX(Table1[RATING COUNT])</f>
        <v>426973</v>
      </c>
    </row>
    <row r="432" spans="1:16">
      <c r="A432" t="s">
        <v>2030</v>
      </c>
      <c r="B432" t="s">
        <v>422</v>
      </c>
      <c r="D432" t="s">
        <v>1352</v>
      </c>
      <c r="E432" t="s">
        <v>1375</v>
      </c>
      <c r="F432" t="s">
        <v>1378</v>
      </c>
      <c r="G432" t="s">
        <v>1382</v>
      </c>
      <c r="H432" s="7">
        <v>1324</v>
      </c>
      <c r="I432" s="7">
        <v>1699</v>
      </c>
      <c r="J432" s="7" t="str">
        <f t="shared" si="20"/>
        <v>&gt;₹500</v>
      </c>
      <c r="K432" s="1">
        <v>0.22</v>
      </c>
      <c r="L432" s="1" t="str">
        <f t="shared" si="18"/>
        <v>&lt;50%</v>
      </c>
      <c r="M432">
        <v>4</v>
      </c>
      <c r="N432" s="2">
        <v>128311</v>
      </c>
      <c r="O432" s="5">
        <f t="shared" si="19"/>
        <v>218000389</v>
      </c>
      <c r="P432">
        <f>MAX(Table1[RATING COUNT])</f>
        <v>426973</v>
      </c>
    </row>
    <row r="433" spans="1:16">
      <c r="A433" t="s">
        <v>2031</v>
      </c>
      <c r="B433" t="s">
        <v>423</v>
      </c>
      <c r="D433" t="s">
        <v>1352</v>
      </c>
      <c r="E433" t="s">
        <v>1375</v>
      </c>
      <c r="F433" t="s">
        <v>1378</v>
      </c>
      <c r="G433" t="s">
        <v>1379</v>
      </c>
      <c r="H433" s="7">
        <v>13999</v>
      </c>
      <c r="I433" s="7">
        <v>19999</v>
      </c>
      <c r="J433" s="7" t="str">
        <f t="shared" si="20"/>
        <v>&gt;₹500</v>
      </c>
      <c r="K433" s="1">
        <v>0.3</v>
      </c>
      <c r="L433" s="1" t="str">
        <f t="shared" si="18"/>
        <v>&lt;50%</v>
      </c>
      <c r="M433">
        <v>4.0999999999999996</v>
      </c>
      <c r="N433" s="2">
        <v>19252</v>
      </c>
      <c r="O433" s="5">
        <f t="shared" si="19"/>
        <v>385020748</v>
      </c>
      <c r="P433">
        <f>MAX(Table1[RATING COUNT])</f>
        <v>426973</v>
      </c>
    </row>
    <row r="434" spans="1:16">
      <c r="A434" t="s">
        <v>2032</v>
      </c>
      <c r="B434" t="s">
        <v>11</v>
      </c>
      <c r="D434" t="s">
        <v>1345</v>
      </c>
      <c r="E434" t="s">
        <v>1346</v>
      </c>
      <c r="F434" t="s">
        <v>1347</v>
      </c>
      <c r="G434" t="s">
        <v>1348</v>
      </c>
      <c r="H434" s="7">
        <v>299</v>
      </c>
      <c r="I434" s="7">
        <v>799</v>
      </c>
      <c r="J434" s="7" t="str">
        <f t="shared" si="20"/>
        <v>&gt;₹500</v>
      </c>
      <c r="K434" s="1">
        <v>0.63</v>
      </c>
      <c r="L434" s="1" t="str">
        <f t="shared" si="18"/>
        <v>50% or More</v>
      </c>
      <c r="M434">
        <v>4.2</v>
      </c>
      <c r="N434" s="2">
        <v>94364</v>
      </c>
      <c r="O434" s="5">
        <f t="shared" si="19"/>
        <v>75396836</v>
      </c>
      <c r="P434">
        <f>MAX(Table1[RATING COUNT])</f>
        <v>426973</v>
      </c>
    </row>
    <row r="435" spans="1:16">
      <c r="A435" t="s">
        <v>2033</v>
      </c>
      <c r="B435" t="s">
        <v>424</v>
      </c>
      <c r="D435" t="s">
        <v>1352</v>
      </c>
      <c r="E435" t="s">
        <v>1375</v>
      </c>
      <c r="F435" t="s">
        <v>1376</v>
      </c>
      <c r="G435" t="s">
        <v>1377</v>
      </c>
      <c r="H435" s="7">
        <v>999</v>
      </c>
      <c r="I435" s="7">
        <v>1599</v>
      </c>
      <c r="J435" s="7" t="str">
        <f t="shared" si="20"/>
        <v>&gt;₹500</v>
      </c>
      <c r="K435" s="1">
        <v>0.38</v>
      </c>
      <c r="L435" s="1" t="str">
        <f t="shared" si="18"/>
        <v>&lt;50%</v>
      </c>
      <c r="M435">
        <v>4</v>
      </c>
      <c r="N435" s="2">
        <v>7222</v>
      </c>
      <c r="O435" s="5">
        <f t="shared" si="19"/>
        <v>11547978</v>
      </c>
      <c r="P435">
        <f>MAX(Table1[RATING COUNT])</f>
        <v>426973</v>
      </c>
    </row>
    <row r="436" spans="1:16">
      <c r="A436" t="s">
        <v>2034</v>
      </c>
      <c r="B436" t="s">
        <v>425</v>
      </c>
      <c r="D436" t="s">
        <v>1352</v>
      </c>
      <c r="E436" t="s">
        <v>1375</v>
      </c>
      <c r="F436" t="s">
        <v>1378</v>
      </c>
      <c r="G436" t="s">
        <v>1379</v>
      </c>
      <c r="H436" s="7">
        <v>12999</v>
      </c>
      <c r="I436" s="7">
        <v>17999</v>
      </c>
      <c r="J436" s="7" t="str">
        <f t="shared" si="20"/>
        <v>&gt;₹500</v>
      </c>
      <c r="K436" s="1">
        <v>0.28000000000000003</v>
      </c>
      <c r="L436" s="1" t="str">
        <f t="shared" si="18"/>
        <v>&lt;50%</v>
      </c>
      <c r="M436">
        <v>4.0999999999999996</v>
      </c>
      <c r="N436" s="2">
        <v>18998</v>
      </c>
      <c r="O436" s="5">
        <f t="shared" si="19"/>
        <v>341945002</v>
      </c>
      <c r="P436">
        <f>MAX(Table1[RATING COUNT])</f>
        <v>426973</v>
      </c>
    </row>
    <row r="437" spans="1:16">
      <c r="A437" t="s">
        <v>2035</v>
      </c>
      <c r="B437" t="s">
        <v>426</v>
      </c>
      <c r="D437" t="s">
        <v>1352</v>
      </c>
      <c r="E437" t="s">
        <v>1375</v>
      </c>
      <c r="F437" t="s">
        <v>1378</v>
      </c>
      <c r="G437" t="s">
        <v>1379</v>
      </c>
      <c r="H437" s="7">
        <v>15490</v>
      </c>
      <c r="I437" s="7">
        <v>20990</v>
      </c>
      <c r="J437" s="7" t="str">
        <f t="shared" si="20"/>
        <v>&gt;₹500</v>
      </c>
      <c r="K437" s="1">
        <v>0.26</v>
      </c>
      <c r="L437" s="1" t="str">
        <f t="shared" si="18"/>
        <v>&lt;50%</v>
      </c>
      <c r="M437">
        <v>4.2</v>
      </c>
      <c r="N437" s="2">
        <v>32916</v>
      </c>
      <c r="O437" s="5">
        <f t="shared" si="19"/>
        <v>690906840</v>
      </c>
      <c r="P437">
        <f>MAX(Table1[RATING COUNT])</f>
        <v>426973</v>
      </c>
    </row>
    <row r="438" spans="1:16">
      <c r="A438" t="s">
        <v>2036</v>
      </c>
      <c r="B438" t="s">
        <v>427</v>
      </c>
      <c r="D438" t="s">
        <v>1352</v>
      </c>
      <c r="E438" t="s">
        <v>1375</v>
      </c>
      <c r="F438" t="s">
        <v>1376</v>
      </c>
      <c r="G438" t="s">
        <v>1392</v>
      </c>
      <c r="H438" s="7">
        <v>999</v>
      </c>
      <c r="I438" s="7">
        <v>2899</v>
      </c>
      <c r="J438" s="7" t="str">
        <f t="shared" si="20"/>
        <v>&gt;₹500</v>
      </c>
      <c r="K438" s="1">
        <v>0.66</v>
      </c>
      <c r="L438" s="1" t="str">
        <f t="shared" si="18"/>
        <v>50% or More</v>
      </c>
      <c r="M438">
        <v>4.5999999999999996</v>
      </c>
      <c r="N438" s="2">
        <v>26603</v>
      </c>
      <c r="O438" s="5">
        <f t="shared" si="19"/>
        <v>77122097</v>
      </c>
      <c r="P438">
        <f>MAX(Table1[RATING COUNT])</f>
        <v>426973</v>
      </c>
    </row>
    <row r="439" spans="1:16">
      <c r="A439" t="s">
        <v>2037</v>
      </c>
      <c r="B439" t="s">
        <v>428</v>
      </c>
      <c r="D439" t="s">
        <v>1352</v>
      </c>
      <c r="E439" t="s">
        <v>1373</v>
      </c>
      <c r="F439" t="s">
        <v>1374</v>
      </c>
      <c r="H439" s="7">
        <v>1599</v>
      </c>
      <c r="I439" s="7">
        <v>4999</v>
      </c>
      <c r="J439" s="7" t="str">
        <f t="shared" si="20"/>
        <v>&gt;₹500</v>
      </c>
      <c r="K439" s="1">
        <v>0.68</v>
      </c>
      <c r="L439" s="1" t="str">
        <f t="shared" si="18"/>
        <v>50% or More</v>
      </c>
      <c r="M439">
        <v>4</v>
      </c>
      <c r="N439" s="2">
        <v>67950</v>
      </c>
      <c r="O439" s="5">
        <f t="shared" si="19"/>
        <v>339682050</v>
      </c>
      <c r="P439">
        <f>MAX(Table1[RATING COUNT])</f>
        <v>426973</v>
      </c>
    </row>
    <row r="440" spans="1:16">
      <c r="A440" t="s">
        <v>2038</v>
      </c>
      <c r="B440" t="s">
        <v>429</v>
      </c>
      <c r="D440" t="s">
        <v>1352</v>
      </c>
      <c r="E440" t="s">
        <v>1375</v>
      </c>
      <c r="F440" t="s">
        <v>1378</v>
      </c>
      <c r="G440" t="s">
        <v>1382</v>
      </c>
      <c r="H440" s="7">
        <v>1324</v>
      </c>
      <c r="I440" s="7">
        <v>1699</v>
      </c>
      <c r="J440" s="7" t="str">
        <f t="shared" si="20"/>
        <v>&gt;₹500</v>
      </c>
      <c r="K440" s="1">
        <v>0.22</v>
      </c>
      <c r="L440" s="1" t="str">
        <f t="shared" si="18"/>
        <v>&lt;50%</v>
      </c>
      <c r="M440">
        <v>4</v>
      </c>
      <c r="N440" s="2">
        <v>128311</v>
      </c>
      <c r="O440" s="5">
        <f t="shared" si="19"/>
        <v>218000389</v>
      </c>
      <c r="P440">
        <f>MAX(Table1[RATING COUNT])</f>
        <v>426973</v>
      </c>
    </row>
    <row r="441" spans="1:16">
      <c r="A441" t="s">
        <v>2039</v>
      </c>
      <c r="B441" t="s">
        <v>430</v>
      </c>
      <c r="D441" t="s">
        <v>1352</v>
      </c>
      <c r="E441" t="s">
        <v>1375</v>
      </c>
      <c r="F441" t="s">
        <v>1378</v>
      </c>
      <c r="G441" t="s">
        <v>1379</v>
      </c>
      <c r="H441" s="7">
        <v>20999</v>
      </c>
      <c r="I441" s="7">
        <v>29990</v>
      </c>
      <c r="J441" s="7" t="str">
        <f t="shared" si="20"/>
        <v>&gt;₹500</v>
      </c>
      <c r="K441" s="1">
        <v>0.3</v>
      </c>
      <c r="L441" s="1" t="str">
        <f t="shared" si="18"/>
        <v>&lt;50%</v>
      </c>
      <c r="M441">
        <v>4.3</v>
      </c>
      <c r="N441" s="2">
        <v>9499</v>
      </c>
      <c r="O441" s="5">
        <f t="shared" si="19"/>
        <v>284875010</v>
      </c>
      <c r="P441">
        <f>MAX(Table1[RATING COUNT])</f>
        <v>426973</v>
      </c>
    </row>
    <row r="442" spans="1:16">
      <c r="A442" t="s">
        <v>2040</v>
      </c>
      <c r="B442" t="s">
        <v>431</v>
      </c>
      <c r="D442" t="s">
        <v>1352</v>
      </c>
      <c r="E442" t="s">
        <v>1375</v>
      </c>
      <c r="F442" t="s">
        <v>1376</v>
      </c>
      <c r="G442" t="s">
        <v>1377</v>
      </c>
      <c r="H442" s="7">
        <v>999</v>
      </c>
      <c r="I442" s="7">
        <v>1999</v>
      </c>
      <c r="J442" s="7" t="str">
        <f t="shared" si="20"/>
        <v>&gt;₹500</v>
      </c>
      <c r="K442" s="1">
        <v>0.5</v>
      </c>
      <c r="L442" s="1" t="str">
        <f t="shared" si="18"/>
        <v>50% or More</v>
      </c>
      <c r="M442">
        <v>4.3</v>
      </c>
      <c r="N442" s="2">
        <v>1777</v>
      </c>
      <c r="O442" s="5">
        <f t="shared" si="19"/>
        <v>3552223</v>
      </c>
      <c r="P442">
        <f>MAX(Table1[RATING COUNT])</f>
        <v>426973</v>
      </c>
    </row>
    <row r="443" spans="1:16">
      <c r="A443" t="s">
        <v>2041</v>
      </c>
      <c r="B443" t="s">
        <v>432</v>
      </c>
      <c r="D443" t="s">
        <v>1352</v>
      </c>
      <c r="E443" t="s">
        <v>1375</v>
      </c>
      <c r="F443" t="s">
        <v>1378</v>
      </c>
      <c r="G443" t="s">
        <v>1379</v>
      </c>
      <c r="H443" s="7">
        <v>12490</v>
      </c>
      <c r="I443" s="7">
        <v>15990</v>
      </c>
      <c r="J443" s="7" t="str">
        <f t="shared" si="20"/>
        <v>&gt;₹500</v>
      </c>
      <c r="K443" s="1">
        <v>0.22</v>
      </c>
      <c r="L443" s="1" t="str">
        <f t="shared" si="18"/>
        <v>&lt;50%</v>
      </c>
      <c r="M443">
        <v>4.2</v>
      </c>
      <c r="N443" s="2">
        <v>58506</v>
      </c>
      <c r="O443" s="5">
        <f t="shared" si="19"/>
        <v>935510940</v>
      </c>
      <c r="P443">
        <f>MAX(Table1[RATING COUNT])</f>
        <v>426973</v>
      </c>
    </row>
    <row r="444" spans="1:16">
      <c r="A444" t="s">
        <v>2042</v>
      </c>
      <c r="B444" t="s">
        <v>433</v>
      </c>
      <c r="D444" t="s">
        <v>1352</v>
      </c>
      <c r="E444" t="s">
        <v>1375</v>
      </c>
      <c r="F444" t="s">
        <v>1378</v>
      </c>
      <c r="G444" t="s">
        <v>1379</v>
      </c>
      <c r="H444" s="7">
        <v>17999</v>
      </c>
      <c r="I444" s="7">
        <v>21990</v>
      </c>
      <c r="J444" s="7" t="str">
        <f t="shared" si="20"/>
        <v>&gt;₹500</v>
      </c>
      <c r="K444" s="1">
        <v>0.18</v>
      </c>
      <c r="L444" s="1" t="str">
        <f t="shared" si="18"/>
        <v>&lt;50%</v>
      </c>
      <c r="M444">
        <v>4</v>
      </c>
      <c r="N444" s="2">
        <v>21350</v>
      </c>
      <c r="O444" s="5">
        <f t="shared" si="19"/>
        <v>469486500</v>
      </c>
      <c r="P444">
        <f>MAX(Table1[RATING COUNT])</f>
        <v>426973</v>
      </c>
    </row>
    <row r="445" spans="1:16">
      <c r="A445" t="s">
        <v>1621</v>
      </c>
      <c r="B445" t="s">
        <v>13</v>
      </c>
      <c r="D445" t="s">
        <v>1345</v>
      </c>
      <c r="E445" t="s">
        <v>1346</v>
      </c>
      <c r="F445" t="s">
        <v>1347</v>
      </c>
      <c r="G445" t="s">
        <v>1348</v>
      </c>
      <c r="H445" s="7">
        <v>350</v>
      </c>
      <c r="I445" s="7">
        <v>899</v>
      </c>
      <c r="J445" s="7" t="str">
        <f t="shared" si="20"/>
        <v>&gt;₹500</v>
      </c>
      <c r="K445" s="1">
        <v>0.61</v>
      </c>
      <c r="L445" s="1" t="str">
        <f t="shared" si="18"/>
        <v>50% or More</v>
      </c>
      <c r="M445">
        <v>4.2</v>
      </c>
      <c r="N445" s="2">
        <v>2263</v>
      </c>
      <c r="O445" s="5">
        <f t="shared" si="19"/>
        <v>2034437</v>
      </c>
      <c r="P445">
        <f>MAX(Table1[RATING COUNT])</f>
        <v>426973</v>
      </c>
    </row>
    <row r="446" spans="1:16">
      <c r="A446" t="s">
        <v>2043</v>
      </c>
      <c r="B446" t="s">
        <v>434</v>
      </c>
      <c r="D446" t="s">
        <v>1352</v>
      </c>
      <c r="E446" t="s">
        <v>1375</v>
      </c>
      <c r="F446" t="s">
        <v>1378</v>
      </c>
      <c r="G446" t="s">
        <v>1382</v>
      </c>
      <c r="H446" s="7">
        <v>1399</v>
      </c>
      <c r="I446" s="7">
        <v>1630</v>
      </c>
      <c r="J446" s="7" t="str">
        <f t="shared" si="20"/>
        <v>&gt;₹500</v>
      </c>
      <c r="K446" s="1">
        <v>0.14000000000000001</v>
      </c>
      <c r="L446" s="1" t="str">
        <f t="shared" si="18"/>
        <v>&lt;50%</v>
      </c>
      <c r="M446">
        <v>4</v>
      </c>
      <c r="N446" s="2">
        <v>9378</v>
      </c>
      <c r="O446" s="5">
        <f t="shared" si="19"/>
        <v>15286140</v>
      </c>
      <c r="P446">
        <f>MAX(Table1[RATING COUNT])</f>
        <v>426973</v>
      </c>
    </row>
    <row r="447" spans="1:16">
      <c r="A447" t="s">
        <v>2044</v>
      </c>
      <c r="B447" t="s">
        <v>435</v>
      </c>
      <c r="D447" t="s">
        <v>1352</v>
      </c>
      <c r="E447" t="s">
        <v>1373</v>
      </c>
      <c r="F447" t="s">
        <v>1374</v>
      </c>
      <c r="H447" s="7">
        <v>1499</v>
      </c>
      <c r="I447" s="7">
        <v>6990</v>
      </c>
      <c r="J447" s="7" t="str">
        <f t="shared" si="20"/>
        <v>&gt;₹500</v>
      </c>
      <c r="K447" s="1">
        <v>0.79</v>
      </c>
      <c r="L447" s="1" t="str">
        <f t="shared" si="18"/>
        <v>50% or More</v>
      </c>
      <c r="M447">
        <v>3.9</v>
      </c>
      <c r="N447" s="2">
        <v>21796</v>
      </c>
      <c r="O447" s="5">
        <f t="shared" si="19"/>
        <v>152354040</v>
      </c>
      <c r="P447">
        <f>MAX(Table1[RATING COUNT])</f>
        <v>426973</v>
      </c>
    </row>
    <row r="448" spans="1:16">
      <c r="A448" t="s">
        <v>2045</v>
      </c>
      <c r="B448" t="s">
        <v>436</v>
      </c>
      <c r="D448" t="s">
        <v>1352</v>
      </c>
      <c r="E448" t="s">
        <v>1373</v>
      </c>
      <c r="F448" t="s">
        <v>1374</v>
      </c>
      <c r="H448" s="7">
        <v>1999</v>
      </c>
      <c r="I448" s="7">
        <v>7990</v>
      </c>
      <c r="J448" s="7" t="str">
        <f t="shared" si="20"/>
        <v>&gt;₹500</v>
      </c>
      <c r="K448" s="1">
        <v>0.75</v>
      </c>
      <c r="L448" s="1" t="str">
        <f t="shared" si="18"/>
        <v>50% or More</v>
      </c>
      <c r="M448">
        <v>3.8</v>
      </c>
      <c r="N448" s="2">
        <v>17833</v>
      </c>
      <c r="O448" s="5">
        <f t="shared" si="19"/>
        <v>142485670</v>
      </c>
      <c r="P448">
        <f>MAX(Table1[RATING COUNT])</f>
        <v>426973</v>
      </c>
    </row>
    <row r="449" spans="1:16">
      <c r="A449" t="s">
        <v>2046</v>
      </c>
      <c r="B449" t="s">
        <v>437</v>
      </c>
      <c r="D449" t="s">
        <v>1352</v>
      </c>
      <c r="E449" t="s">
        <v>1375</v>
      </c>
      <c r="F449" t="s">
        <v>1376</v>
      </c>
      <c r="G449" t="s">
        <v>1392</v>
      </c>
      <c r="H449" s="7">
        <v>999</v>
      </c>
      <c r="I449" s="7">
        <v>2899</v>
      </c>
      <c r="J449" s="7" t="str">
        <f t="shared" si="20"/>
        <v>&gt;₹500</v>
      </c>
      <c r="K449" s="1">
        <v>0.66</v>
      </c>
      <c r="L449" s="1" t="str">
        <f t="shared" si="18"/>
        <v>50% or More</v>
      </c>
      <c r="M449">
        <v>4.7</v>
      </c>
      <c r="N449" s="2">
        <v>7779</v>
      </c>
      <c r="O449" s="5">
        <f t="shared" si="19"/>
        <v>22551321</v>
      </c>
      <c r="P449">
        <f>MAX(Table1[RATING COUNT])</f>
        <v>426973</v>
      </c>
    </row>
    <row r="450" spans="1:16">
      <c r="A450" t="s">
        <v>2047</v>
      </c>
      <c r="B450" t="s">
        <v>438</v>
      </c>
      <c r="D450" t="s">
        <v>1352</v>
      </c>
      <c r="E450" t="s">
        <v>1375</v>
      </c>
      <c r="F450" t="s">
        <v>1376</v>
      </c>
      <c r="G450" t="s">
        <v>1394</v>
      </c>
      <c r="H450" s="7">
        <v>2099</v>
      </c>
      <c r="I450" s="7">
        <v>5999</v>
      </c>
      <c r="J450" s="7" t="str">
        <f t="shared" si="20"/>
        <v>&gt;₹500</v>
      </c>
      <c r="K450" s="1">
        <v>0.65</v>
      </c>
      <c r="L450" s="1" t="str">
        <f t="shared" ref="L450:L513" si="21">IF(K450&gt;=50%,"50% or More","&lt;50%")</f>
        <v>50% or More</v>
      </c>
      <c r="M450">
        <v>4.3</v>
      </c>
      <c r="N450" s="2">
        <v>17129</v>
      </c>
      <c r="O450" s="5">
        <f t="shared" ref="O450:O513" si="22">I450*N450</f>
        <v>102756871</v>
      </c>
      <c r="P450">
        <f>MAX(Table1[RATING COUNT])</f>
        <v>426973</v>
      </c>
    </row>
    <row r="451" spans="1:16">
      <c r="A451" t="s">
        <v>2048</v>
      </c>
      <c r="B451" t="s">
        <v>439</v>
      </c>
      <c r="D451" t="s">
        <v>1352</v>
      </c>
      <c r="E451" t="s">
        <v>1375</v>
      </c>
      <c r="F451" t="s">
        <v>1376</v>
      </c>
      <c r="G451" t="s">
        <v>1377</v>
      </c>
      <c r="H451" s="7">
        <v>337</v>
      </c>
      <c r="I451" s="7">
        <v>699</v>
      </c>
      <c r="J451" s="7" t="str">
        <f t="shared" ref="J451:J514" si="23">IF(I451&lt;200, "&lt;₹200", IF(I451&lt;=500, "₹200–₹500", "&gt;₹500"))</f>
        <v>&gt;₹500</v>
      </c>
      <c r="K451" s="1">
        <v>0.52</v>
      </c>
      <c r="L451" s="1" t="str">
        <f t="shared" si="21"/>
        <v>50% or More</v>
      </c>
      <c r="M451">
        <v>4.2</v>
      </c>
      <c r="N451" s="2">
        <v>4969</v>
      </c>
      <c r="O451" s="5">
        <f t="shared" si="22"/>
        <v>3473331</v>
      </c>
      <c r="P451">
        <f>MAX(Table1[RATING COUNT])</f>
        <v>426973</v>
      </c>
    </row>
    <row r="452" spans="1:16">
      <c r="A452" t="s">
        <v>2049</v>
      </c>
      <c r="B452" t="s">
        <v>440</v>
      </c>
      <c r="D452" t="s">
        <v>1352</v>
      </c>
      <c r="E452" t="s">
        <v>1373</v>
      </c>
      <c r="F452" t="s">
        <v>1374</v>
      </c>
      <c r="H452" s="7">
        <v>2999</v>
      </c>
      <c r="I452" s="7">
        <v>7990</v>
      </c>
      <c r="J452" s="7" t="str">
        <f t="shared" si="23"/>
        <v>&gt;₹500</v>
      </c>
      <c r="K452" s="1">
        <v>0.62</v>
      </c>
      <c r="L452" s="1" t="str">
        <f t="shared" si="21"/>
        <v>50% or More</v>
      </c>
      <c r="M452">
        <v>4.0999999999999996</v>
      </c>
      <c r="N452" s="2">
        <v>154</v>
      </c>
      <c r="O452" s="5">
        <f t="shared" si="22"/>
        <v>1230460</v>
      </c>
      <c r="P452">
        <f>MAX(Table1[RATING COUNT])</f>
        <v>426973</v>
      </c>
    </row>
    <row r="453" spans="1:16">
      <c r="A453" t="s">
        <v>2050</v>
      </c>
      <c r="B453" t="s">
        <v>441</v>
      </c>
      <c r="D453" t="s">
        <v>1352</v>
      </c>
      <c r="E453" t="s">
        <v>1373</v>
      </c>
      <c r="F453" t="s">
        <v>1374</v>
      </c>
      <c r="H453" s="7">
        <v>1299</v>
      </c>
      <c r="I453" s="7">
        <v>5999</v>
      </c>
      <c r="J453" s="7" t="str">
        <f t="shared" si="23"/>
        <v>&gt;₹500</v>
      </c>
      <c r="K453" s="1">
        <v>0.78</v>
      </c>
      <c r="L453" s="1" t="str">
        <f t="shared" si="21"/>
        <v>50% or More</v>
      </c>
      <c r="M453">
        <v>3.3</v>
      </c>
      <c r="N453" s="2">
        <v>4415</v>
      </c>
      <c r="O453" s="5">
        <f t="shared" si="22"/>
        <v>26485585</v>
      </c>
      <c r="P453">
        <f>MAX(Table1[RATING COUNT])</f>
        <v>426973</v>
      </c>
    </row>
    <row r="454" spans="1:16">
      <c r="A454" t="s">
        <v>2051</v>
      </c>
      <c r="B454" t="s">
        <v>442</v>
      </c>
      <c r="D454" t="s">
        <v>1352</v>
      </c>
      <c r="E454" t="s">
        <v>1375</v>
      </c>
      <c r="F454" t="s">
        <v>1378</v>
      </c>
      <c r="G454" t="s">
        <v>1379</v>
      </c>
      <c r="H454" s="7">
        <v>16499</v>
      </c>
      <c r="I454" s="7">
        <v>20990</v>
      </c>
      <c r="J454" s="7" t="str">
        <f t="shared" si="23"/>
        <v>&gt;₹500</v>
      </c>
      <c r="K454" s="1">
        <v>0.21</v>
      </c>
      <c r="L454" s="1" t="str">
        <f t="shared" si="21"/>
        <v>&lt;50%</v>
      </c>
      <c r="M454">
        <v>4</v>
      </c>
      <c r="N454" s="2">
        <v>21350</v>
      </c>
      <c r="O454" s="5">
        <f t="shared" si="22"/>
        <v>448136500</v>
      </c>
      <c r="P454">
        <f>MAX(Table1[RATING COUNT])</f>
        <v>426973</v>
      </c>
    </row>
    <row r="455" spans="1:16">
      <c r="A455" t="s">
        <v>2052</v>
      </c>
      <c r="B455" t="s">
        <v>443</v>
      </c>
      <c r="D455" t="s">
        <v>1352</v>
      </c>
      <c r="E455" t="s">
        <v>1383</v>
      </c>
      <c r="F455" t="s">
        <v>1384</v>
      </c>
      <c r="G455" t="s">
        <v>1385</v>
      </c>
      <c r="H455" s="7">
        <v>499</v>
      </c>
      <c r="I455" s="7">
        <v>499</v>
      </c>
      <c r="J455" s="7" t="str">
        <f t="shared" si="23"/>
        <v>₹200–₹500</v>
      </c>
      <c r="K455" s="1">
        <v>0</v>
      </c>
      <c r="L455" s="1" t="str">
        <f t="shared" si="21"/>
        <v>&lt;50%</v>
      </c>
      <c r="M455">
        <v>4.2</v>
      </c>
      <c r="N455" s="2">
        <v>31539</v>
      </c>
      <c r="O455" s="5">
        <f t="shared" si="22"/>
        <v>15737961</v>
      </c>
      <c r="P455">
        <f>MAX(Table1[RATING COUNT])</f>
        <v>426973</v>
      </c>
    </row>
    <row r="456" spans="1:16">
      <c r="A456" t="s">
        <v>1623</v>
      </c>
      <c r="B456" t="s">
        <v>444</v>
      </c>
      <c r="D456" t="s">
        <v>1352</v>
      </c>
      <c r="E456" t="s">
        <v>1375</v>
      </c>
      <c r="F456" t="s">
        <v>1376</v>
      </c>
      <c r="G456" t="s">
        <v>1392</v>
      </c>
      <c r="H456" s="7">
        <v>999</v>
      </c>
      <c r="I456" s="7">
        <v>2899</v>
      </c>
      <c r="J456" s="7" t="str">
        <f t="shared" si="23"/>
        <v>&gt;₹500</v>
      </c>
      <c r="K456" s="1">
        <v>0.66</v>
      </c>
      <c r="L456" s="1" t="str">
        <f t="shared" si="21"/>
        <v>50% or More</v>
      </c>
      <c r="M456">
        <v>4.5999999999999996</v>
      </c>
      <c r="N456" s="2">
        <v>6129</v>
      </c>
      <c r="O456" s="5">
        <f t="shared" si="22"/>
        <v>17767971</v>
      </c>
      <c r="P456">
        <f>MAX(Table1[RATING COUNT])</f>
        <v>426973</v>
      </c>
    </row>
    <row r="457" spans="1:16">
      <c r="A457" t="s">
        <v>2053</v>
      </c>
      <c r="B457" t="s">
        <v>445</v>
      </c>
      <c r="D457" t="s">
        <v>1352</v>
      </c>
      <c r="E457" t="s">
        <v>1375</v>
      </c>
      <c r="F457" t="s">
        <v>1378</v>
      </c>
      <c r="G457" t="s">
        <v>1379</v>
      </c>
      <c r="H457" s="7">
        <v>10499</v>
      </c>
      <c r="I457" s="7">
        <v>13499</v>
      </c>
      <c r="J457" s="7" t="str">
        <f t="shared" si="23"/>
        <v>&gt;₹500</v>
      </c>
      <c r="K457" s="1">
        <v>0.22</v>
      </c>
      <c r="L457" s="1" t="str">
        <f t="shared" si="21"/>
        <v>&lt;50%</v>
      </c>
      <c r="M457">
        <v>4.2</v>
      </c>
      <c r="N457" s="2">
        <v>284</v>
      </c>
      <c r="O457" s="5">
        <f t="shared" si="22"/>
        <v>3833716</v>
      </c>
      <c r="P457">
        <f>MAX(Table1[RATING COUNT])</f>
        <v>426973</v>
      </c>
    </row>
    <row r="458" spans="1:16">
      <c r="A458" t="s">
        <v>1624</v>
      </c>
      <c r="B458" t="s">
        <v>446</v>
      </c>
      <c r="D458" t="s">
        <v>1352</v>
      </c>
      <c r="E458" t="s">
        <v>1375</v>
      </c>
      <c r="F458" t="s">
        <v>1376</v>
      </c>
      <c r="G458" t="s">
        <v>1362</v>
      </c>
      <c r="H458" s="7">
        <v>251</v>
      </c>
      <c r="I458" s="7">
        <v>999</v>
      </c>
      <c r="J458" s="7" t="str">
        <f t="shared" si="23"/>
        <v>&gt;₹500</v>
      </c>
      <c r="K458" s="1">
        <v>0.75</v>
      </c>
      <c r="L458" s="1" t="str">
        <f t="shared" si="21"/>
        <v>50% or More</v>
      </c>
      <c r="M458">
        <v>3.7</v>
      </c>
      <c r="N458" s="2">
        <v>3234</v>
      </c>
      <c r="O458" s="5">
        <f t="shared" si="22"/>
        <v>3230766</v>
      </c>
      <c r="P458">
        <f>MAX(Table1[RATING COUNT])</f>
        <v>426973</v>
      </c>
    </row>
    <row r="459" spans="1:16">
      <c r="A459" t="s">
        <v>2054</v>
      </c>
      <c r="B459" t="s">
        <v>447</v>
      </c>
      <c r="D459" t="s">
        <v>1352</v>
      </c>
      <c r="E459" t="s">
        <v>1375</v>
      </c>
      <c r="F459" t="s">
        <v>1378</v>
      </c>
      <c r="G459" t="s">
        <v>1379</v>
      </c>
      <c r="H459" s="7">
        <v>6499</v>
      </c>
      <c r="I459" s="7">
        <v>7999</v>
      </c>
      <c r="J459" s="7" t="str">
        <f t="shared" si="23"/>
        <v>&gt;₹500</v>
      </c>
      <c r="K459" s="1">
        <v>0.19</v>
      </c>
      <c r="L459" s="1" t="str">
        <f t="shared" si="21"/>
        <v>&lt;50%</v>
      </c>
      <c r="M459">
        <v>4.0999999999999996</v>
      </c>
      <c r="N459" s="2">
        <v>313832</v>
      </c>
      <c r="O459" s="5">
        <f t="shared" si="22"/>
        <v>2510342168</v>
      </c>
      <c r="P459">
        <f>MAX(Table1[RATING COUNT])</f>
        <v>426973</v>
      </c>
    </row>
    <row r="460" spans="1:16">
      <c r="A460" t="s">
        <v>2055</v>
      </c>
      <c r="B460" t="s">
        <v>448</v>
      </c>
      <c r="D460" t="s">
        <v>1352</v>
      </c>
      <c r="E460" t="s">
        <v>1373</v>
      </c>
      <c r="F460" t="s">
        <v>1374</v>
      </c>
      <c r="H460" s="7">
        <v>2999</v>
      </c>
      <c r="I460" s="7">
        <v>9999</v>
      </c>
      <c r="J460" s="7" t="str">
        <f t="shared" si="23"/>
        <v>&gt;₹500</v>
      </c>
      <c r="K460" s="1">
        <v>0.7</v>
      </c>
      <c r="L460" s="1" t="str">
        <f t="shared" si="21"/>
        <v>50% or More</v>
      </c>
      <c r="M460">
        <v>4.2</v>
      </c>
      <c r="N460" s="2">
        <v>20879</v>
      </c>
      <c r="O460" s="5">
        <f t="shared" si="22"/>
        <v>208769121</v>
      </c>
      <c r="P460">
        <f>MAX(Table1[RATING COUNT])</f>
        <v>426973</v>
      </c>
    </row>
    <row r="461" spans="1:16">
      <c r="A461" t="s">
        <v>2056</v>
      </c>
      <c r="B461" t="s">
        <v>449</v>
      </c>
      <c r="D461" t="s">
        <v>1352</v>
      </c>
      <c r="E461" t="s">
        <v>1375</v>
      </c>
      <c r="F461" t="s">
        <v>1376</v>
      </c>
      <c r="G461" t="s">
        <v>1395</v>
      </c>
      <c r="H461" s="7">
        <v>279</v>
      </c>
      <c r="I461" s="7">
        <v>1499</v>
      </c>
      <c r="J461" s="7" t="str">
        <f t="shared" si="23"/>
        <v>&gt;₹500</v>
      </c>
      <c r="K461" s="1">
        <v>0.81</v>
      </c>
      <c r="L461" s="1" t="str">
        <f t="shared" si="21"/>
        <v>50% or More</v>
      </c>
      <c r="M461">
        <v>4.2</v>
      </c>
      <c r="N461" s="2">
        <v>2646</v>
      </c>
      <c r="O461" s="5">
        <f t="shared" si="22"/>
        <v>3966354</v>
      </c>
      <c r="P461">
        <f>MAX(Table1[RATING COUNT])</f>
        <v>426973</v>
      </c>
    </row>
    <row r="462" spans="1:16">
      <c r="A462" t="s">
        <v>2057</v>
      </c>
      <c r="B462" t="s">
        <v>450</v>
      </c>
      <c r="D462" t="s">
        <v>1352</v>
      </c>
      <c r="E462" t="s">
        <v>1375</v>
      </c>
      <c r="F462" t="s">
        <v>1376</v>
      </c>
      <c r="G462" t="s">
        <v>1389</v>
      </c>
      <c r="H462" s="7">
        <v>269</v>
      </c>
      <c r="I462" s="7">
        <v>1499</v>
      </c>
      <c r="J462" s="7" t="str">
        <f t="shared" si="23"/>
        <v>&gt;₹500</v>
      </c>
      <c r="K462" s="1">
        <v>0.82</v>
      </c>
      <c r="L462" s="1" t="str">
        <f t="shared" si="21"/>
        <v>50% or More</v>
      </c>
      <c r="M462">
        <v>4.5</v>
      </c>
      <c r="N462" s="2">
        <v>28978</v>
      </c>
      <c r="O462" s="5">
        <f t="shared" si="22"/>
        <v>43438022</v>
      </c>
      <c r="P462">
        <f>MAX(Table1[RATING COUNT])</f>
        <v>426973</v>
      </c>
    </row>
    <row r="463" spans="1:16">
      <c r="A463" t="s">
        <v>2058</v>
      </c>
      <c r="B463" t="s">
        <v>451</v>
      </c>
      <c r="D463" t="s">
        <v>1352</v>
      </c>
      <c r="E463" t="s">
        <v>1375</v>
      </c>
      <c r="F463" t="s">
        <v>1378</v>
      </c>
      <c r="G463" t="s">
        <v>1379</v>
      </c>
      <c r="H463" s="7">
        <v>8999</v>
      </c>
      <c r="I463" s="7">
        <v>13499</v>
      </c>
      <c r="J463" s="7" t="str">
        <f t="shared" si="23"/>
        <v>&gt;₹500</v>
      </c>
      <c r="K463" s="1">
        <v>0.33</v>
      </c>
      <c r="L463" s="1" t="str">
        <f t="shared" si="21"/>
        <v>&lt;50%</v>
      </c>
      <c r="M463">
        <v>3.8</v>
      </c>
      <c r="N463" s="2">
        <v>3145</v>
      </c>
      <c r="O463" s="5">
        <f t="shared" si="22"/>
        <v>42454355</v>
      </c>
      <c r="P463">
        <f>MAX(Table1[RATING COUNT])</f>
        <v>426973</v>
      </c>
    </row>
    <row r="464" spans="1:16">
      <c r="A464" t="s">
        <v>2059</v>
      </c>
      <c r="B464" t="s">
        <v>23</v>
      </c>
      <c r="D464" t="s">
        <v>1345</v>
      </c>
      <c r="E464" t="s">
        <v>1346</v>
      </c>
      <c r="F464" t="s">
        <v>1347</v>
      </c>
      <c r="G464" t="s">
        <v>1348</v>
      </c>
      <c r="H464" s="7">
        <v>59</v>
      </c>
      <c r="I464" s="7">
        <v>199</v>
      </c>
      <c r="J464" s="7" t="str">
        <f t="shared" si="23"/>
        <v>&lt;₹200</v>
      </c>
      <c r="K464" s="1">
        <v>0.7</v>
      </c>
      <c r="L464" s="1" t="str">
        <f t="shared" si="21"/>
        <v>50% or More</v>
      </c>
      <c r="M464">
        <v>4</v>
      </c>
      <c r="N464" s="2">
        <v>9377</v>
      </c>
      <c r="O464" s="5">
        <f t="shared" si="22"/>
        <v>1866023</v>
      </c>
      <c r="P464">
        <f>MAX(Table1[RATING COUNT])</f>
        <v>426973</v>
      </c>
    </row>
    <row r="465" spans="1:16">
      <c r="A465" t="s">
        <v>2060</v>
      </c>
      <c r="B465" t="s">
        <v>452</v>
      </c>
      <c r="D465" t="s">
        <v>1352</v>
      </c>
      <c r="E465" t="s">
        <v>1383</v>
      </c>
      <c r="F465" t="s">
        <v>1384</v>
      </c>
      <c r="G465" t="s">
        <v>1385</v>
      </c>
      <c r="H465" s="7">
        <v>599</v>
      </c>
      <c r="I465" s="7">
        <v>1299</v>
      </c>
      <c r="J465" s="7" t="str">
        <f t="shared" si="23"/>
        <v>&gt;₹500</v>
      </c>
      <c r="K465" s="1">
        <v>0.54</v>
      </c>
      <c r="L465" s="1" t="str">
        <f t="shared" si="21"/>
        <v>50% or More</v>
      </c>
      <c r="M465">
        <v>4.0999999999999996</v>
      </c>
      <c r="N465" s="2">
        <v>192589</v>
      </c>
      <c r="O465" s="5">
        <f t="shared" si="22"/>
        <v>250173111</v>
      </c>
      <c r="P465">
        <f>MAX(Table1[RATING COUNT])</f>
        <v>426973</v>
      </c>
    </row>
    <row r="466" spans="1:16">
      <c r="A466" t="s">
        <v>1625</v>
      </c>
      <c r="B466" t="s">
        <v>453</v>
      </c>
      <c r="D466" t="s">
        <v>1352</v>
      </c>
      <c r="E466" t="s">
        <v>1375</v>
      </c>
      <c r="F466" t="s">
        <v>1376</v>
      </c>
      <c r="G466" t="s">
        <v>1394</v>
      </c>
      <c r="H466" s="7">
        <v>349</v>
      </c>
      <c r="I466" s="7">
        <v>999</v>
      </c>
      <c r="J466" s="7" t="str">
        <f t="shared" si="23"/>
        <v>&gt;₹500</v>
      </c>
      <c r="K466" s="1">
        <v>0.65</v>
      </c>
      <c r="L466" s="1" t="str">
        <f t="shared" si="21"/>
        <v>50% or More</v>
      </c>
      <c r="M466">
        <v>3.8</v>
      </c>
      <c r="N466" s="2">
        <v>16557</v>
      </c>
      <c r="O466" s="5">
        <f t="shared" si="22"/>
        <v>16540443</v>
      </c>
      <c r="P466">
        <f>MAX(Table1[RATING COUNT])</f>
        <v>426973</v>
      </c>
    </row>
    <row r="467" spans="1:16">
      <c r="A467" t="s">
        <v>2061</v>
      </c>
      <c r="B467" t="s">
        <v>454</v>
      </c>
      <c r="D467" t="s">
        <v>1352</v>
      </c>
      <c r="E467" t="s">
        <v>1375</v>
      </c>
      <c r="F467" t="s">
        <v>1376</v>
      </c>
      <c r="G467" t="s">
        <v>1394</v>
      </c>
      <c r="H467" s="7">
        <v>349</v>
      </c>
      <c r="I467" s="7">
        <v>999</v>
      </c>
      <c r="J467" s="7" t="str">
        <f t="shared" si="23"/>
        <v>&gt;₹500</v>
      </c>
      <c r="K467" s="1">
        <v>0.65</v>
      </c>
      <c r="L467" s="1" t="str">
        <f t="shared" si="21"/>
        <v>50% or More</v>
      </c>
      <c r="M467">
        <v>3.8</v>
      </c>
      <c r="N467" s="2">
        <v>16557</v>
      </c>
      <c r="O467" s="5">
        <f t="shared" si="22"/>
        <v>16540443</v>
      </c>
      <c r="P467">
        <f>MAX(Table1[RATING COUNT])</f>
        <v>426973</v>
      </c>
    </row>
    <row r="468" spans="1:16">
      <c r="A468" t="s">
        <v>2062</v>
      </c>
      <c r="B468" t="s">
        <v>455</v>
      </c>
      <c r="D468" t="s">
        <v>1352</v>
      </c>
      <c r="E468" t="s">
        <v>1375</v>
      </c>
      <c r="F468" t="s">
        <v>1376</v>
      </c>
      <c r="G468" t="s">
        <v>1377</v>
      </c>
      <c r="H468" s="7">
        <v>499</v>
      </c>
      <c r="I468" s="7">
        <v>599</v>
      </c>
      <c r="J468" s="7" t="str">
        <f t="shared" si="23"/>
        <v>&gt;₹500</v>
      </c>
      <c r="K468" s="1">
        <v>0.17</v>
      </c>
      <c r="L468" s="1" t="str">
        <f t="shared" si="21"/>
        <v>&lt;50%</v>
      </c>
      <c r="M468">
        <v>4.2</v>
      </c>
      <c r="N468" s="2">
        <v>21916</v>
      </c>
      <c r="O468" s="5">
        <f t="shared" si="22"/>
        <v>13127684</v>
      </c>
      <c r="P468">
        <f>MAX(Table1[RATING COUNT])</f>
        <v>426973</v>
      </c>
    </row>
    <row r="469" spans="1:16">
      <c r="A469" t="s">
        <v>1630</v>
      </c>
      <c r="B469" t="s">
        <v>362</v>
      </c>
      <c r="D469" t="s">
        <v>1352</v>
      </c>
      <c r="E469" t="s">
        <v>1373</v>
      </c>
      <c r="F469" t="s">
        <v>1374</v>
      </c>
      <c r="H469" s="7">
        <v>2199</v>
      </c>
      <c r="I469" s="7">
        <v>9999</v>
      </c>
      <c r="J469" s="7" t="str">
        <f t="shared" si="23"/>
        <v>&gt;₹500</v>
      </c>
      <c r="K469" s="1">
        <v>0.78</v>
      </c>
      <c r="L469" s="1" t="str">
        <f t="shared" si="21"/>
        <v>50% or More</v>
      </c>
      <c r="M469">
        <v>4.2</v>
      </c>
      <c r="N469" s="2">
        <v>29472</v>
      </c>
      <c r="O469" s="5">
        <f t="shared" si="22"/>
        <v>294690528</v>
      </c>
      <c r="P469">
        <f>MAX(Table1[RATING COUNT])</f>
        <v>426973</v>
      </c>
    </row>
    <row r="470" spans="1:16">
      <c r="A470" t="s">
        <v>2063</v>
      </c>
      <c r="B470" t="s">
        <v>456</v>
      </c>
      <c r="D470" t="s">
        <v>1352</v>
      </c>
      <c r="E470" t="s">
        <v>1375</v>
      </c>
      <c r="F470" t="s">
        <v>1376</v>
      </c>
      <c r="G470" t="s">
        <v>1391</v>
      </c>
      <c r="H470" s="7">
        <v>95</v>
      </c>
      <c r="I470" s="7">
        <v>499</v>
      </c>
      <c r="J470" s="7" t="str">
        <f t="shared" si="23"/>
        <v>₹200–₹500</v>
      </c>
      <c r="K470" s="1">
        <v>0.81</v>
      </c>
      <c r="L470" s="1" t="str">
        <f t="shared" si="21"/>
        <v>50% or More</v>
      </c>
      <c r="M470">
        <v>4.2</v>
      </c>
      <c r="N470" s="2">
        <v>1949</v>
      </c>
      <c r="O470" s="5">
        <f t="shared" si="22"/>
        <v>972551</v>
      </c>
      <c r="P470">
        <f>MAX(Table1[RATING COUNT])</f>
        <v>426973</v>
      </c>
    </row>
    <row r="471" spans="1:16">
      <c r="A471" t="s">
        <v>2064</v>
      </c>
      <c r="B471" t="s">
        <v>457</v>
      </c>
      <c r="D471" t="s">
        <v>1345</v>
      </c>
      <c r="E471" t="s">
        <v>1346</v>
      </c>
      <c r="F471" t="s">
        <v>1347</v>
      </c>
      <c r="G471" t="s">
        <v>1348</v>
      </c>
      <c r="H471" s="7">
        <v>139</v>
      </c>
      <c r="I471" s="7">
        <v>249</v>
      </c>
      <c r="J471" s="7" t="str">
        <f t="shared" si="23"/>
        <v>₹200–₹500</v>
      </c>
      <c r="K471" s="1">
        <v>0.44</v>
      </c>
      <c r="L471" s="1" t="str">
        <f t="shared" si="21"/>
        <v>&lt;50%</v>
      </c>
      <c r="M471">
        <v>4</v>
      </c>
      <c r="N471" s="2">
        <v>9377</v>
      </c>
      <c r="O471" s="5">
        <f t="shared" si="22"/>
        <v>2334873</v>
      </c>
      <c r="P471">
        <f>MAX(Table1[RATING COUNT])</f>
        <v>426973</v>
      </c>
    </row>
    <row r="472" spans="1:16">
      <c r="A472" t="s">
        <v>1627</v>
      </c>
      <c r="B472" t="s">
        <v>458</v>
      </c>
      <c r="D472" t="s">
        <v>1352</v>
      </c>
      <c r="E472" t="s">
        <v>1373</v>
      </c>
      <c r="F472" t="s">
        <v>1374</v>
      </c>
      <c r="H472" s="7">
        <v>4499</v>
      </c>
      <c r="I472" s="7">
        <v>7999</v>
      </c>
      <c r="J472" s="7" t="str">
        <f t="shared" si="23"/>
        <v>&gt;₹500</v>
      </c>
      <c r="K472" s="1">
        <v>0.44</v>
      </c>
      <c r="L472" s="1" t="str">
        <f t="shared" si="21"/>
        <v>&lt;50%</v>
      </c>
      <c r="M472">
        <v>3.5</v>
      </c>
      <c r="N472" s="2">
        <v>37</v>
      </c>
      <c r="O472" s="5">
        <f t="shared" si="22"/>
        <v>295963</v>
      </c>
      <c r="P472">
        <f>MAX(Table1[RATING COUNT])</f>
        <v>426973</v>
      </c>
    </row>
    <row r="473" spans="1:16">
      <c r="A473" t="s">
        <v>2065</v>
      </c>
      <c r="B473" t="s">
        <v>459</v>
      </c>
      <c r="D473" t="s">
        <v>1352</v>
      </c>
      <c r="E473" t="s">
        <v>1375</v>
      </c>
      <c r="F473" t="s">
        <v>1376</v>
      </c>
      <c r="G473" t="s">
        <v>1389</v>
      </c>
      <c r="H473" s="7">
        <v>89</v>
      </c>
      <c r="I473" s="7">
        <v>599</v>
      </c>
      <c r="J473" s="7" t="str">
        <f t="shared" si="23"/>
        <v>&gt;₹500</v>
      </c>
      <c r="K473" s="1">
        <v>0.85</v>
      </c>
      <c r="L473" s="1" t="str">
        <f t="shared" si="21"/>
        <v>50% or More</v>
      </c>
      <c r="M473">
        <v>4.3</v>
      </c>
      <c r="N473" s="2">
        <v>2351</v>
      </c>
      <c r="O473" s="5">
        <f t="shared" si="22"/>
        <v>1408249</v>
      </c>
      <c r="P473">
        <f>MAX(Table1[RATING COUNT])</f>
        <v>426973</v>
      </c>
    </row>
    <row r="474" spans="1:16">
      <c r="A474" t="s">
        <v>1628</v>
      </c>
      <c r="B474" t="s">
        <v>460</v>
      </c>
      <c r="D474" t="s">
        <v>1352</v>
      </c>
      <c r="E474" t="s">
        <v>1375</v>
      </c>
      <c r="F474" t="s">
        <v>1378</v>
      </c>
      <c r="G474" t="s">
        <v>1379</v>
      </c>
      <c r="H474" s="7">
        <v>15499</v>
      </c>
      <c r="I474" s="7">
        <v>20999</v>
      </c>
      <c r="J474" s="7" t="str">
        <f t="shared" si="23"/>
        <v>&gt;₹500</v>
      </c>
      <c r="K474" s="1">
        <v>0.26</v>
      </c>
      <c r="L474" s="1" t="str">
        <f t="shared" si="21"/>
        <v>&lt;50%</v>
      </c>
      <c r="M474">
        <v>4.0999999999999996</v>
      </c>
      <c r="N474" s="2">
        <v>19253</v>
      </c>
      <c r="O474" s="5">
        <f t="shared" si="22"/>
        <v>404293747</v>
      </c>
      <c r="P474">
        <f>MAX(Table1[RATING COUNT])</f>
        <v>426973</v>
      </c>
    </row>
    <row r="475" spans="1:16">
      <c r="A475" t="s">
        <v>2066</v>
      </c>
      <c r="B475" t="s">
        <v>461</v>
      </c>
      <c r="D475" t="s">
        <v>1352</v>
      </c>
      <c r="E475" t="s">
        <v>1375</v>
      </c>
      <c r="F475" t="s">
        <v>1378</v>
      </c>
      <c r="G475" t="s">
        <v>1379</v>
      </c>
      <c r="H475" s="7">
        <v>13999</v>
      </c>
      <c r="I475" s="7">
        <v>15999</v>
      </c>
      <c r="J475" s="7" t="str">
        <f t="shared" si="23"/>
        <v>&gt;₹500</v>
      </c>
      <c r="K475" s="1">
        <v>0.13</v>
      </c>
      <c r="L475" s="1" t="str">
        <f t="shared" si="21"/>
        <v>&lt;50%</v>
      </c>
      <c r="M475">
        <v>3.9</v>
      </c>
      <c r="N475" s="2">
        <v>2180</v>
      </c>
      <c r="O475" s="5">
        <f t="shared" si="22"/>
        <v>34877820</v>
      </c>
      <c r="P475">
        <f>MAX(Table1[RATING COUNT])</f>
        <v>426973</v>
      </c>
    </row>
    <row r="476" spans="1:16">
      <c r="A476" t="s">
        <v>2067</v>
      </c>
      <c r="B476" t="s">
        <v>462</v>
      </c>
      <c r="D476" t="s">
        <v>1352</v>
      </c>
      <c r="E476" t="s">
        <v>1373</v>
      </c>
      <c r="F476" t="s">
        <v>1374</v>
      </c>
      <c r="H476" s="7">
        <v>1999</v>
      </c>
      <c r="I476" s="7">
        <v>4999</v>
      </c>
      <c r="J476" s="7" t="str">
        <f t="shared" si="23"/>
        <v>&gt;₹500</v>
      </c>
      <c r="K476" s="1">
        <v>0.6</v>
      </c>
      <c r="L476" s="1" t="str">
        <f t="shared" si="21"/>
        <v>50% or More</v>
      </c>
      <c r="M476">
        <v>3.9</v>
      </c>
      <c r="N476" s="2">
        <v>7571</v>
      </c>
      <c r="O476" s="5">
        <f t="shared" si="22"/>
        <v>37847429</v>
      </c>
      <c r="P476">
        <f>MAX(Table1[RATING COUNT])</f>
        <v>426973</v>
      </c>
    </row>
    <row r="477" spans="1:16">
      <c r="A477" t="s">
        <v>2068</v>
      </c>
      <c r="B477" t="s">
        <v>463</v>
      </c>
      <c r="D477" t="s">
        <v>1352</v>
      </c>
      <c r="E477" t="s">
        <v>1373</v>
      </c>
      <c r="F477" t="s">
        <v>1374</v>
      </c>
      <c r="H477" s="7">
        <v>1399</v>
      </c>
      <c r="I477" s="7">
        <v>5999</v>
      </c>
      <c r="J477" s="7" t="str">
        <f t="shared" si="23"/>
        <v>&gt;₹500</v>
      </c>
      <c r="K477" s="1">
        <v>0.77</v>
      </c>
      <c r="L477" s="1" t="str">
        <f t="shared" si="21"/>
        <v>50% or More</v>
      </c>
      <c r="M477">
        <v>3.3</v>
      </c>
      <c r="N477" s="2">
        <v>4415</v>
      </c>
      <c r="O477" s="5">
        <f t="shared" si="22"/>
        <v>26485585</v>
      </c>
      <c r="P477">
        <f>MAX(Table1[RATING COUNT])</f>
        <v>426973</v>
      </c>
    </row>
    <row r="478" spans="1:16">
      <c r="A478" t="s">
        <v>2069</v>
      </c>
      <c r="B478" t="s">
        <v>464</v>
      </c>
      <c r="D478" t="s">
        <v>1352</v>
      </c>
      <c r="E478" t="s">
        <v>1375</v>
      </c>
      <c r="F478" t="s">
        <v>1376</v>
      </c>
      <c r="G478" t="s">
        <v>1386</v>
      </c>
      <c r="H478" s="7">
        <v>599</v>
      </c>
      <c r="I478" s="7">
        <v>999</v>
      </c>
      <c r="J478" s="7" t="str">
        <f t="shared" si="23"/>
        <v>&gt;₹500</v>
      </c>
      <c r="K478" s="1">
        <v>0.4</v>
      </c>
      <c r="L478" s="1" t="str">
        <f t="shared" si="21"/>
        <v>&lt;50%</v>
      </c>
      <c r="M478">
        <v>4</v>
      </c>
      <c r="N478" s="2">
        <v>18654</v>
      </c>
      <c r="O478" s="5">
        <f t="shared" si="22"/>
        <v>18635346</v>
      </c>
      <c r="P478">
        <f>MAX(Table1[RATING COUNT])</f>
        <v>426973</v>
      </c>
    </row>
    <row r="479" spans="1:16">
      <c r="A479" t="s">
        <v>2070</v>
      </c>
      <c r="B479" t="s">
        <v>465</v>
      </c>
      <c r="D479" t="s">
        <v>1352</v>
      </c>
      <c r="E479" t="s">
        <v>1375</v>
      </c>
      <c r="F479" t="s">
        <v>1376</v>
      </c>
      <c r="G479" t="s">
        <v>1377</v>
      </c>
      <c r="H479" s="7">
        <v>199</v>
      </c>
      <c r="I479" s="7">
        <v>1099</v>
      </c>
      <c r="J479" s="7" t="str">
        <f t="shared" si="23"/>
        <v>&gt;₹500</v>
      </c>
      <c r="K479" s="1">
        <v>0.82</v>
      </c>
      <c r="L479" s="1" t="str">
        <f t="shared" si="21"/>
        <v>50% or More</v>
      </c>
      <c r="M479">
        <v>4</v>
      </c>
      <c r="N479" s="2">
        <v>3197</v>
      </c>
      <c r="O479" s="5">
        <f t="shared" si="22"/>
        <v>3513503</v>
      </c>
      <c r="P479">
        <f>MAX(Table1[RATING COUNT])</f>
        <v>426973</v>
      </c>
    </row>
    <row r="480" spans="1:16">
      <c r="A480" t="s">
        <v>1633</v>
      </c>
      <c r="B480" t="s">
        <v>466</v>
      </c>
      <c r="D480" t="s">
        <v>1352</v>
      </c>
      <c r="E480" t="s">
        <v>1373</v>
      </c>
      <c r="F480" t="s">
        <v>1374</v>
      </c>
      <c r="H480" s="7">
        <v>1799</v>
      </c>
      <c r="I480" s="7">
        <v>6990</v>
      </c>
      <c r="J480" s="7" t="str">
        <f t="shared" si="23"/>
        <v>&gt;₹500</v>
      </c>
      <c r="K480" s="1">
        <v>0.74</v>
      </c>
      <c r="L480" s="1" t="str">
        <f t="shared" si="21"/>
        <v>50% or More</v>
      </c>
      <c r="M480">
        <v>4</v>
      </c>
      <c r="N480" s="2">
        <v>26880</v>
      </c>
      <c r="O480" s="5">
        <f t="shared" si="22"/>
        <v>187891200</v>
      </c>
      <c r="P480">
        <f>MAX(Table1[RATING COUNT])</f>
        <v>426973</v>
      </c>
    </row>
    <row r="481" spans="1:16">
      <c r="A481" t="s">
        <v>2071</v>
      </c>
      <c r="B481" t="s">
        <v>467</v>
      </c>
      <c r="D481" t="s">
        <v>1352</v>
      </c>
      <c r="E481" t="s">
        <v>1373</v>
      </c>
      <c r="F481" t="s">
        <v>1374</v>
      </c>
      <c r="H481" s="7">
        <v>1499</v>
      </c>
      <c r="I481" s="7">
        <v>6990</v>
      </c>
      <c r="J481" s="7" t="str">
        <f t="shared" si="23"/>
        <v>&gt;₹500</v>
      </c>
      <c r="K481" s="1">
        <v>0.79</v>
      </c>
      <c r="L481" s="1" t="str">
        <f t="shared" si="21"/>
        <v>50% or More</v>
      </c>
      <c r="M481">
        <v>3.9</v>
      </c>
      <c r="N481" s="2">
        <v>21796</v>
      </c>
      <c r="O481" s="5">
        <f t="shared" si="22"/>
        <v>152354040</v>
      </c>
      <c r="P481">
        <f>MAX(Table1[RATING COUNT])</f>
        <v>426973</v>
      </c>
    </row>
    <row r="482" spans="1:16">
      <c r="A482" t="s">
        <v>2072</v>
      </c>
      <c r="B482" t="s">
        <v>468</v>
      </c>
      <c r="D482" t="s">
        <v>1352</v>
      </c>
      <c r="E482" t="s">
        <v>1375</v>
      </c>
      <c r="F482" t="s">
        <v>1378</v>
      </c>
      <c r="G482" t="s">
        <v>1379</v>
      </c>
      <c r="H482" s="7">
        <v>20999</v>
      </c>
      <c r="I482" s="7">
        <v>29990</v>
      </c>
      <c r="J482" s="7" t="str">
        <f t="shared" si="23"/>
        <v>&gt;₹500</v>
      </c>
      <c r="K482" s="1">
        <v>0.3</v>
      </c>
      <c r="L482" s="1" t="str">
        <f t="shared" si="21"/>
        <v>&lt;50%</v>
      </c>
      <c r="M482">
        <v>4.3</v>
      </c>
      <c r="N482" s="2">
        <v>9499</v>
      </c>
      <c r="O482" s="5">
        <f t="shared" si="22"/>
        <v>284875010</v>
      </c>
      <c r="P482">
        <f>MAX(Table1[RATING COUNT])</f>
        <v>426973</v>
      </c>
    </row>
    <row r="483" spans="1:16">
      <c r="A483" t="s">
        <v>2073</v>
      </c>
      <c r="B483" t="s">
        <v>469</v>
      </c>
      <c r="D483" t="s">
        <v>1352</v>
      </c>
      <c r="E483" t="s">
        <v>1375</v>
      </c>
      <c r="F483" t="s">
        <v>1378</v>
      </c>
      <c r="G483" t="s">
        <v>1379</v>
      </c>
      <c r="H483" s="7">
        <v>12999</v>
      </c>
      <c r="I483" s="7">
        <v>13499</v>
      </c>
      <c r="J483" s="7" t="str">
        <f t="shared" si="23"/>
        <v>&gt;₹500</v>
      </c>
      <c r="K483" s="1">
        <v>0.04</v>
      </c>
      <c r="L483" s="1" t="str">
        <f t="shared" si="21"/>
        <v>&lt;50%</v>
      </c>
      <c r="M483">
        <v>4.0999999999999996</v>
      </c>
      <c r="N483" s="2">
        <v>56098</v>
      </c>
      <c r="O483" s="5">
        <f t="shared" si="22"/>
        <v>757266902</v>
      </c>
      <c r="P483">
        <f>MAX(Table1[RATING COUNT])</f>
        <v>426973</v>
      </c>
    </row>
    <row r="484" spans="1:16">
      <c r="A484" t="s">
        <v>2074</v>
      </c>
      <c r="B484" t="s">
        <v>470</v>
      </c>
      <c r="D484" t="s">
        <v>1352</v>
      </c>
      <c r="E484" t="s">
        <v>1375</v>
      </c>
      <c r="F484" t="s">
        <v>1378</v>
      </c>
      <c r="G484" t="s">
        <v>1379</v>
      </c>
      <c r="H484" s="7">
        <v>16999</v>
      </c>
      <c r="I484" s="7">
        <v>20999</v>
      </c>
      <c r="J484" s="7" t="str">
        <f t="shared" si="23"/>
        <v>&gt;₹500</v>
      </c>
      <c r="K484" s="1">
        <v>0.19</v>
      </c>
      <c r="L484" s="1" t="str">
        <f t="shared" si="21"/>
        <v>&lt;50%</v>
      </c>
      <c r="M484">
        <v>4.0999999999999996</v>
      </c>
      <c r="N484" s="2">
        <v>31822</v>
      </c>
      <c r="O484" s="5">
        <f t="shared" si="22"/>
        <v>668230178</v>
      </c>
      <c r="P484">
        <f>MAX(Table1[RATING COUNT])</f>
        <v>426973</v>
      </c>
    </row>
    <row r="485" spans="1:16">
      <c r="A485" t="s">
        <v>2075</v>
      </c>
      <c r="B485" t="s">
        <v>471</v>
      </c>
      <c r="D485" t="s">
        <v>1352</v>
      </c>
      <c r="E485" t="s">
        <v>1375</v>
      </c>
      <c r="F485" t="s">
        <v>1378</v>
      </c>
      <c r="G485" t="s">
        <v>1379</v>
      </c>
      <c r="H485" s="7">
        <v>19999</v>
      </c>
      <c r="I485" s="7">
        <v>27990</v>
      </c>
      <c r="J485" s="7" t="str">
        <f t="shared" si="23"/>
        <v>&gt;₹500</v>
      </c>
      <c r="K485" s="1">
        <v>0.28999999999999998</v>
      </c>
      <c r="L485" s="1" t="str">
        <f t="shared" si="21"/>
        <v>&lt;50%</v>
      </c>
      <c r="M485">
        <v>4.3</v>
      </c>
      <c r="N485" s="2">
        <v>9499</v>
      </c>
      <c r="O485" s="5">
        <f t="shared" si="22"/>
        <v>265877010</v>
      </c>
      <c r="P485">
        <f>MAX(Table1[RATING COUNT])</f>
        <v>426973</v>
      </c>
    </row>
    <row r="486" spans="1:16">
      <c r="A486" t="s">
        <v>2076</v>
      </c>
      <c r="B486" t="s">
        <v>472</v>
      </c>
      <c r="D486" t="s">
        <v>1352</v>
      </c>
      <c r="E486" t="s">
        <v>1375</v>
      </c>
      <c r="F486" t="s">
        <v>1378</v>
      </c>
      <c r="G486" t="s">
        <v>1379</v>
      </c>
      <c r="H486" s="7">
        <v>12999</v>
      </c>
      <c r="I486" s="7">
        <v>18999</v>
      </c>
      <c r="J486" s="7" t="str">
        <f t="shared" si="23"/>
        <v>&gt;₹500</v>
      </c>
      <c r="K486" s="1">
        <v>0.32</v>
      </c>
      <c r="L486" s="1" t="str">
        <f t="shared" si="21"/>
        <v>&lt;50%</v>
      </c>
      <c r="M486">
        <v>4.0999999999999996</v>
      </c>
      <c r="N486" s="2">
        <v>50772</v>
      </c>
      <c r="O486" s="5">
        <f t="shared" si="22"/>
        <v>964617228</v>
      </c>
      <c r="P486">
        <f>MAX(Table1[RATING COUNT])</f>
        <v>426973</v>
      </c>
    </row>
    <row r="487" spans="1:16">
      <c r="A487" t="s">
        <v>2077</v>
      </c>
      <c r="B487" t="s">
        <v>473</v>
      </c>
      <c r="D487" t="s">
        <v>1352</v>
      </c>
      <c r="E487" t="s">
        <v>1373</v>
      </c>
      <c r="F487" t="s">
        <v>1374</v>
      </c>
      <c r="H487" s="7">
        <v>2999</v>
      </c>
      <c r="I487" s="7">
        <v>5999</v>
      </c>
      <c r="J487" s="7" t="str">
        <f t="shared" si="23"/>
        <v>&gt;₹500</v>
      </c>
      <c r="K487" s="1">
        <v>0.5</v>
      </c>
      <c r="L487" s="1" t="str">
        <f t="shared" si="21"/>
        <v>50% or More</v>
      </c>
      <c r="M487">
        <v>4.0999999999999996</v>
      </c>
      <c r="N487" s="2">
        <v>7148</v>
      </c>
      <c r="O487" s="5">
        <f t="shared" si="22"/>
        <v>42880852</v>
      </c>
      <c r="P487">
        <f>MAX(Table1[RATING COUNT])</f>
        <v>426973</v>
      </c>
    </row>
    <row r="488" spans="1:16">
      <c r="A488" t="s">
        <v>2078</v>
      </c>
      <c r="B488" t="s">
        <v>474</v>
      </c>
      <c r="D488" t="s">
        <v>1352</v>
      </c>
      <c r="E488" t="s">
        <v>1375</v>
      </c>
      <c r="F488" t="s">
        <v>1376</v>
      </c>
      <c r="G488" t="s">
        <v>1377</v>
      </c>
      <c r="H488" s="7">
        <v>329</v>
      </c>
      <c r="I488" s="7">
        <v>999</v>
      </c>
      <c r="J488" s="7" t="str">
        <f t="shared" si="23"/>
        <v>&gt;₹500</v>
      </c>
      <c r="K488" s="1">
        <v>0.67</v>
      </c>
      <c r="L488" s="1" t="str">
        <f t="shared" si="21"/>
        <v>50% or More</v>
      </c>
      <c r="M488">
        <v>4.2</v>
      </c>
      <c r="N488" s="2">
        <v>3492</v>
      </c>
      <c r="O488" s="5">
        <f t="shared" si="22"/>
        <v>3488508</v>
      </c>
      <c r="P488">
        <f>MAX(Table1[RATING COUNT])</f>
        <v>426973</v>
      </c>
    </row>
    <row r="489" spans="1:16">
      <c r="A489" t="s">
        <v>2079</v>
      </c>
      <c r="B489" t="s">
        <v>475</v>
      </c>
      <c r="D489" t="s">
        <v>1352</v>
      </c>
      <c r="E489" t="s">
        <v>1373</v>
      </c>
      <c r="F489" t="s">
        <v>1374</v>
      </c>
      <c r="H489" s="7">
        <v>1299</v>
      </c>
      <c r="I489" s="7">
        <v>5999</v>
      </c>
      <c r="J489" s="7" t="str">
        <f t="shared" si="23"/>
        <v>&gt;₹500</v>
      </c>
      <c r="K489" s="1">
        <v>0.78</v>
      </c>
      <c r="L489" s="1" t="str">
        <f t="shared" si="21"/>
        <v>50% or More</v>
      </c>
      <c r="M489">
        <v>3.3</v>
      </c>
      <c r="N489" s="2">
        <v>4415</v>
      </c>
      <c r="O489" s="5">
        <f t="shared" si="22"/>
        <v>26485585</v>
      </c>
      <c r="P489">
        <f>MAX(Table1[RATING COUNT])</f>
        <v>426973</v>
      </c>
    </row>
    <row r="490" spans="1:16">
      <c r="A490" t="s">
        <v>2080</v>
      </c>
      <c r="B490" t="s">
        <v>476</v>
      </c>
      <c r="D490" t="s">
        <v>1352</v>
      </c>
      <c r="E490" t="s">
        <v>1354</v>
      </c>
      <c r="F490" t="s">
        <v>1380</v>
      </c>
      <c r="G490" t="s">
        <v>1381</v>
      </c>
      <c r="H490" s="7">
        <v>1989</v>
      </c>
      <c r="I490" s="7">
        <v>3500</v>
      </c>
      <c r="J490" s="7" t="str">
        <f t="shared" si="23"/>
        <v>&gt;₹500</v>
      </c>
      <c r="K490" s="1">
        <v>0.43</v>
      </c>
      <c r="L490" s="1" t="str">
        <f t="shared" si="21"/>
        <v>&lt;50%</v>
      </c>
      <c r="M490">
        <v>4.4000000000000004</v>
      </c>
      <c r="N490" s="2">
        <v>67260</v>
      </c>
      <c r="O490" s="5">
        <f t="shared" si="22"/>
        <v>235410000</v>
      </c>
      <c r="P490">
        <f>MAX(Table1[RATING COUNT])</f>
        <v>426973</v>
      </c>
    </row>
    <row r="491" spans="1:16">
      <c r="A491" t="s">
        <v>2081</v>
      </c>
      <c r="B491" t="s">
        <v>333</v>
      </c>
      <c r="D491" t="s">
        <v>1352</v>
      </c>
      <c r="E491" t="s">
        <v>1373</v>
      </c>
      <c r="F491" t="s">
        <v>1374</v>
      </c>
      <c r="H491" s="7">
        <v>1999</v>
      </c>
      <c r="I491" s="7">
        <v>9999</v>
      </c>
      <c r="J491" s="7" t="str">
        <f t="shared" si="23"/>
        <v>&gt;₹500</v>
      </c>
      <c r="K491" s="1">
        <v>0.8</v>
      </c>
      <c r="L491" s="1" t="str">
        <f t="shared" si="21"/>
        <v>50% or More</v>
      </c>
      <c r="M491">
        <v>4.3</v>
      </c>
      <c r="N491" s="2">
        <v>27704</v>
      </c>
      <c r="O491" s="5">
        <f t="shared" si="22"/>
        <v>277012296</v>
      </c>
      <c r="P491">
        <f>MAX(Table1[RATING COUNT])</f>
        <v>426973</v>
      </c>
    </row>
    <row r="492" spans="1:16">
      <c r="A492" t="s">
        <v>2082</v>
      </c>
      <c r="B492" t="s">
        <v>477</v>
      </c>
      <c r="D492" t="s">
        <v>1352</v>
      </c>
      <c r="E492" t="s">
        <v>1375</v>
      </c>
      <c r="F492" t="s">
        <v>1378</v>
      </c>
      <c r="G492" t="s">
        <v>1379</v>
      </c>
      <c r="H492" s="7">
        <v>12999</v>
      </c>
      <c r="I492" s="7">
        <v>18999</v>
      </c>
      <c r="J492" s="7" t="str">
        <f t="shared" si="23"/>
        <v>&gt;₹500</v>
      </c>
      <c r="K492" s="1">
        <v>0.32</v>
      </c>
      <c r="L492" s="1" t="str">
        <f t="shared" si="21"/>
        <v>&lt;50%</v>
      </c>
      <c r="M492">
        <v>4.0999999999999996</v>
      </c>
      <c r="N492" s="2">
        <v>50772</v>
      </c>
      <c r="O492" s="5">
        <f t="shared" si="22"/>
        <v>964617228</v>
      </c>
      <c r="P492">
        <f>MAX(Table1[RATING COUNT])</f>
        <v>426973</v>
      </c>
    </row>
    <row r="493" spans="1:16">
      <c r="A493" t="s">
        <v>2083</v>
      </c>
      <c r="B493" t="s">
        <v>478</v>
      </c>
      <c r="D493" t="s">
        <v>1352</v>
      </c>
      <c r="E493" t="s">
        <v>1373</v>
      </c>
      <c r="F493" t="s">
        <v>1374</v>
      </c>
      <c r="H493" s="7">
        <v>1499</v>
      </c>
      <c r="I493" s="7">
        <v>4999</v>
      </c>
      <c r="J493" s="7" t="str">
        <f t="shared" si="23"/>
        <v>&gt;₹500</v>
      </c>
      <c r="K493" s="1">
        <v>0.7</v>
      </c>
      <c r="L493" s="1" t="str">
        <f t="shared" si="21"/>
        <v>50% or More</v>
      </c>
      <c r="M493">
        <v>4</v>
      </c>
      <c r="N493" s="2">
        <v>92588</v>
      </c>
      <c r="O493" s="5">
        <f t="shared" si="22"/>
        <v>462847412</v>
      </c>
      <c r="P493">
        <f>MAX(Table1[RATING COUNT])</f>
        <v>426973</v>
      </c>
    </row>
    <row r="494" spans="1:16">
      <c r="A494" t="s">
        <v>2084</v>
      </c>
      <c r="B494" t="s">
        <v>479</v>
      </c>
      <c r="D494" t="s">
        <v>1352</v>
      </c>
      <c r="E494" t="s">
        <v>1375</v>
      </c>
      <c r="F494" t="s">
        <v>1378</v>
      </c>
      <c r="G494" t="s">
        <v>1379</v>
      </c>
      <c r="H494" s="7">
        <v>16999</v>
      </c>
      <c r="I494" s="7">
        <v>20999</v>
      </c>
      <c r="J494" s="7" t="str">
        <f t="shared" si="23"/>
        <v>&gt;₹500</v>
      </c>
      <c r="K494" s="1">
        <v>0.19</v>
      </c>
      <c r="L494" s="1" t="str">
        <f t="shared" si="21"/>
        <v>&lt;50%</v>
      </c>
      <c r="M494">
        <v>4.0999999999999996</v>
      </c>
      <c r="N494" s="2">
        <v>31822</v>
      </c>
      <c r="O494" s="5">
        <f t="shared" si="22"/>
        <v>668230178</v>
      </c>
      <c r="P494">
        <f>MAX(Table1[RATING COUNT])</f>
        <v>426973</v>
      </c>
    </row>
    <row r="495" spans="1:16">
      <c r="A495" t="s">
        <v>2085</v>
      </c>
      <c r="B495" t="s">
        <v>480</v>
      </c>
      <c r="D495" t="s">
        <v>1352</v>
      </c>
      <c r="E495" t="s">
        <v>1373</v>
      </c>
      <c r="F495" t="s">
        <v>1374</v>
      </c>
      <c r="H495" s="7">
        <v>1999</v>
      </c>
      <c r="I495" s="7">
        <v>8499</v>
      </c>
      <c r="J495" s="7" t="str">
        <f t="shared" si="23"/>
        <v>&gt;₹500</v>
      </c>
      <c r="K495" s="1">
        <v>0.76</v>
      </c>
      <c r="L495" s="1" t="str">
        <f t="shared" si="21"/>
        <v>50% or More</v>
      </c>
      <c r="M495">
        <v>4.3</v>
      </c>
      <c r="N495" s="2">
        <v>240</v>
      </c>
      <c r="O495" s="5">
        <f t="shared" si="22"/>
        <v>2039760</v>
      </c>
      <c r="P495">
        <f>MAX(Table1[RATING COUNT])</f>
        <v>426973</v>
      </c>
    </row>
    <row r="496" spans="1:16">
      <c r="A496" t="s">
        <v>2086</v>
      </c>
      <c r="B496" t="s">
        <v>481</v>
      </c>
      <c r="D496" t="s">
        <v>1352</v>
      </c>
      <c r="E496" t="s">
        <v>1373</v>
      </c>
      <c r="F496" t="s">
        <v>1374</v>
      </c>
      <c r="H496" s="7">
        <v>4999</v>
      </c>
      <c r="I496" s="7">
        <v>6999</v>
      </c>
      <c r="J496" s="7" t="str">
        <f t="shared" si="23"/>
        <v>&gt;₹500</v>
      </c>
      <c r="K496" s="1">
        <v>0.28999999999999998</v>
      </c>
      <c r="L496" s="1" t="str">
        <f t="shared" si="21"/>
        <v>&lt;50%</v>
      </c>
      <c r="M496">
        <v>3.8</v>
      </c>
      <c r="N496" s="2">
        <v>758</v>
      </c>
      <c r="O496" s="5">
        <f t="shared" si="22"/>
        <v>5305242</v>
      </c>
      <c r="P496">
        <f>MAX(Table1[RATING COUNT])</f>
        <v>426973</v>
      </c>
    </row>
    <row r="497" spans="1:16">
      <c r="A497" t="s">
        <v>2087</v>
      </c>
      <c r="B497" t="s">
        <v>35</v>
      </c>
      <c r="D497" t="s">
        <v>1345</v>
      </c>
      <c r="E497" t="s">
        <v>1346</v>
      </c>
      <c r="F497" t="s">
        <v>1347</v>
      </c>
      <c r="G497" t="s">
        <v>1348</v>
      </c>
      <c r="H497" s="7">
        <v>99</v>
      </c>
      <c r="I497" s="7">
        <v>666.66</v>
      </c>
      <c r="J497" s="7" t="str">
        <f t="shared" si="23"/>
        <v>&gt;₹500</v>
      </c>
      <c r="K497" s="1">
        <v>0.85</v>
      </c>
      <c r="L497" s="1" t="str">
        <f t="shared" si="21"/>
        <v>50% or More</v>
      </c>
      <c r="M497">
        <v>3.9</v>
      </c>
      <c r="N497" s="2">
        <v>24870</v>
      </c>
      <c r="O497" s="5">
        <f t="shared" si="22"/>
        <v>16579834.199999999</v>
      </c>
      <c r="P497">
        <f>MAX(Table1[RATING COUNT])</f>
        <v>426973</v>
      </c>
    </row>
    <row r="498" spans="1:16">
      <c r="A498" t="s">
        <v>2088</v>
      </c>
      <c r="B498" t="s">
        <v>482</v>
      </c>
      <c r="D498" t="s">
        <v>1352</v>
      </c>
      <c r="E498" t="s">
        <v>1373</v>
      </c>
      <c r="F498" t="s">
        <v>1374</v>
      </c>
      <c r="H498" s="7">
        <v>2499</v>
      </c>
      <c r="I498" s="7">
        <v>5999</v>
      </c>
      <c r="J498" s="7" t="str">
        <f t="shared" si="23"/>
        <v>&gt;₹500</v>
      </c>
      <c r="K498" s="1">
        <v>0.57999999999999996</v>
      </c>
      <c r="L498" s="1" t="str">
        <f t="shared" si="21"/>
        <v>50% or More</v>
      </c>
      <c r="M498">
        <v>3.7</v>
      </c>
      <c r="N498" s="2">
        <v>828</v>
      </c>
      <c r="O498" s="5">
        <f t="shared" si="22"/>
        <v>4967172</v>
      </c>
      <c r="P498">
        <f>MAX(Table1[RATING COUNT])</f>
        <v>426973</v>
      </c>
    </row>
    <row r="499" spans="1:16">
      <c r="A499" t="s">
        <v>2089</v>
      </c>
      <c r="B499" t="s">
        <v>483</v>
      </c>
      <c r="D499" t="s">
        <v>1352</v>
      </c>
      <c r="E499" t="s">
        <v>1375</v>
      </c>
      <c r="F499" t="s">
        <v>1378</v>
      </c>
      <c r="G499" t="s">
        <v>1382</v>
      </c>
      <c r="H499" s="7">
        <v>1399</v>
      </c>
      <c r="I499" s="7">
        <v>1630</v>
      </c>
      <c r="J499" s="7" t="str">
        <f t="shared" si="23"/>
        <v>&gt;₹500</v>
      </c>
      <c r="K499" s="1">
        <v>0.14000000000000001</v>
      </c>
      <c r="L499" s="1" t="str">
        <f t="shared" si="21"/>
        <v>&lt;50%</v>
      </c>
      <c r="M499">
        <v>4</v>
      </c>
      <c r="N499" s="2">
        <v>9378</v>
      </c>
      <c r="O499" s="5">
        <f t="shared" si="22"/>
        <v>15286140</v>
      </c>
      <c r="P499">
        <f>MAX(Table1[RATING COUNT])</f>
        <v>426973</v>
      </c>
    </row>
    <row r="500" spans="1:16">
      <c r="A500" t="s">
        <v>2090</v>
      </c>
      <c r="B500" t="s">
        <v>484</v>
      </c>
      <c r="D500" t="s">
        <v>1352</v>
      </c>
      <c r="E500" t="s">
        <v>1373</v>
      </c>
      <c r="F500" t="s">
        <v>1374</v>
      </c>
      <c r="H500" s="7">
        <v>1499</v>
      </c>
      <c r="I500" s="7">
        <v>9999</v>
      </c>
      <c r="J500" s="7" t="str">
        <f t="shared" si="23"/>
        <v>&gt;₹500</v>
      </c>
      <c r="K500" s="1">
        <v>0.85</v>
      </c>
      <c r="L500" s="1" t="str">
        <f t="shared" si="21"/>
        <v>50% or More</v>
      </c>
      <c r="M500">
        <v>4.2</v>
      </c>
      <c r="N500" s="2">
        <v>22638</v>
      </c>
      <c r="O500" s="5">
        <f t="shared" si="22"/>
        <v>226357362</v>
      </c>
      <c r="P500">
        <f>MAX(Table1[RATING COUNT])</f>
        <v>426973</v>
      </c>
    </row>
    <row r="501" spans="1:16">
      <c r="A501" t="s">
        <v>2091</v>
      </c>
      <c r="B501" t="s">
        <v>485</v>
      </c>
      <c r="D501" t="s">
        <v>1352</v>
      </c>
      <c r="E501" t="s">
        <v>1375</v>
      </c>
      <c r="F501" t="s">
        <v>1376</v>
      </c>
      <c r="G501" t="s">
        <v>1377</v>
      </c>
      <c r="H501" s="7">
        <v>249</v>
      </c>
      <c r="I501" s="7">
        <v>599</v>
      </c>
      <c r="J501" s="7" t="str">
        <f t="shared" si="23"/>
        <v>&gt;₹500</v>
      </c>
      <c r="K501" s="1">
        <v>0.57999999999999996</v>
      </c>
      <c r="L501" s="1" t="str">
        <f t="shared" si="21"/>
        <v>50% or More</v>
      </c>
      <c r="M501">
        <v>3.9</v>
      </c>
      <c r="N501" s="2">
        <v>2147</v>
      </c>
      <c r="O501" s="5">
        <f t="shared" si="22"/>
        <v>1286053</v>
      </c>
      <c r="P501">
        <f>MAX(Table1[RATING COUNT])</f>
        <v>426973</v>
      </c>
    </row>
    <row r="502" spans="1:16">
      <c r="A502" t="s">
        <v>2092</v>
      </c>
      <c r="B502" t="s">
        <v>486</v>
      </c>
      <c r="D502" t="s">
        <v>1352</v>
      </c>
      <c r="E502" t="s">
        <v>1375</v>
      </c>
      <c r="F502" t="s">
        <v>1376</v>
      </c>
      <c r="G502" t="s">
        <v>1392</v>
      </c>
      <c r="H502" s="7">
        <v>299</v>
      </c>
      <c r="I502" s="7">
        <v>1199</v>
      </c>
      <c r="J502" s="7" t="str">
        <f t="shared" si="23"/>
        <v>&gt;₹500</v>
      </c>
      <c r="K502" s="1">
        <v>0.75</v>
      </c>
      <c r="L502" s="1" t="str">
        <f t="shared" si="21"/>
        <v>50% or More</v>
      </c>
      <c r="M502">
        <v>4.5</v>
      </c>
      <c r="N502" s="2">
        <v>596</v>
      </c>
      <c r="O502" s="5">
        <f t="shared" si="22"/>
        <v>714604</v>
      </c>
      <c r="P502">
        <f>MAX(Table1[RATING COUNT])</f>
        <v>426973</v>
      </c>
    </row>
    <row r="503" spans="1:16">
      <c r="A503" t="s">
        <v>2093</v>
      </c>
      <c r="B503" t="s">
        <v>487</v>
      </c>
      <c r="D503" t="s">
        <v>1352</v>
      </c>
      <c r="E503" t="s">
        <v>1375</v>
      </c>
      <c r="F503" t="s">
        <v>1376</v>
      </c>
      <c r="G503" t="s">
        <v>1391</v>
      </c>
      <c r="H503" s="7">
        <v>79</v>
      </c>
      <c r="I503" s="7">
        <v>499</v>
      </c>
      <c r="J503" s="7" t="str">
        <f t="shared" si="23"/>
        <v>₹200–₹500</v>
      </c>
      <c r="K503" s="1">
        <v>0.84</v>
      </c>
      <c r="L503" s="1" t="str">
        <f t="shared" si="21"/>
        <v>50% or More</v>
      </c>
      <c r="M503">
        <v>4.2</v>
      </c>
      <c r="N503" s="2">
        <v>1949</v>
      </c>
      <c r="O503" s="5">
        <f t="shared" si="22"/>
        <v>972551</v>
      </c>
      <c r="P503">
        <f>MAX(Table1[RATING COUNT])</f>
        <v>426973</v>
      </c>
    </row>
    <row r="504" spans="1:16">
      <c r="A504" t="s">
        <v>2094</v>
      </c>
      <c r="B504" t="s">
        <v>488</v>
      </c>
      <c r="D504" t="s">
        <v>1352</v>
      </c>
      <c r="E504" t="s">
        <v>1375</v>
      </c>
      <c r="F504" t="s">
        <v>1378</v>
      </c>
      <c r="G504" t="s">
        <v>1379</v>
      </c>
      <c r="H504" s="7">
        <v>13999</v>
      </c>
      <c r="I504" s="7">
        <v>15999</v>
      </c>
      <c r="J504" s="7" t="str">
        <f t="shared" si="23"/>
        <v>&gt;₹500</v>
      </c>
      <c r="K504" s="1">
        <v>0.13</v>
      </c>
      <c r="L504" s="1" t="str">
        <f t="shared" si="21"/>
        <v>&lt;50%</v>
      </c>
      <c r="M504">
        <v>3.9</v>
      </c>
      <c r="N504" s="2">
        <v>2180</v>
      </c>
      <c r="O504" s="5">
        <f t="shared" si="22"/>
        <v>34877820</v>
      </c>
      <c r="P504">
        <f>MAX(Table1[RATING COUNT])</f>
        <v>426973</v>
      </c>
    </row>
    <row r="505" spans="1:16">
      <c r="A505" t="s">
        <v>1639</v>
      </c>
      <c r="B505" t="s">
        <v>489</v>
      </c>
      <c r="D505" t="s">
        <v>1352</v>
      </c>
      <c r="E505" t="s">
        <v>1383</v>
      </c>
      <c r="F505" t="s">
        <v>1384</v>
      </c>
      <c r="G505" t="s">
        <v>1385</v>
      </c>
      <c r="H505" s="7">
        <v>949</v>
      </c>
      <c r="I505" s="7">
        <v>999</v>
      </c>
      <c r="J505" s="7" t="str">
        <f t="shared" si="23"/>
        <v>&gt;₹500</v>
      </c>
      <c r="K505" s="1">
        <v>0.05</v>
      </c>
      <c r="L505" s="1" t="str">
        <f t="shared" si="21"/>
        <v>&lt;50%</v>
      </c>
      <c r="M505">
        <v>4.2</v>
      </c>
      <c r="N505" s="2">
        <v>31539</v>
      </c>
      <c r="O505" s="5">
        <f t="shared" si="22"/>
        <v>31507461</v>
      </c>
      <c r="P505">
        <f>MAX(Table1[RATING COUNT])</f>
        <v>426973</v>
      </c>
    </row>
    <row r="506" spans="1:16">
      <c r="A506" t="s">
        <v>1638</v>
      </c>
      <c r="B506" t="s">
        <v>490</v>
      </c>
      <c r="D506" t="s">
        <v>1352</v>
      </c>
      <c r="E506" t="s">
        <v>1375</v>
      </c>
      <c r="F506" t="s">
        <v>1376</v>
      </c>
      <c r="G506" t="s">
        <v>1389</v>
      </c>
      <c r="H506" s="7">
        <v>99</v>
      </c>
      <c r="I506" s="7">
        <v>499</v>
      </c>
      <c r="J506" s="7" t="str">
        <f t="shared" si="23"/>
        <v>₹200–₹500</v>
      </c>
      <c r="K506" s="1">
        <v>0.8</v>
      </c>
      <c r="L506" s="1" t="str">
        <f t="shared" si="21"/>
        <v>50% or More</v>
      </c>
      <c r="M506">
        <v>4.0999999999999996</v>
      </c>
      <c r="N506" s="2">
        <v>2451</v>
      </c>
      <c r="O506" s="5">
        <f t="shared" si="22"/>
        <v>1223049</v>
      </c>
      <c r="P506">
        <f>MAX(Table1[RATING COUNT])</f>
        <v>426973</v>
      </c>
    </row>
    <row r="507" spans="1:16">
      <c r="A507" t="s">
        <v>2095</v>
      </c>
      <c r="B507" t="s">
        <v>491</v>
      </c>
      <c r="D507" t="s">
        <v>1352</v>
      </c>
      <c r="E507" t="s">
        <v>1373</v>
      </c>
      <c r="F507" t="s">
        <v>1374</v>
      </c>
      <c r="H507" s="7">
        <v>2499</v>
      </c>
      <c r="I507" s="7">
        <v>7990</v>
      </c>
      <c r="J507" s="7" t="str">
        <f t="shared" si="23"/>
        <v>&gt;₹500</v>
      </c>
      <c r="K507" s="1">
        <v>0.69</v>
      </c>
      <c r="L507" s="1" t="str">
        <f t="shared" si="21"/>
        <v>50% or More</v>
      </c>
      <c r="M507">
        <v>4.0999999999999996</v>
      </c>
      <c r="N507" s="2">
        <v>154</v>
      </c>
      <c r="O507" s="5">
        <f t="shared" si="22"/>
        <v>1230460</v>
      </c>
      <c r="P507">
        <f>MAX(Table1[RATING COUNT])</f>
        <v>426973</v>
      </c>
    </row>
    <row r="508" spans="1:16">
      <c r="A508" t="s">
        <v>2096</v>
      </c>
      <c r="B508" t="s">
        <v>492</v>
      </c>
      <c r="D508" t="s">
        <v>1352</v>
      </c>
      <c r="E508" t="s">
        <v>1375</v>
      </c>
      <c r="F508" t="s">
        <v>1376</v>
      </c>
      <c r="G508" t="s">
        <v>1362</v>
      </c>
      <c r="H508" s="7">
        <v>689</v>
      </c>
      <c r="I508" s="7">
        <v>1999</v>
      </c>
      <c r="J508" s="7" t="str">
        <f t="shared" si="23"/>
        <v>&gt;₹500</v>
      </c>
      <c r="K508" s="1">
        <v>0.66</v>
      </c>
      <c r="L508" s="1" t="str">
        <f t="shared" si="21"/>
        <v>50% or More</v>
      </c>
      <c r="M508">
        <v>4.3</v>
      </c>
      <c r="N508" s="2">
        <v>1193</v>
      </c>
      <c r="O508" s="5">
        <f t="shared" si="22"/>
        <v>2384807</v>
      </c>
      <c r="P508">
        <f>MAX(Table1[RATING COUNT])</f>
        <v>426973</v>
      </c>
    </row>
    <row r="509" spans="1:16">
      <c r="A509" t="s">
        <v>2097</v>
      </c>
      <c r="B509" t="s">
        <v>493</v>
      </c>
      <c r="D509" t="s">
        <v>1352</v>
      </c>
      <c r="E509" t="s">
        <v>1375</v>
      </c>
      <c r="F509" t="s">
        <v>1376</v>
      </c>
      <c r="G509" t="s">
        <v>1362</v>
      </c>
      <c r="H509" s="7">
        <v>499</v>
      </c>
      <c r="I509" s="7">
        <v>1899</v>
      </c>
      <c r="J509" s="7" t="str">
        <f t="shared" si="23"/>
        <v>&gt;₹500</v>
      </c>
      <c r="K509" s="1">
        <v>0.74</v>
      </c>
      <c r="L509" s="1" t="str">
        <f t="shared" si="21"/>
        <v>50% or More</v>
      </c>
      <c r="M509">
        <v>4.0999999999999996</v>
      </c>
      <c r="N509" s="2">
        <v>1475</v>
      </c>
      <c r="O509" s="5">
        <f t="shared" si="22"/>
        <v>2801025</v>
      </c>
      <c r="P509">
        <f>MAX(Table1[RATING COUNT])</f>
        <v>426973</v>
      </c>
    </row>
    <row r="510" spans="1:16">
      <c r="A510" t="s">
        <v>2098</v>
      </c>
      <c r="B510" t="s">
        <v>494</v>
      </c>
      <c r="D510" t="s">
        <v>1352</v>
      </c>
      <c r="E510" t="s">
        <v>1375</v>
      </c>
      <c r="F510" t="s">
        <v>1376</v>
      </c>
      <c r="G510" t="s">
        <v>1392</v>
      </c>
      <c r="H510" s="7">
        <v>299</v>
      </c>
      <c r="I510" s="7">
        <v>999</v>
      </c>
      <c r="J510" s="7" t="str">
        <f t="shared" si="23"/>
        <v>&gt;₹500</v>
      </c>
      <c r="K510" s="1">
        <v>0.7</v>
      </c>
      <c r="L510" s="1" t="str">
        <f t="shared" si="21"/>
        <v>50% or More</v>
      </c>
      <c r="M510">
        <v>4.3</v>
      </c>
      <c r="N510" s="2">
        <v>8891</v>
      </c>
      <c r="O510" s="5">
        <f t="shared" si="22"/>
        <v>8882109</v>
      </c>
      <c r="P510">
        <f>MAX(Table1[RATING COUNT])</f>
        <v>426973</v>
      </c>
    </row>
    <row r="511" spans="1:16">
      <c r="A511" t="s">
        <v>2099</v>
      </c>
      <c r="B511" t="s">
        <v>495</v>
      </c>
      <c r="D511" t="s">
        <v>1352</v>
      </c>
      <c r="E511" t="s">
        <v>1375</v>
      </c>
      <c r="F511" t="s">
        <v>1376</v>
      </c>
      <c r="G511" t="s">
        <v>1389</v>
      </c>
      <c r="H511" s="7">
        <v>209</v>
      </c>
      <c r="I511" s="7">
        <v>499</v>
      </c>
      <c r="J511" s="7" t="str">
        <f t="shared" si="23"/>
        <v>₹200–₹500</v>
      </c>
      <c r="K511" s="1">
        <v>0.57999999999999996</v>
      </c>
      <c r="L511" s="1" t="str">
        <f t="shared" si="21"/>
        <v>50% or More</v>
      </c>
      <c r="M511">
        <v>3.6</v>
      </c>
      <c r="N511" s="2">
        <v>104</v>
      </c>
      <c r="O511" s="5">
        <f t="shared" si="22"/>
        <v>51896</v>
      </c>
      <c r="P511">
        <f>MAX(Table1[RATING COUNT])</f>
        <v>426973</v>
      </c>
    </row>
    <row r="512" spans="1:16">
      <c r="A512" t="s">
        <v>2100</v>
      </c>
      <c r="B512" t="s">
        <v>496</v>
      </c>
      <c r="D512" t="s">
        <v>1352</v>
      </c>
      <c r="E512" t="s">
        <v>1375</v>
      </c>
      <c r="F512" t="s">
        <v>1378</v>
      </c>
      <c r="G512" t="s">
        <v>1379</v>
      </c>
      <c r="H512" s="7">
        <v>8499</v>
      </c>
      <c r="I512" s="7">
        <v>12999</v>
      </c>
      <c r="J512" s="7" t="str">
        <f t="shared" si="23"/>
        <v>&gt;₹500</v>
      </c>
      <c r="K512" s="1">
        <v>0.35</v>
      </c>
      <c r="L512" s="1" t="str">
        <f t="shared" si="21"/>
        <v>&lt;50%</v>
      </c>
      <c r="M512">
        <v>4.0999999999999996</v>
      </c>
      <c r="N512" s="2">
        <v>6662</v>
      </c>
      <c r="O512" s="5">
        <f t="shared" si="22"/>
        <v>86599338</v>
      </c>
      <c r="P512">
        <f>MAX(Table1[RATING COUNT])</f>
        <v>426973</v>
      </c>
    </row>
    <row r="513" spans="1:16">
      <c r="A513" t="s">
        <v>2101</v>
      </c>
      <c r="B513" t="s">
        <v>497</v>
      </c>
      <c r="D513" t="s">
        <v>1352</v>
      </c>
      <c r="E513" t="s">
        <v>1375</v>
      </c>
      <c r="F513" t="s">
        <v>1376</v>
      </c>
      <c r="G513" t="s">
        <v>1377</v>
      </c>
      <c r="H513" s="7">
        <v>2179</v>
      </c>
      <c r="I513" s="7">
        <v>3999</v>
      </c>
      <c r="J513" s="7" t="str">
        <f t="shared" si="23"/>
        <v>&gt;₹500</v>
      </c>
      <c r="K513" s="1">
        <v>0.46</v>
      </c>
      <c r="L513" s="1" t="str">
        <f t="shared" si="21"/>
        <v>&lt;50%</v>
      </c>
      <c r="M513">
        <v>4</v>
      </c>
      <c r="N513" s="2">
        <v>8380</v>
      </c>
      <c r="O513" s="5">
        <f t="shared" si="22"/>
        <v>33511620</v>
      </c>
      <c r="P513">
        <f>MAX(Table1[RATING COUNT])</f>
        <v>426973</v>
      </c>
    </row>
    <row r="514" spans="1:16">
      <c r="A514" t="s">
        <v>2102</v>
      </c>
      <c r="B514" t="s">
        <v>498</v>
      </c>
      <c r="D514" t="s">
        <v>1352</v>
      </c>
      <c r="E514" t="s">
        <v>1375</v>
      </c>
      <c r="F514" t="s">
        <v>1378</v>
      </c>
      <c r="G514" t="s">
        <v>1379</v>
      </c>
      <c r="H514" s="7">
        <v>16999</v>
      </c>
      <c r="I514" s="7">
        <v>20999</v>
      </c>
      <c r="J514" s="7" t="str">
        <f t="shared" si="23"/>
        <v>&gt;₹500</v>
      </c>
      <c r="K514" s="1">
        <v>0.19</v>
      </c>
      <c r="L514" s="1" t="str">
        <f t="shared" ref="L514:L577" si="24">IF(K514&gt;=50%,"50% or More","&lt;50%")</f>
        <v>&lt;50%</v>
      </c>
      <c r="M514">
        <v>4.0999999999999996</v>
      </c>
      <c r="N514" s="2">
        <v>31822</v>
      </c>
      <c r="O514" s="5">
        <f t="shared" ref="O514:O577" si="25">I514*N514</f>
        <v>668230178</v>
      </c>
      <c r="P514">
        <f>MAX(Table1[RATING COUNT])</f>
        <v>426973</v>
      </c>
    </row>
    <row r="515" spans="1:16">
      <c r="A515" t="s">
        <v>2103</v>
      </c>
      <c r="B515" t="s">
        <v>499</v>
      </c>
      <c r="D515" t="s">
        <v>1352</v>
      </c>
      <c r="E515" t="s">
        <v>1375</v>
      </c>
      <c r="F515" t="s">
        <v>1378</v>
      </c>
      <c r="G515" t="s">
        <v>1379</v>
      </c>
      <c r="H515" s="7">
        <v>44999</v>
      </c>
      <c r="I515" s="7">
        <v>49999</v>
      </c>
      <c r="J515" s="7" t="str">
        <f t="shared" ref="J515:J578" si="26">IF(I515&lt;200, "&lt;₹200", IF(I515&lt;=500, "₹200–₹500", "&gt;₹500"))</f>
        <v>&gt;₹500</v>
      </c>
      <c r="K515" s="1">
        <v>0.1</v>
      </c>
      <c r="L515" s="1" t="str">
        <f t="shared" si="24"/>
        <v>&lt;50%</v>
      </c>
      <c r="M515">
        <v>4.3</v>
      </c>
      <c r="N515" s="2">
        <v>3075</v>
      </c>
      <c r="O515" s="5">
        <f t="shared" si="25"/>
        <v>153746925</v>
      </c>
      <c r="P515">
        <f>MAX(Table1[RATING COUNT])</f>
        <v>426973</v>
      </c>
    </row>
    <row r="516" spans="1:16">
      <c r="A516" t="s">
        <v>1645</v>
      </c>
      <c r="B516" t="s">
        <v>500</v>
      </c>
      <c r="D516" t="s">
        <v>1352</v>
      </c>
      <c r="E516" t="s">
        <v>1375</v>
      </c>
      <c r="F516" t="s">
        <v>1378</v>
      </c>
      <c r="G516" t="s">
        <v>1382</v>
      </c>
      <c r="H516" s="7">
        <v>2599</v>
      </c>
      <c r="I516" s="7">
        <v>2999</v>
      </c>
      <c r="J516" s="7" t="str">
        <f t="shared" si="26"/>
        <v>&gt;₹500</v>
      </c>
      <c r="K516" s="1">
        <v>0.13</v>
      </c>
      <c r="L516" s="1" t="str">
        <f t="shared" si="24"/>
        <v>&lt;50%</v>
      </c>
      <c r="M516">
        <v>3.9</v>
      </c>
      <c r="N516" s="2">
        <v>14266</v>
      </c>
      <c r="O516" s="5">
        <f t="shared" si="25"/>
        <v>42783734</v>
      </c>
      <c r="P516">
        <f>MAX(Table1[RATING COUNT])</f>
        <v>426973</v>
      </c>
    </row>
    <row r="517" spans="1:16">
      <c r="A517" t="s">
        <v>2104</v>
      </c>
      <c r="B517" t="s">
        <v>501</v>
      </c>
      <c r="D517" t="s">
        <v>1352</v>
      </c>
      <c r="E517" t="s">
        <v>1373</v>
      </c>
      <c r="F517" t="s">
        <v>1374</v>
      </c>
      <c r="H517" s="7">
        <v>2799</v>
      </c>
      <c r="I517" s="7">
        <v>6499</v>
      </c>
      <c r="J517" s="7" t="str">
        <f t="shared" si="26"/>
        <v>&gt;₹500</v>
      </c>
      <c r="K517" s="1">
        <v>0.56999999999999995</v>
      </c>
      <c r="L517" s="1" t="str">
        <f t="shared" si="24"/>
        <v>50% or More</v>
      </c>
      <c r="M517">
        <v>4.0999999999999996</v>
      </c>
      <c r="N517" s="2">
        <v>38879</v>
      </c>
      <c r="O517" s="5">
        <f t="shared" si="25"/>
        <v>252674621</v>
      </c>
      <c r="P517">
        <f>MAX(Table1[RATING COUNT])</f>
        <v>426973</v>
      </c>
    </row>
    <row r="518" spans="1:16">
      <c r="A518" t="s">
        <v>2105</v>
      </c>
      <c r="B518" t="s">
        <v>502</v>
      </c>
      <c r="D518" t="s">
        <v>1352</v>
      </c>
      <c r="E518" t="s">
        <v>1383</v>
      </c>
      <c r="F518" t="s">
        <v>1384</v>
      </c>
      <c r="G518" t="s">
        <v>1396</v>
      </c>
      <c r="H518" s="7">
        <v>1399</v>
      </c>
      <c r="I518" s="7">
        <v>2990</v>
      </c>
      <c r="J518" s="7" t="str">
        <f t="shared" si="26"/>
        <v>&gt;₹500</v>
      </c>
      <c r="K518" s="1">
        <v>0.53</v>
      </c>
      <c r="L518" s="1" t="str">
        <f t="shared" si="24"/>
        <v>50% or More</v>
      </c>
      <c r="M518">
        <v>4.0999999999999996</v>
      </c>
      <c r="N518" s="2">
        <v>97175</v>
      </c>
      <c r="O518" s="5">
        <f t="shared" si="25"/>
        <v>290553250</v>
      </c>
      <c r="P518">
        <f>MAX(Table1[RATING COUNT])</f>
        <v>426973</v>
      </c>
    </row>
    <row r="519" spans="1:16">
      <c r="A519" t="s">
        <v>2106</v>
      </c>
      <c r="B519" t="s">
        <v>503</v>
      </c>
      <c r="D519" t="s">
        <v>1352</v>
      </c>
      <c r="E519" t="s">
        <v>1354</v>
      </c>
      <c r="F519" t="s">
        <v>1380</v>
      </c>
      <c r="G519" t="s">
        <v>1381</v>
      </c>
      <c r="H519" s="7">
        <v>649</v>
      </c>
      <c r="I519" s="7">
        <v>2400</v>
      </c>
      <c r="J519" s="7" t="str">
        <f t="shared" si="26"/>
        <v>&gt;₹500</v>
      </c>
      <c r="K519" s="1">
        <v>0.73</v>
      </c>
      <c r="L519" s="1" t="str">
        <f t="shared" si="24"/>
        <v>50% or More</v>
      </c>
      <c r="M519">
        <v>4.4000000000000004</v>
      </c>
      <c r="N519" s="2">
        <v>67260</v>
      </c>
      <c r="O519" s="5">
        <f t="shared" si="25"/>
        <v>161424000</v>
      </c>
      <c r="P519">
        <f>MAX(Table1[RATING COUNT])</f>
        <v>426973</v>
      </c>
    </row>
    <row r="520" spans="1:16">
      <c r="A520" t="s">
        <v>1646</v>
      </c>
      <c r="B520" t="s">
        <v>504</v>
      </c>
      <c r="D520" t="s">
        <v>1352</v>
      </c>
      <c r="E520" t="s">
        <v>1375</v>
      </c>
      <c r="F520" t="s">
        <v>1376</v>
      </c>
      <c r="G520" t="s">
        <v>1377</v>
      </c>
      <c r="H520" s="7">
        <v>799</v>
      </c>
      <c r="I520" s="7">
        <v>3990</v>
      </c>
      <c r="J520" s="7" t="str">
        <f t="shared" si="26"/>
        <v>&gt;₹500</v>
      </c>
      <c r="K520" s="1">
        <v>0.8</v>
      </c>
      <c r="L520" s="1" t="str">
        <f t="shared" si="24"/>
        <v>50% or More</v>
      </c>
      <c r="M520">
        <v>3.8</v>
      </c>
      <c r="N520" s="2">
        <v>119</v>
      </c>
      <c r="O520" s="5">
        <f t="shared" si="25"/>
        <v>474810</v>
      </c>
      <c r="P520">
        <f>MAX(Table1[RATING COUNT])</f>
        <v>426973</v>
      </c>
    </row>
    <row r="521" spans="1:16">
      <c r="A521" t="s">
        <v>2107</v>
      </c>
      <c r="B521" t="s">
        <v>505</v>
      </c>
      <c r="D521" t="s">
        <v>1345</v>
      </c>
      <c r="E521" t="s">
        <v>1346</v>
      </c>
      <c r="F521" t="s">
        <v>1397</v>
      </c>
      <c r="G521" t="s">
        <v>1398</v>
      </c>
      <c r="H521" s="7">
        <v>149</v>
      </c>
      <c r="I521" s="7">
        <v>149</v>
      </c>
      <c r="J521" s="7" t="str">
        <f t="shared" si="26"/>
        <v>&lt;₹200</v>
      </c>
      <c r="K521" s="1">
        <v>0</v>
      </c>
      <c r="L521" s="1" t="str">
        <f t="shared" si="24"/>
        <v>&lt;50%</v>
      </c>
      <c r="M521">
        <v>4.3</v>
      </c>
      <c r="N521" s="2">
        <v>10833</v>
      </c>
      <c r="O521" s="5">
        <f t="shared" si="25"/>
        <v>1614117</v>
      </c>
      <c r="P521">
        <f>MAX(Table1[RATING COUNT])</f>
        <v>426973</v>
      </c>
    </row>
    <row r="522" spans="1:16">
      <c r="A522" t="s">
        <v>2108</v>
      </c>
      <c r="B522" t="s">
        <v>506</v>
      </c>
      <c r="D522" t="s">
        <v>1352</v>
      </c>
      <c r="E522" t="s">
        <v>1375</v>
      </c>
      <c r="F522" t="s">
        <v>1378</v>
      </c>
      <c r="G522" t="s">
        <v>1382</v>
      </c>
      <c r="H522" s="7">
        <v>3799</v>
      </c>
      <c r="I522" s="7">
        <v>5299</v>
      </c>
      <c r="J522" s="7" t="str">
        <f t="shared" si="26"/>
        <v>&gt;₹500</v>
      </c>
      <c r="K522" s="1">
        <v>0.28000000000000003</v>
      </c>
      <c r="L522" s="1" t="str">
        <f t="shared" si="24"/>
        <v>&lt;50%</v>
      </c>
      <c r="M522">
        <v>3.5</v>
      </c>
      <c r="N522" s="2">
        <v>1641</v>
      </c>
      <c r="O522" s="5">
        <f t="shared" si="25"/>
        <v>8695659</v>
      </c>
      <c r="P522">
        <f>MAX(Table1[RATING COUNT])</f>
        <v>426973</v>
      </c>
    </row>
    <row r="523" spans="1:16">
      <c r="A523" t="s">
        <v>2109</v>
      </c>
      <c r="B523" t="s">
        <v>507</v>
      </c>
      <c r="D523" t="s">
        <v>1352</v>
      </c>
      <c r="E523" t="s">
        <v>1375</v>
      </c>
      <c r="F523" t="s">
        <v>1376</v>
      </c>
      <c r="G523" t="s">
        <v>1395</v>
      </c>
      <c r="H523" s="7">
        <v>199</v>
      </c>
      <c r="I523" s="7">
        <v>1899</v>
      </c>
      <c r="J523" s="7" t="str">
        <f t="shared" si="26"/>
        <v>&gt;₹500</v>
      </c>
      <c r="K523" s="1">
        <v>0.9</v>
      </c>
      <c r="L523" s="1" t="str">
        <f t="shared" si="24"/>
        <v>50% or More</v>
      </c>
      <c r="M523">
        <v>4</v>
      </c>
      <c r="N523" s="2">
        <v>4740</v>
      </c>
      <c r="O523" s="5">
        <f t="shared" si="25"/>
        <v>9001260</v>
      </c>
      <c r="P523">
        <f>MAX(Table1[RATING COUNT])</f>
        <v>426973</v>
      </c>
    </row>
    <row r="524" spans="1:16">
      <c r="A524" t="s">
        <v>2110</v>
      </c>
      <c r="B524" t="s">
        <v>508</v>
      </c>
      <c r="D524" t="s">
        <v>1352</v>
      </c>
      <c r="E524" t="s">
        <v>1375</v>
      </c>
      <c r="F524" t="s">
        <v>1378</v>
      </c>
      <c r="G524" t="s">
        <v>1379</v>
      </c>
      <c r="H524" s="7">
        <v>23999</v>
      </c>
      <c r="I524" s="7">
        <v>32999</v>
      </c>
      <c r="J524" s="7" t="str">
        <f t="shared" si="26"/>
        <v>&gt;₹500</v>
      </c>
      <c r="K524" s="1">
        <v>0.27</v>
      </c>
      <c r="L524" s="1" t="str">
        <f t="shared" si="24"/>
        <v>&lt;50%</v>
      </c>
      <c r="M524">
        <v>3.9</v>
      </c>
      <c r="N524" s="2">
        <v>8866</v>
      </c>
      <c r="O524" s="5">
        <f t="shared" si="25"/>
        <v>292569134</v>
      </c>
      <c r="P524">
        <f>MAX(Table1[RATING COUNT])</f>
        <v>426973</v>
      </c>
    </row>
    <row r="525" spans="1:16">
      <c r="A525" t="s">
        <v>2111</v>
      </c>
      <c r="B525" t="s">
        <v>509</v>
      </c>
      <c r="D525" t="s">
        <v>1352</v>
      </c>
      <c r="E525" t="s">
        <v>1375</v>
      </c>
      <c r="F525" t="s">
        <v>1378</v>
      </c>
      <c r="G525" t="s">
        <v>1379</v>
      </c>
      <c r="H525" s="7">
        <v>29990</v>
      </c>
      <c r="I525" s="7">
        <v>39990</v>
      </c>
      <c r="J525" s="7" t="str">
        <f t="shared" si="26"/>
        <v>&gt;₹500</v>
      </c>
      <c r="K525" s="1">
        <v>0.25</v>
      </c>
      <c r="L525" s="1" t="str">
        <f t="shared" si="24"/>
        <v>&lt;50%</v>
      </c>
      <c r="M525">
        <v>4.3</v>
      </c>
      <c r="N525" s="2">
        <v>8399</v>
      </c>
      <c r="O525" s="5">
        <f t="shared" si="25"/>
        <v>335876010</v>
      </c>
      <c r="P525">
        <f>MAX(Table1[RATING COUNT])</f>
        <v>426973</v>
      </c>
    </row>
    <row r="526" spans="1:16">
      <c r="A526" t="s">
        <v>2112</v>
      </c>
      <c r="B526" t="s">
        <v>510</v>
      </c>
      <c r="D526" t="s">
        <v>1352</v>
      </c>
      <c r="E526" t="s">
        <v>1373</v>
      </c>
      <c r="F526" t="s">
        <v>1374</v>
      </c>
      <c r="H526" s="7">
        <v>281</v>
      </c>
      <c r="I526" s="7">
        <v>1999</v>
      </c>
      <c r="J526" s="7" t="str">
        <f t="shared" si="26"/>
        <v>&gt;₹500</v>
      </c>
      <c r="K526" s="1">
        <v>0.86</v>
      </c>
      <c r="L526" s="1" t="str">
        <f t="shared" si="24"/>
        <v>50% or More</v>
      </c>
      <c r="M526">
        <v>2.8</v>
      </c>
      <c r="N526" s="2">
        <v>87</v>
      </c>
      <c r="O526" s="5">
        <f t="shared" si="25"/>
        <v>173913</v>
      </c>
      <c r="P526">
        <f>MAX(Table1[RATING COUNT])</f>
        <v>426973</v>
      </c>
    </row>
    <row r="527" spans="1:16">
      <c r="A527" t="s">
        <v>2113</v>
      </c>
      <c r="B527" t="s">
        <v>511</v>
      </c>
      <c r="D527" t="s">
        <v>1352</v>
      </c>
      <c r="E527" t="s">
        <v>1375</v>
      </c>
      <c r="F527" t="s">
        <v>1378</v>
      </c>
      <c r="G527" t="s">
        <v>1379</v>
      </c>
      <c r="H527" s="7">
        <v>7998</v>
      </c>
      <c r="I527" s="7">
        <v>11999</v>
      </c>
      <c r="J527" s="7" t="str">
        <f t="shared" si="26"/>
        <v>&gt;₹500</v>
      </c>
      <c r="K527" s="1">
        <v>0.33</v>
      </c>
      <c r="L527" s="1" t="str">
        <f t="shared" si="24"/>
        <v>&lt;50%</v>
      </c>
      <c r="M527">
        <v>3.8</v>
      </c>
      <c r="N527" s="2">
        <v>125</v>
      </c>
      <c r="O527" s="5">
        <f t="shared" si="25"/>
        <v>1499875</v>
      </c>
      <c r="P527">
        <f>MAX(Table1[RATING COUNT])</f>
        <v>426973</v>
      </c>
    </row>
    <row r="528" spans="1:16">
      <c r="A528" t="s">
        <v>2114</v>
      </c>
      <c r="B528" t="s">
        <v>512</v>
      </c>
      <c r="D528" t="s">
        <v>1352</v>
      </c>
      <c r="E528" t="s">
        <v>1373</v>
      </c>
      <c r="F528" t="s">
        <v>1374</v>
      </c>
      <c r="H528" s="7">
        <v>249</v>
      </c>
      <c r="I528" s="7">
        <v>999</v>
      </c>
      <c r="J528" s="7" t="str">
        <f t="shared" si="26"/>
        <v>&gt;₹500</v>
      </c>
      <c r="K528" s="1">
        <v>0.75</v>
      </c>
      <c r="L528" s="1" t="str">
        <f t="shared" si="24"/>
        <v>50% or More</v>
      </c>
      <c r="M528">
        <v>4.5</v>
      </c>
      <c r="N528" s="2">
        <v>38</v>
      </c>
      <c r="O528" s="5">
        <f t="shared" si="25"/>
        <v>37962</v>
      </c>
      <c r="P528">
        <f>MAX(Table1[RATING COUNT])</f>
        <v>426973</v>
      </c>
    </row>
    <row r="529" spans="1:16">
      <c r="A529" t="s">
        <v>2115</v>
      </c>
      <c r="B529" t="s">
        <v>513</v>
      </c>
      <c r="D529" t="s">
        <v>1352</v>
      </c>
      <c r="E529" t="s">
        <v>1375</v>
      </c>
      <c r="F529" t="s">
        <v>1376</v>
      </c>
      <c r="G529" t="s">
        <v>1392</v>
      </c>
      <c r="H529" s="7">
        <v>299</v>
      </c>
      <c r="I529" s="7">
        <v>599</v>
      </c>
      <c r="J529" s="7" t="str">
        <f t="shared" si="26"/>
        <v>&gt;₹500</v>
      </c>
      <c r="K529" s="1">
        <v>0.5</v>
      </c>
      <c r="L529" s="1" t="str">
        <f t="shared" si="24"/>
        <v>50% or More</v>
      </c>
      <c r="M529">
        <v>4.3</v>
      </c>
      <c r="N529" s="2">
        <v>4674</v>
      </c>
      <c r="O529" s="5">
        <f t="shared" si="25"/>
        <v>2799726</v>
      </c>
      <c r="P529">
        <f>MAX(Table1[RATING COUNT])</f>
        <v>426973</v>
      </c>
    </row>
    <row r="530" spans="1:16">
      <c r="A530" t="s">
        <v>2116</v>
      </c>
      <c r="B530" t="s">
        <v>514</v>
      </c>
      <c r="D530" t="s">
        <v>1352</v>
      </c>
      <c r="E530" t="s">
        <v>1373</v>
      </c>
      <c r="F530" t="s">
        <v>1374</v>
      </c>
      <c r="H530" s="7">
        <v>499</v>
      </c>
      <c r="I530" s="7">
        <v>1899</v>
      </c>
      <c r="J530" s="7" t="str">
        <f t="shared" si="26"/>
        <v>&gt;₹500</v>
      </c>
      <c r="K530" s="1">
        <v>0.74</v>
      </c>
      <c r="L530" s="1" t="str">
        <f t="shared" si="24"/>
        <v>50% or More</v>
      </c>
      <c r="M530">
        <v>4.0999999999999996</v>
      </c>
      <c r="N530" s="2">
        <v>412</v>
      </c>
      <c r="O530" s="5">
        <f t="shared" si="25"/>
        <v>782388</v>
      </c>
      <c r="P530">
        <f>MAX(Table1[RATING COUNT])</f>
        <v>426973</v>
      </c>
    </row>
    <row r="531" spans="1:16">
      <c r="A531" t="s">
        <v>2117</v>
      </c>
      <c r="B531" t="s">
        <v>515</v>
      </c>
      <c r="D531" t="s">
        <v>1352</v>
      </c>
      <c r="E531" t="s">
        <v>1373</v>
      </c>
      <c r="F531" t="s">
        <v>1374</v>
      </c>
      <c r="H531" s="7">
        <v>899</v>
      </c>
      <c r="I531" s="7">
        <v>3499</v>
      </c>
      <c r="J531" s="7" t="str">
        <f t="shared" si="26"/>
        <v>&gt;₹500</v>
      </c>
      <c r="K531" s="1">
        <v>0.74</v>
      </c>
      <c r="L531" s="1" t="str">
        <f t="shared" si="24"/>
        <v>50% or More</v>
      </c>
      <c r="M531">
        <v>3</v>
      </c>
      <c r="N531" s="2">
        <v>681</v>
      </c>
      <c r="O531" s="5">
        <f t="shared" si="25"/>
        <v>2382819</v>
      </c>
      <c r="P531">
        <f>MAX(Table1[RATING COUNT])</f>
        <v>426973</v>
      </c>
    </row>
    <row r="532" spans="1:16">
      <c r="A532" t="s">
        <v>2118</v>
      </c>
      <c r="B532" t="s">
        <v>516</v>
      </c>
      <c r="D532" t="s">
        <v>1352</v>
      </c>
      <c r="E532" t="s">
        <v>1375</v>
      </c>
      <c r="F532" t="s">
        <v>1376</v>
      </c>
      <c r="G532" t="s">
        <v>1377</v>
      </c>
      <c r="H532" s="7">
        <v>1599</v>
      </c>
      <c r="I532" s="7">
        <v>3499</v>
      </c>
      <c r="J532" s="7" t="str">
        <f t="shared" si="26"/>
        <v>&gt;₹500</v>
      </c>
      <c r="K532" s="1">
        <v>0.54</v>
      </c>
      <c r="L532" s="1" t="str">
        <f t="shared" si="24"/>
        <v>50% or More</v>
      </c>
      <c r="M532">
        <v>4</v>
      </c>
      <c r="N532" s="2">
        <v>36384</v>
      </c>
      <c r="O532" s="5">
        <f t="shared" si="25"/>
        <v>127307616</v>
      </c>
      <c r="P532">
        <f>MAX(Table1[RATING COUNT])</f>
        <v>426973</v>
      </c>
    </row>
    <row r="533" spans="1:16">
      <c r="A533" t="s">
        <v>2119</v>
      </c>
      <c r="B533" t="s">
        <v>517</v>
      </c>
      <c r="D533" t="s">
        <v>1352</v>
      </c>
      <c r="E533" t="s">
        <v>1383</v>
      </c>
      <c r="F533" t="s">
        <v>1364</v>
      </c>
      <c r="H533" s="7">
        <v>120</v>
      </c>
      <c r="I533" s="7">
        <v>999</v>
      </c>
      <c r="J533" s="7" t="str">
        <f t="shared" si="26"/>
        <v>&gt;₹500</v>
      </c>
      <c r="K533" s="1">
        <v>0.88</v>
      </c>
      <c r="L533" s="1" t="str">
        <f t="shared" si="24"/>
        <v>50% or More</v>
      </c>
      <c r="M533">
        <v>3.9</v>
      </c>
      <c r="N533" s="2">
        <v>6491</v>
      </c>
      <c r="O533" s="5">
        <f t="shared" si="25"/>
        <v>6484509</v>
      </c>
      <c r="P533">
        <f>MAX(Table1[RATING COUNT])</f>
        <v>426973</v>
      </c>
    </row>
    <row r="534" spans="1:16">
      <c r="A534" t="s">
        <v>2120</v>
      </c>
      <c r="B534" t="s">
        <v>518</v>
      </c>
      <c r="D534" t="s">
        <v>1352</v>
      </c>
      <c r="E534" t="s">
        <v>1373</v>
      </c>
      <c r="F534" t="s">
        <v>1374</v>
      </c>
      <c r="H534" s="7">
        <v>3999</v>
      </c>
      <c r="I534" s="7">
        <v>6999</v>
      </c>
      <c r="J534" s="7" t="str">
        <f t="shared" si="26"/>
        <v>&gt;₹500</v>
      </c>
      <c r="K534" s="1">
        <v>0.43</v>
      </c>
      <c r="L534" s="1" t="str">
        <f t="shared" si="24"/>
        <v>&lt;50%</v>
      </c>
      <c r="M534">
        <v>4.0999999999999996</v>
      </c>
      <c r="N534" s="2">
        <v>10229</v>
      </c>
      <c r="O534" s="5">
        <f t="shared" si="25"/>
        <v>71592771</v>
      </c>
      <c r="P534">
        <f>MAX(Table1[RATING COUNT])</f>
        <v>426973</v>
      </c>
    </row>
    <row r="535" spans="1:16">
      <c r="A535" t="s">
        <v>2121</v>
      </c>
      <c r="B535" t="s">
        <v>519</v>
      </c>
      <c r="D535" t="s">
        <v>1352</v>
      </c>
      <c r="E535" t="s">
        <v>1375</v>
      </c>
      <c r="F535" t="s">
        <v>1376</v>
      </c>
      <c r="G535" t="s">
        <v>1395</v>
      </c>
      <c r="H535" s="7">
        <v>1599</v>
      </c>
      <c r="I535" s="7">
        <v>2599</v>
      </c>
      <c r="J535" s="7" t="str">
        <f t="shared" si="26"/>
        <v>&gt;₹500</v>
      </c>
      <c r="K535" s="1">
        <v>0.38</v>
      </c>
      <c r="L535" s="1" t="str">
        <f t="shared" si="24"/>
        <v>&lt;50%</v>
      </c>
      <c r="M535">
        <v>4.3</v>
      </c>
      <c r="N535" s="2">
        <v>1801</v>
      </c>
      <c r="O535" s="5">
        <f t="shared" si="25"/>
        <v>4680799</v>
      </c>
      <c r="P535">
        <f>MAX(Table1[RATING COUNT])</f>
        <v>426973</v>
      </c>
    </row>
    <row r="536" spans="1:16">
      <c r="A536" t="s">
        <v>2122</v>
      </c>
      <c r="B536" t="s">
        <v>520</v>
      </c>
      <c r="D536" t="s">
        <v>1352</v>
      </c>
      <c r="E536" t="s">
        <v>1375</v>
      </c>
      <c r="F536" t="s">
        <v>1376</v>
      </c>
      <c r="G536" t="s">
        <v>1377</v>
      </c>
      <c r="H536" s="7">
        <v>699</v>
      </c>
      <c r="I536" s="7">
        <v>1199</v>
      </c>
      <c r="J536" s="7" t="str">
        <f t="shared" si="26"/>
        <v>&gt;₹500</v>
      </c>
      <c r="K536" s="1">
        <v>0.42</v>
      </c>
      <c r="L536" s="1" t="str">
        <f t="shared" si="24"/>
        <v>&lt;50%</v>
      </c>
      <c r="M536">
        <v>4</v>
      </c>
      <c r="N536" s="2">
        <v>14404</v>
      </c>
      <c r="O536" s="5">
        <f t="shared" si="25"/>
        <v>17270396</v>
      </c>
      <c r="P536">
        <f>MAX(Table1[RATING COUNT])</f>
        <v>426973</v>
      </c>
    </row>
    <row r="537" spans="1:16">
      <c r="A537" t="s">
        <v>2123</v>
      </c>
      <c r="B537" t="s">
        <v>521</v>
      </c>
      <c r="D537" t="s">
        <v>1352</v>
      </c>
      <c r="E537" t="s">
        <v>1375</v>
      </c>
      <c r="F537" t="s">
        <v>1376</v>
      </c>
      <c r="G537" t="s">
        <v>1391</v>
      </c>
      <c r="H537" s="7">
        <v>99</v>
      </c>
      <c r="I537" s="7">
        <v>999</v>
      </c>
      <c r="J537" s="7" t="str">
        <f t="shared" si="26"/>
        <v>&gt;₹500</v>
      </c>
      <c r="K537" s="1">
        <v>0.9</v>
      </c>
      <c r="L537" s="1" t="str">
        <f t="shared" si="24"/>
        <v>50% or More</v>
      </c>
      <c r="M537">
        <v>4.4000000000000004</v>
      </c>
      <c r="N537" s="2">
        <v>305</v>
      </c>
      <c r="O537" s="5">
        <f t="shared" si="25"/>
        <v>304695</v>
      </c>
      <c r="P537">
        <f>MAX(Table1[RATING COUNT])</f>
        <v>426973</v>
      </c>
    </row>
    <row r="538" spans="1:16">
      <c r="A538" t="s">
        <v>2124</v>
      </c>
      <c r="B538" t="s">
        <v>522</v>
      </c>
      <c r="D538" t="s">
        <v>1352</v>
      </c>
      <c r="E538" t="s">
        <v>1375</v>
      </c>
      <c r="F538" t="s">
        <v>1378</v>
      </c>
      <c r="G538" t="s">
        <v>1379</v>
      </c>
      <c r="H538" s="7">
        <v>7915</v>
      </c>
      <c r="I538" s="7">
        <v>9999</v>
      </c>
      <c r="J538" s="7" t="str">
        <f t="shared" si="26"/>
        <v>&gt;₹500</v>
      </c>
      <c r="K538" s="1">
        <v>0.21</v>
      </c>
      <c r="L538" s="1" t="str">
        <f t="shared" si="24"/>
        <v>&lt;50%</v>
      </c>
      <c r="M538">
        <v>4.3</v>
      </c>
      <c r="N538" s="2">
        <v>1376</v>
      </c>
      <c r="O538" s="5">
        <f t="shared" si="25"/>
        <v>13758624</v>
      </c>
      <c r="P538">
        <f>MAX(Table1[RATING COUNT])</f>
        <v>426973</v>
      </c>
    </row>
    <row r="539" spans="1:16">
      <c r="A539" t="s">
        <v>2125</v>
      </c>
      <c r="B539" t="s">
        <v>523</v>
      </c>
      <c r="D539" t="s">
        <v>1352</v>
      </c>
      <c r="E539" t="s">
        <v>1373</v>
      </c>
      <c r="F539" t="s">
        <v>1374</v>
      </c>
      <c r="H539" s="7">
        <v>1499</v>
      </c>
      <c r="I539" s="7">
        <v>7999</v>
      </c>
      <c r="J539" s="7" t="str">
        <f t="shared" si="26"/>
        <v>&gt;₹500</v>
      </c>
      <c r="K539" s="1">
        <v>0.81</v>
      </c>
      <c r="L539" s="1" t="str">
        <f t="shared" si="24"/>
        <v>50% or More</v>
      </c>
      <c r="M539">
        <v>4.2</v>
      </c>
      <c r="N539" s="2">
        <v>22638</v>
      </c>
      <c r="O539" s="5">
        <f t="shared" si="25"/>
        <v>181081362</v>
      </c>
      <c r="P539">
        <f>MAX(Table1[RATING COUNT])</f>
        <v>426973</v>
      </c>
    </row>
    <row r="540" spans="1:16">
      <c r="A540" t="s">
        <v>2126</v>
      </c>
      <c r="B540" t="s">
        <v>524</v>
      </c>
      <c r="D540" t="s">
        <v>1352</v>
      </c>
      <c r="E540" t="s">
        <v>1375</v>
      </c>
      <c r="F540" t="s">
        <v>1378</v>
      </c>
      <c r="G540" t="s">
        <v>1382</v>
      </c>
      <c r="H540" s="7">
        <v>1055</v>
      </c>
      <c r="I540" s="7">
        <v>1249</v>
      </c>
      <c r="J540" s="7" t="str">
        <f t="shared" si="26"/>
        <v>&gt;₹500</v>
      </c>
      <c r="K540" s="1">
        <v>0.16</v>
      </c>
      <c r="L540" s="1" t="str">
        <f t="shared" si="24"/>
        <v>&lt;50%</v>
      </c>
      <c r="M540">
        <v>3.8</v>
      </c>
      <c r="N540" s="2">
        <v>2352</v>
      </c>
      <c r="O540" s="5">
        <f t="shared" si="25"/>
        <v>2937648</v>
      </c>
      <c r="P540">
        <f>MAX(Table1[RATING COUNT])</f>
        <v>426973</v>
      </c>
    </row>
    <row r="541" spans="1:16">
      <c r="A541" t="s">
        <v>2127</v>
      </c>
      <c r="B541" t="s">
        <v>525</v>
      </c>
      <c r="D541" t="s">
        <v>1352</v>
      </c>
      <c r="E541" t="s">
        <v>1375</v>
      </c>
      <c r="F541" t="s">
        <v>1376</v>
      </c>
      <c r="G541" t="s">
        <v>1392</v>
      </c>
      <c r="H541" s="7">
        <v>150</v>
      </c>
      <c r="I541" s="7">
        <v>599</v>
      </c>
      <c r="J541" s="7" t="str">
        <f t="shared" si="26"/>
        <v>&gt;₹500</v>
      </c>
      <c r="K541" s="1">
        <v>0.75</v>
      </c>
      <c r="L541" s="1" t="str">
        <f t="shared" si="24"/>
        <v>50% or More</v>
      </c>
      <c r="M541">
        <v>4.3</v>
      </c>
      <c r="N541" s="2">
        <v>714</v>
      </c>
      <c r="O541" s="5">
        <f t="shared" si="25"/>
        <v>427686</v>
      </c>
      <c r="P541">
        <f>MAX(Table1[RATING COUNT])</f>
        <v>426973</v>
      </c>
    </row>
    <row r="542" spans="1:16">
      <c r="A542" t="s">
        <v>1662</v>
      </c>
      <c r="B542" t="s">
        <v>69</v>
      </c>
      <c r="D542" t="s">
        <v>1345</v>
      </c>
      <c r="E542" t="s">
        <v>1346</v>
      </c>
      <c r="F542" t="s">
        <v>1347</v>
      </c>
      <c r="G542" t="s">
        <v>1348</v>
      </c>
      <c r="H542" s="7">
        <v>219</v>
      </c>
      <c r="I542" s="7">
        <v>700</v>
      </c>
      <c r="J542" s="7" t="str">
        <f t="shared" si="26"/>
        <v>&gt;₹500</v>
      </c>
      <c r="K542" s="1">
        <v>0.69</v>
      </c>
      <c r="L542" s="1" t="str">
        <f t="shared" si="24"/>
        <v>50% or More</v>
      </c>
      <c r="M542">
        <v>4.3</v>
      </c>
      <c r="N542" s="2">
        <v>20052</v>
      </c>
      <c r="O542" s="5">
        <f t="shared" si="25"/>
        <v>14036400</v>
      </c>
      <c r="P542">
        <f>MAX(Table1[RATING COUNT])</f>
        <v>426973</v>
      </c>
    </row>
    <row r="543" spans="1:16">
      <c r="A543" t="s">
        <v>2128</v>
      </c>
      <c r="B543" t="s">
        <v>526</v>
      </c>
      <c r="D543" t="s">
        <v>1352</v>
      </c>
      <c r="E543" t="s">
        <v>1375</v>
      </c>
      <c r="F543" t="s">
        <v>1376</v>
      </c>
      <c r="G543" t="s">
        <v>1395</v>
      </c>
      <c r="H543" s="7">
        <v>474</v>
      </c>
      <c r="I543" s="7">
        <v>1799</v>
      </c>
      <c r="J543" s="7" t="str">
        <f t="shared" si="26"/>
        <v>&gt;₹500</v>
      </c>
      <c r="K543" s="1">
        <v>0.74</v>
      </c>
      <c r="L543" s="1" t="str">
        <f t="shared" si="24"/>
        <v>50% or More</v>
      </c>
      <c r="M543">
        <v>4.3</v>
      </c>
      <c r="N543" s="2">
        <v>1454</v>
      </c>
      <c r="O543" s="5">
        <f t="shared" si="25"/>
        <v>2615746</v>
      </c>
      <c r="P543">
        <f>MAX(Table1[RATING COUNT])</f>
        <v>426973</v>
      </c>
    </row>
    <row r="544" spans="1:16">
      <c r="A544" t="s">
        <v>2129</v>
      </c>
      <c r="B544" t="s">
        <v>527</v>
      </c>
      <c r="D544" t="s">
        <v>1352</v>
      </c>
      <c r="E544" t="s">
        <v>1375</v>
      </c>
      <c r="F544" t="s">
        <v>1376</v>
      </c>
      <c r="G544" t="s">
        <v>1377</v>
      </c>
      <c r="H544" s="7">
        <v>239</v>
      </c>
      <c r="I544" s="7">
        <v>599</v>
      </c>
      <c r="J544" s="7" t="str">
        <f t="shared" si="26"/>
        <v>&gt;₹500</v>
      </c>
      <c r="K544" s="1">
        <v>0.6</v>
      </c>
      <c r="L544" s="1" t="str">
        <f t="shared" si="24"/>
        <v>50% or More</v>
      </c>
      <c r="M544">
        <v>3.9</v>
      </c>
      <c r="N544" s="2">
        <v>2147</v>
      </c>
      <c r="O544" s="5">
        <f t="shared" si="25"/>
        <v>1286053</v>
      </c>
      <c r="P544">
        <f>MAX(Table1[RATING COUNT])</f>
        <v>426973</v>
      </c>
    </row>
    <row r="545" spans="1:16">
      <c r="A545" t="s">
        <v>2130</v>
      </c>
      <c r="B545" t="s">
        <v>528</v>
      </c>
      <c r="D545" t="s">
        <v>1352</v>
      </c>
      <c r="E545" t="s">
        <v>1375</v>
      </c>
      <c r="F545" t="s">
        <v>1378</v>
      </c>
      <c r="G545" t="s">
        <v>1379</v>
      </c>
      <c r="H545" s="7">
        <v>7499</v>
      </c>
      <c r="I545" s="7">
        <v>9499</v>
      </c>
      <c r="J545" s="7" t="str">
        <f t="shared" si="26"/>
        <v>&gt;₹500</v>
      </c>
      <c r="K545" s="1">
        <v>0.21</v>
      </c>
      <c r="L545" s="1" t="str">
        <f t="shared" si="24"/>
        <v>&lt;50%</v>
      </c>
      <c r="M545">
        <v>4.0999999999999996</v>
      </c>
      <c r="N545" s="2">
        <v>313832</v>
      </c>
      <c r="O545" s="5">
        <f t="shared" si="25"/>
        <v>2981090168</v>
      </c>
      <c r="P545">
        <f>MAX(Table1[RATING COUNT])</f>
        <v>426973</v>
      </c>
    </row>
    <row r="546" spans="1:16">
      <c r="A546" t="s">
        <v>2131</v>
      </c>
      <c r="B546" t="s">
        <v>529</v>
      </c>
      <c r="D546" t="s">
        <v>1352</v>
      </c>
      <c r="E546" t="s">
        <v>1373</v>
      </c>
      <c r="F546" t="s">
        <v>1374</v>
      </c>
      <c r="H546" s="7">
        <v>265</v>
      </c>
      <c r="I546" s="7">
        <v>999</v>
      </c>
      <c r="J546" s="7" t="str">
        <f t="shared" si="26"/>
        <v>&gt;₹500</v>
      </c>
      <c r="K546" s="1">
        <v>0.73</v>
      </c>
      <c r="L546" s="1" t="str">
        <f t="shared" si="24"/>
        <v>50% or More</v>
      </c>
      <c r="M546">
        <v>3.7</v>
      </c>
      <c r="N546" s="2">
        <v>465</v>
      </c>
      <c r="O546" s="5">
        <f t="shared" si="25"/>
        <v>464535</v>
      </c>
      <c r="P546">
        <f>MAX(Table1[RATING COUNT])</f>
        <v>426973</v>
      </c>
    </row>
    <row r="547" spans="1:16">
      <c r="A547" t="s">
        <v>2132</v>
      </c>
      <c r="B547" t="s">
        <v>530</v>
      </c>
      <c r="D547" t="s">
        <v>1352</v>
      </c>
      <c r="E547" t="s">
        <v>1375</v>
      </c>
      <c r="F547" t="s">
        <v>1378</v>
      </c>
      <c r="G547" t="s">
        <v>1379</v>
      </c>
      <c r="H547" s="7">
        <v>37990</v>
      </c>
      <c r="I547" s="7">
        <v>74999</v>
      </c>
      <c r="J547" s="7" t="str">
        <f t="shared" si="26"/>
        <v>&gt;₹500</v>
      </c>
      <c r="K547" s="1">
        <v>0.49</v>
      </c>
      <c r="L547" s="1" t="str">
        <f t="shared" si="24"/>
        <v>&lt;50%</v>
      </c>
      <c r="M547">
        <v>4.2</v>
      </c>
      <c r="N547" s="2">
        <v>27790</v>
      </c>
      <c r="O547" s="5">
        <f t="shared" si="25"/>
        <v>2084222210</v>
      </c>
      <c r="P547">
        <f>MAX(Table1[RATING COUNT])</f>
        <v>426973</v>
      </c>
    </row>
    <row r="548" spans="1:16">
      <c r="A548" t="s">
        <v>2133</v>
      </c>
      <c r="B548" t="s">
        <v>531</v>
      </c>
      <c r="D548" t="s">
        <v>1352</v>
      </c>
      <c r="E548" t="s">
        <v>1375</v>
      </c>
      <c r="F548" t="s">
        <v>1376</v>
      </c>
      <c r="G548" t="s">
        <v>1388</v>
      </c>
      <c r="H548" s="7">
        <v>1799</v>
      </c>
      <c r="I548" s="7">
        <v>3999</v>
      </c>
      <c r="J548" s="7" t="str">
        <f t="shared" si="26"/>
        <v>&gt;₹500</v>
      </c>
      <c r="K548" s="1">
        <v>0.55000000000000004</v>
      </c>
      <c r="L548" s="1" t="str">
        <f t="shared" si="24"/>
        <v>50% or More</v>
      </c>
      <c r="M548">
        <v>4.5999999999999996</v>
      </c>
      <c r="N548" s="2">
        <v>245</v>
      </c>
      <c r="O548" s="5">
        <f t="shared" si="25"/>
        <v>979755</v>
      </c>
      <c r="P548">
        <f>MAX(Table1[RATING COUNT])</f>
        <v>426973</v>
      </c>
    </row>
    <row r="549" spans="1:16">
      <c r="A549" t="s">
        <v>2134</v>
      </c>
      <c r="B549" t="s">
        <v>532</v>
      </c>
      <c r="D549" t="s">
        <v>1352</v>
      </c>
      <c r="E549" t="s">
        <v>1375</v>
      </c>
      <c r="F549" t="s">
        <v>1378</v>
      </c>
      <c r="G549" t="s">
        <v>1379</v>
      </c>
      <c r="H549" s="7">
        <v>8499</v>
      </c>
      <c r="I549" s="7">
        <v>11999</v>
      </c>
      <c r="J549" s="7" t="str">
        <f t="shared" si="26"/>
        <v>&gt;₹500</v>
      </c>
      <c r="K549" s="1">
        <v>0.28999999999999998</v>
      </c>
      <c r="L549" s="1" t="str">
        <f t="shared" si="24"/>
        <v>&lt;50%</v>
      </c>
      <c r="M549">
        <v>3.9</v>
      </c>
      <c r="N549" s="2">
        <v>276</v>
      </c>
      <c r="O549" s="5">
        <f t="shared" si="25"/>
        <v>3311724</v>
      </c>
      <c r="P549">
        <f>MAX(Table1[RATING COUNT])</f>
        <v>426973</v>
      </c>
    </row>
    <row r="550" spans="1:16">
      <c r="A550" t="s">
        <v>2135</v>
      </c>
      <c r="B550" t="s">
        <v>533</v>
      </c>
      <c r="D550" t="s">
        <v>1352</v>
      </c>
      <c r="E550" t="s">
        <v>1373</v>
      </c>
      <c r="F550" t="s">
        <v>1374</v>
      </c>
      <c r="H550" s="7">
        <v>1999</v>
      </c>
      <c r="I550" s="7">
        <v>3999</v>
      </c>
      <c r="J550" s="7" t="str">
        <f t="shared" si="26"/>
        <v>&gt;₹500</v>
      </c>
      <c r="K550" s="1">
        <v>0.5</v>
      </c>
      <c r="L550" s="1" t="str">
        <f t="shared" si="24"/>
        <v>50% or More</v>
      </c>
      <c r="M550">
        <v>4</v>
      </c>
      <c r="N550" s="2">
        <v>30254</v>
      </c>
      <c r="O550" s="5">
        <f t="shared" si="25"/>
        <v>120985746</v>
      </c>
      <c r="P550">
        <f>MAX(Table1[RATING COUNT])</f>
        <v>426973</v>
      </c>
    </row>
    <row r="551" spans="1:16">
      <c r="A551" t="s">
        <v>2136</v>
      </c>
      <c r="B551" t="s">
        <v>369</v>
      </c>
      <c r="D551" t="s">
        <v>1352</v>
      </c>
      <c r="E551" t="s">
        <v>1373</v>
      </c>
      <c r="F551" t="s">
        <v>1374</v>
      </c>
      <c r="H551" s="7">
        <v>3999</v>
      </c>
      <c r="I551" s="7">
        <v>17999</v>
      </c>
      <c r="J551" s="7" t="str">
        <f t="shared" si="26"/>
        <v>&gt;₹500</v>
      </c>
      <c r="K551" s="1">
        <v>0.78</v>
      </c>
      <c r="L551" s="1" t="str">
        <f t="shared" si="24"/>
        <v>50% or More</v>
      </c>
      <c r="M551">
        <v>4.3</v>
      </c>
      <c r="N551" s="2">
        <v>17161</v>
      </c>
      <c r="O551" s="5">
        <f t="shared" si="25"/>
        <v>308880839</v>
      </c>
      <c r="P551">
        <f>MAX(Table1[RATING COUNT])</f>
        <v>426973</v>
      </c>
    </row>
    <row r="552" spans="1:16">
      <c r="A552" t="s">
        <v>2137</v>
      </c>
      <c r="B552" t="s">
        <v>534</v>
      </c>
      <c r="D552" t="s">
        <v>1352</v>
      </c>
      <c r="E552" t="s">
        <v>1375</v>
      </c>
      <c r="F552" t="s">
        <v>1376</v>
      </c>
      <c r="G552" t="s">
        <v>1377</v>
      </c>
      <c r="H552" s="7">
        <v>219</v>
      </c>
      <c r="I552" s="7">
        <v>499</v>
      </c>
      <c r="J552" s="7" t="str">
        <f t="shared" si="26"/>
        <v>₹200–₹500</v>
      </c>
      <c r="K552" s="1">
        <v>0.56000000000000005</v>
      </c>
      <c r="L552" s="1" t="str">
        <f t="shared" si="24"/>
        <v>50% or More</v>
      </c>
      <c r="M552">
        <v>4.4000000000000004</v>
      </c>
      <c r="N552" s="2">
        <v>14</v>
      </c>
      <c r="O552" s="5">
        <f t="shared" si="25"/>
        <v>6986</v>
      </c>
      <c r="P552">
        <f>MAX(Table1[RATING COUNT])</f>
        <v>426973</v>
      </c>
    </row>
    <row r="553" spans="1:16">
      <c r="A553" t="s">
        <v>2138</v>
      </c>
      <c r="B553" t="s">
        <v>535</v>
      </c>
      <c r="D553" t="s">
        <v>1352</v>
      </c>
      <c r="E553" t="s">
        <v>1375</v>
      </c>
      <c r="F553" t="s">
        <v>1376</v>
      </c>
      <c r="G553" t="s">
        <v>1388</v>
      </c>
      <c r="H553" s="7">
        <v>599</v>
      </c>
      <c r="I553" s="7">
        <v>1399</v>
      </c>
      <c r="J553" s="7" t="str">
        <f t="shared" si="26"/>
        <v>&gt;₹500</v>
      </c>
      <c r="K553" s="1">
        <v>0.56999999999999995</v>
      </c>
      <c r="L553" s="1" t="str">
        <f t="shared" si="24"/>
        <v>50% or More</v>
      </c>
      <c r="M553">
        <v>4.0999999999999996</v>
      </c>
      <c r="N553" s="2">
        <v>14560</v>
      </c>
      <c r="O553" s="5">
        <f t="shared" si="25"/>
        <v>20369440</v>
      </c>
      <c r="P553">
        <f>MAX(Table1[RATING COUNT])</f>
        <v>426973</v>
      </c>
    </row>
    <row r="554" spans="1:16">
      <c r="A554" t="s">
        <v>2139</v>
      </c>
      <c r="B554" t="s">
        <v>536</v>
      </c>
      <c r="D554" t="s">
        <v>1352</v>
      </c>
      <c r="E554" t="s">
        <v>1375</v>
      </c>
      <c r="F554" t="s">
        <v>1376</v>
      </c>
      <c r="G554" t="s">
        <v>1377</v>
      </c>
      <c r="H554" s="7">
        <v>2499</v>
      </c>
      <c r="I554" s="7">
        <v>2999</v>
      </c>
      <c r="J554" s="7" t="str">
        <f t="shared" si="26"/>
        <v>&gt;₹500</v>
      </c>
      <c r="K554" s="1">
        <v>0.17</v>
      </c>
      <c r="L554" s="1" t="str">
        <f t="shared" si="24"/>
        <v>&lt;50%</v>
      </c>
      <c r="M554">
        <v>4.0999999999999996</v>
      </c>
      <c r="N554" s="2">
        <v>3156</v>
      </c>
      <c r="O554" s="5">
        <f t="shared" si="25"/>
        <v>9464844</v>
      </c>
      <c r="P554">
        <f>MAX(Table1[RATING COUNT])</f>
        <v>426973</v>
      </c>
    </row>
    <row r="555" spans="1:16">
      <c r="A555" t="s">
        <v>2140</v>
      </c>
      <c r="B555" t="s">
        <v>537</v>
      </c>
      <c r="D555" t="s">
        <v>1352</v>
      </c>
      <c r="E555" t="s">
        <v>1375</v>
      </c>
      <c r="F555" t="s">
        <v>1376</v>
      </c>
      <c r="G555" t="s">
        <v>1362</v>
      </c>
      <c r="H555" s="7">
        <v>89</v>
      </c>
      <c r="I555" s="7">
        <v>499</v>
      </c>
      <c r="J555" s="7" t="str">
        <f t="shared" si="26"/>
        <v>₹200–₹500</v>
      </c>
      <c r="K555" s="1">
        <v>0.82</v>
      </c>
      <c r="L555" s="1" t="str">
        <f t="shared" si="24"/>
        <v>50% or More</v>
      </c>
      <c r="M555">
        <v>4.0999999999999996</v>
      </c>
      <c r="N555" s="2">
        <v>9340</v>
      </c>
      <c r="O555" s="5">
        <f t="shared" si="25"/>
        <v>4660660</v>
      </c>
      <c r="P555">
        <f>MAX(Table1[RATING COUNT])</f>
        <v>426973</v>
      </c>
    </row>
    <row r="556" spans="1:16">
      <c r="A556" t="s">
        <v>2141</v>
      </c>
      <c r="B556" t="s">
        <v>538</v>
      </c>
      <c r="D556" t="s">
        <v>1352</v>
      </c>
      <c r="E556" t="s">
        <v>1373</v>
      </c>
      <c r="F556" t="s">
        <v>1374</v>
      </c>
      <c r="H556" s="7">
        <v>2999</v>
      </c>
      <c r="I556" s="7">
        <v>11999</v>
      </c>
      <c r="J556" s="7" t="str">
        <f t="shared" si="26"/>
        <v>&gt;₹500</v>
      </c>
      <c r="K556" s="1">
        <v>0.75</v>
      </c>
      <c r="L556" s="1" t="str">
        <f t="shared" si="24"/>
        <v>50% or More</v>
      </c>
      <c r="M556">
        <v>4.4000000000000004</v>
      </c>
      <c r="N556" s="2">
        <v>768</v>
      </c>
      <c r="O556" s="5">
        <f t="shared" si="25"/>
        <v>9215232</v>
      </c>
      <c r="P556">
        <f>MAX(Table1[RATING COUNT])</f>
        <v>426973</v>
      </c>
    </row>
    <row r="557" spans="1:16">
      <c r="A557" t="s">
        <v>2142</v>
      </c>
      <c r="B557" t="s">
        <v>539</v>
      </c>
      <c r="D557" t="s">
        <v>1352</v>
      </c>
      <c r="E557" t="s">
        <v>1375</v>
      </c>
      <c r="F557" t="s">
        <v>1376</v>
      </c>
      <c r="G557" t="s">
        <v>1389</v>
      </c>
      <c r="H557" s="7">
        <v>314</v>
      </c>
      <c r="I557" s="7">
        <v>1499</v>
      </c>
      <c r="J557" s="7" t="str">
        <f t="shared" si="26"/>
        <v>&gt;₹500</v>
      </c>
      <c r="K557" s="1">
        <v>0.79</v>
      </c>
      <c r="L557" s="1" t="str">
        <f t="shared" si="24"/>
        <v>50% or More</v>
      </c>
      <c r="M557">
        <v>4.5</v>
      </c>
      <c r="N557" s="2">
        <v>28978</v>
      </c>
      <c r="O557" s="5">
        <f t="shared" si="25"/>
        <v>43438022</v>
      </c>
      <c r="P557">
        <f>MAX(Table1[RATING COUNT])</f>
        <v>426973</v>
      </c>
    </row>
    <row r="558" spans="1:16">
      <c r="A558" t="s">
        <v>2143</v>
      </c>
      <c r="B558" t="s">
        <v>540</v>
      </c>
      <c r="D558" t="s">
        <v>1352</v>
      </c>
      <c r="E558" t="s">
        <v>1375</v>
      </c>
      <c r="F558" t="s">
        <v>1378</v>
      </c>
      <c r="G558" t="s">
        <v>1379</v>
      </c>
      <c r="H558" s="7">
        <v>13999</v>
      </c>
      <c r="I558" s="7">
        <v>19499</v>
      </c>
      <c r="J558" s="7" t="str">
        <f t="shared" si="26"/>
        <v>&gt;₹500</v>
      </c>
      <c r="K558" s="1">
        <v>0.28000000000000003</v>
      </c>
      <c r="L558" s="1" t="str">
        <f t="shared" si="24"/>
        <v>&lt;50%</v>
      </c>
      <c r="M558">
        <v>4.0999999999999996</v>
      </c>
      <c r="N558" s="2">
        <v>18998</v>
      </c>
      <c r="O558" s="5">
        <f t="shared" si="25"/>
        <v>370442002</v>
      </c>
      <c r="P558">
        <f>MAX(Table1[RATING COUNT])</f>
        <v>426973</v>
      </c>
    </row>
    <row r="559" spans="1:16">
      <c r="A559" t="s">
        <v>2144</v>
      </c>
      <c r="B559" t="s">
        <v>541</v>
      </c>
      <c r="D559" t="s">
        <v>1352</v>
      </c>
      <c r="E559" t="s">
        <v>1375</v>
      </c>
      <c r="F559" t="s">
        <v>1376</v>
      </c>
      <c r="G559" t="s">
        <v>1387</v>
      </c>
      <c r="H559" s="7">
        <v>139</v>
      </c>
      <c r="I559" s="7">
        <v>499</v>
      </c>
      <c r="J559" s="7" t="str">
        <f t="shared" si="26"/>
        <v>₹200–₹500</v>
      </c>
      <c r="K559" s="1">
        <v>0.72</v>
      </c>
      <c r="L559" s="1" t="str">
        <f t="shared" si="24"/>
        <v>50% or More</v>
      </c>
      <c r="M559">
        <v>4.2</v>
      </c>
      <c r="N559" s="2">
        <v>4971</v>
      </c>
      <c r="O559" s="5">
        <f t="shared" si="25"/>
        <v>2480529</v>
      </c>
      <c r="P559">
        <f>MAX(Table1[RATING COUNT])</f>
        <v>426973</v>
      </c>
    </row>
    <row r="560" spans="1:16">
      <c r="A560" t="s">
        <v>2145</v>
      </c>
      <c r="B560" t="s">
        <v>542</v>
      </c>
      <c r="D560" t="s">
        <v>1352</v>
      </c>
      <c r="E560" t="s">
        <v>1375</v>
      </c>
      <c r="F560" t="s">
        <v>1376</v>
      </c>
      <c r="G560" t="s">
        <v>1394</v>
      </c>
      <c r="H560" s="7">
        <v>2599</v>
      </c>
      <c r="I560" s="7">
        <v>6999</v>
      </c>
      <c r="J560" s="7" t="str">
        <f t="shared" si="26"/>
        <v>&gt;₹500</v>
      </c>
      <c r="K560" s="1">
        <v>0.63</v>
      </c>
      <c r="L560" s="1" t="str">
        <f t="shared" si="24"/>
        <v>50% or More</v>
      </c>
      <c r="M560">
        <v>4.5</v>
      </c>
      <c r="N560" s="2">
        <v>1526</v>
      </c>
      <c r="O560" s="5">
        <f t="shared" si="25"/>
        <v>10680474</v>
      </c>
      <c r="P560">
        <f>MAX(Table1[RATING COUNT])</f>
        <v>426973</v>
      </c>
    </row>
    <row r="561" spans="1:16">
      <c r="A561" t="s">
        <v>2146</v>
      </c>
      <c r="B561" t="s">
        <v>543</v>
      </c>
      <c r="D561" t="s">
        <v>1352</v>
      </c>
      <c r="E561" t="s">
        <v>1383</v>
      </c>
      <c r="F561" t="s">
        <v>1384</v>
      </c>
      <c r="G561" t="s">
        <v>1385</v>
      </c>
      <c r="H561" s="7">
        <v>365</v>
      </c>
      <c r="I561" s="7">
        <v>999</v>
      </c>
      <c r="J561" s="7" t="str">
        <f t="shared" si="26"/>
        <v>&gt;₹500</v>
      </c>
      <c r="K561" s="1">
        <v>0.63</v>
      </c>
      <c r="L561" s="1" t="str">
        <f t="shared" si="24"/>
        <v>50% or More</v>
      </c>
      <c r="M561">
        <v>4.0999999999999996</v>
      </c>
      <c r="N561" s="2">
        <v>363711</v>
      </c>
      <c r="O561" s="5">
        <f t="shared" si="25"/>
        <v>363347289</v>
      </c>
      <c r="P561">
        <f>MAX(Table1[RATING COUNT])</f>
        <v>426973</v>
      </c>
    </row>
    <row r="562" spans="1:16">
      <c r="A562" t="s">
        <v>2147</v>
      </c>
      <c r="B562" t="s">
        <v>544</v>
      </c>
      <c r="D562" t="s">
        <v>1352</v>
      </c>
      <c r="E562" t="s">
        <v>1383</v>
      </c>
      <c r="F562" t="s">
        <v>1384</v>
      </c>
      <c r="G562" t="s">
        <v>1385</v>
      </c>
      <c r="H562" s="7">
        <v>1499</v>
      </c>
      <c r="I562" s="7">
        <v>4490</v>
      </c>
      <c r="J562" s="7" t="str">
        <f t="shared" si="26"/>
        <v>&gt;₹500</v>
      </c>
      <c r="K562" s="1">
        <v>0.67</v>
      </c>
      <c r="L562" s="1" t="str">
        <f t="shared" si="24"/>
        <v>50% or More</v>
      </c>
      <c r="M562">
        <v>3.9</v>
      </c>
      <c r="N562" s="2">
        <v>136954</v>
      </c>
      <c r="O562" s="5">
        <f t="shared" si="25"/>
        <v>614923460</v>
      </c>
      <c r="P562">
        <f>MAX(Table1[RATING COUNT])</f>
        <v>426973</v>
      </c>
    </row>
    <row r="563" spans="1:16">
      <c r="A563" t="s">
        <v>2148</v>
      </c>
      <c r="B563" t="s">
        <v>333</v>
      </c>
      <c r="D563" t="s">
        <v>1352</v>
      </c>
      <c r="E563" t="s">
        <v>1373</v>
      </c>
      <c r="F563" t="s">
        <v>1374</v>
      </c>
      <c r="H563" s="7">
        <v>1998</v>
      </c>
      <c r="I563" s="7">
        <v>9999</v>
      </c>
      <c r="J563" s="7" t="str">
        <f t="shared" si="26"/>
        <v>&gt;₹500</v>
      </c>
      <c r="K563" s="1">
        <v>0.8</v>
      </c>
      <c r="L563" s="1" t="str">
        <f t="shared" si="24"/>
        <v>50% or More</v>
      </c>
      <c r="M563">
        <v>4.3</v>
      </c>
      <c r="N563" s="2">
        <v>27709</v>
      </c>
      <c r="O563" s="5">
        <f t="shared" si="25"/>
        <v>277062291</v>
      </c>
      <c r="P563">
        <f>MAX(Table1[RATING COUNT])</f>
        <v>426973</v>
      </c>
    </row>
    <row r="564" spans="1:16">
      <c r="A564" t="s">
        <v>1679</v>
      </c>
      <c r="B564" t="s">
        <v>334</v>
      </c>
      <c r="D564" t="s">
        <v>1352</v>
      </c>
      <c r="E564" t="s">
        <v>1373</v>
      </c>
      <c r="F564" t="s">
        <v>1374</v>
      </c>
      <c r="H564" s="7">
        <v>1799</v>
      </c>
      <c r="I564" s="7">
        <v>7990</v>
      </c>
      <c r="J564" s="7" t="str">
        <f t="shared" si="26"/>
        <v>&gt;₹500</v>
      </c>
      <c r="K564" s="1">
        <v>0.77</v>
      </c>
      <c r="L564" s="1" t="str">
        <f t="shared" si="24"/>
        <v>50% or More</v>
      </c>
      <c r="M564">
        <v>3.8</v>
      </c>
      <c r="N564" s="2">
        <v>17833</v>
      </c>
      <c r="O564" s="5">
        <f t="shared" si="25"/>
        <v>142485670</v>
      </c>
      <c r="P564">
        <f>MAX(Table1[RATING COUNT])</f>
        <v>426973</v>
      </c>
    </row>
    <row r="565" spans="1:16">
      <c r="A565" t="s">
        <v>2149</v>
      </c>
      <c r="B565" t="s">
        <v>545</v>
      </c>
      <c r="D565" t="s">
        <v>1345</v>
      </c>
      <c r="E565" t="s">
        <v>1399</v>
      </c>
      <c r="F565" t="s">
        <v>1400</v>
      </c>
      <c r="H565" s="7">
        <v>289</v>
      </c>
      <c r="I565" s="7">
        <v>650</v>
      </c>
      <c r="J565" s="7" t="str">
        <f t="shared" si="26"/>
        <v>&gt;₹500</v>
      </c>
      <c r="K565" s="1">
        <v>0.56000000000000005</v>
      </c>
      <c r="L565" s="1" t="str">
        <f t="shared" si="24"/>
        <v>50% or More</v>
      </c>
      <c r="M565">
        <v>4.3</v>
      </c>
      <c r="N565" s="2">
        <v>253105</v>
      </c>
      <c r="O565" s="5">
        <f t="shared" si="25"/>
        <v>164518250</v>
      </c>
      <c r="P565">
        <f>MAX(Table1[RATING COUNT])</f>
        <v>426973</v>
      </c>
    </row>
    <row r="566" spans="1:16">
      <c r="A566" t="s">
        <v>1683</v>
      </c>
      <c r="B566" t="s">
        <v>546</v>
      </c>
      <c r="D566" t="s">
        <v>1345</v>
      </c>
      <c r="E566" t="s">
        <v>1346</v>
      </c>
      <c r="F566" t="s">
        <v>1401</v>
      </c>
      <c r="G566" t="s">
        <v>1402</v>
      </c>
      <c r="H566" s="7">
        <v>599</v>
      </c>
      <c r="I566" s="7">
        <v>895</v>
      </c>
      <c r="J566" s="7" t="str">
        <f t="shared" si="26"/>
        <v>&gt;₹500</v>
      </c>
      <c r="K566" s="1">
        <v>0.33</v>
      </c>
      <c r="L566" s="1" t="str">
        <f t="shared" si="24"/>
        <v>&lt;50%</v>
      </c>
      <c r="M566">
        <v>4.4000000000000004</v>
      </c>
      <c r="N566" s="2">
        <v>61314</v>
      </c>
      <c r="O566" s="5">
        <f t="shared" si="25"/>
        <v>54876030</v>
      </c>
      <c r="P566">
        <f>MAX(Table1[RATING COUNT])</f>
        <v>426973</v>
      </c>
    </row>
    <row r="567" spans="1:16">
      <c r="A567" t="s">
        <v>2150</v>
      </c>
      <c r="B567" t="s">
        <v>547</v>
      </c>
      <c r="D567" t="s">
        <v>1345</v>
      </c>
      <c r="E567" t="s">
        <v>1346</v>
      </c>
      <c r="F567" t="s">
        <v>1401</v>
      </c>
      <c r="G567" t="s">
        <v>1403</v>
      </c>
      <c r="H567" s="7">
        <v>217</v>
      </c>
      <c r="I567" s="7">
        <v>237</v>
      </c>
      <c r="J567" s="7" t="str">
        <f t="shared" si="26"/>
        <v>₹200–₹500</v>
      </c>
      <c r="K567" s="1">
        <v>0.08</v>
      </c>
      <c r="L567" s="1" t="str">
        <f t="shared" si="24"/>
        <v>&lt;50%</v>
      </c>
      <c r="M567">
        <v>3.8</v>
      </c>
      <c r="N567" s="2">
        <v>7354</v>
      </c>
      <c r="O567" s="5">
        <f t="shared" si="25"/>
        <v>1742898</v>
      </c>
      <c r="P567">
        <f>MAX(Table1[RATING COUNT])</f>
        <v>426973</v>
      </c>
    </row>
    <row r="568" spans="1:16">
      <c r="A568" t="s">
        <v>2151</v>
      </c>
      <c r="B568" t="s">
        <v>548</v>
      </c>
      <c r="D568" t="s">
        <v>1352</v>
      </c>
      <c r="E568" t="s">
        <v>1383</v>
      </c>
      <c r="F568" t="s">
        <v>1384</v>
      </c>
      <c r="G568" t="s">
        <v>1385</v>
      </c>
      <c r="H568" s="7">
        <v>1299</v>
      </c>
      <c r="I568" s="7">
        <v>2990</v>
      </c>
      <c r="J568" s="7" t="str">
        <f t="shared" si="26"/>
        <v>&gt;₹500</v>
      </c>
      <c r="K568" s="1">
        <v>0.56999999999999995</v>
      </c>
      <c r="L568" s="1" t="str">
        <f t="shared" si="24"/>
        <v>50% or More</v>
      </c>
      <c r="M568">
        <v>3.8</v>
      </c>
      <c r="N568" s="2">
        <v>180998</v>
      </c>
      <c r="O568" s="5">
        <f t="shared" si="25"/>
        <v>541184020</v>
      </c>
      <c r="P568">
        <f>MAX(Table1[RATING COUNT])</f>
        <v>426973</v>
      </c>
    </row>
    <row r="569" spans="1:16">
      <c r="A569" t="s">
        <v>2152</v>
      </c>
      <c r="B569" t="s">
        <v>549</v>
      </c>
      <c r="D569" t="s">
        <v>1345</v>
      </c>
      <c r="E569" t="s">
        <v>1346</v>
      </c>
      <c r="F569" t="s">
        <v>1397</v>
      </c>
      <c r="G569" t="s">
        <v>1404</v>
      </c>
      <c r="H569" s="7">
        <v>263</v>
      </c>
      <c r="I569" s="7">
        <v>699</v>
      </c>
      <c r="J569" s="7" t="str">
        <f t="shared" si="26"/>
        <v>&gt;₹500</v>
      </c>
      <c r="K569" s="1">
        <v>0.62</v>
      </c>
      <c r="L569" s="1" t="str">
        <f t="shared" si="24"/>
        <v>50% or More</v>
      </c>
      <c r="M569">
        <v>3.5</v>
      </c>
      <c r="N569" s="2">
        <v>690</v>
      </c>
      <c r="O569" s="5">
        <f t="shared" si="25"/>
        <v>482310</v>
      </c>
      <c r="P569">
        <f>MAX(Table1[RATING COUNT])</f>
        <v>426973</v>
      </c>
    </row>
    <row r="570" spans="1:16">
      <c r="A570" t="s">
        <v>2153</v>
      </c>
      <c r="B570" t="s">
        <v>341</v>
      </c>
      <c r="D570" t="s">
        <v>1352</v>
      </c>
      <c r="E570" t="s">
        <v>1354</v>
      </c>
      <c r="F570" t="s">
        <v>1380</v>
      </c>
      <c r="G570" t="s">
        <v>1381</v>
      </c>
      <c r="H570" s="7">
        <v>569</v>
      </c>
      <c r="I570" s="7">
        <v>1000</v>
      </c>
      <c r="J570" s="7" t="str">
        <f t="shared" si="26"/>
        <v>&gt;₹500</v>
      </c>
      <c r="K570" s="1">
        <v>0.43</v>
      </c>
      <c r="L570" s="1" t="str">
        <f t="shared" si="24"/>
        <v>&lt;50%</v>
      </c>
      <c r="M570">
        <v>4.4000000000000004</v>
      </c>
      <c r="N570" s="2">
        <v>67262</v>
      </c>
      <c r="O570" s="5">
        <f t="shared" si="25"/>
        <v>67262000</v>
      </c>
      <c r="P570">
        <f>MAX(Table1[RATING COUNT])</f>
        <v>426973</v>
      </c>
    </row>
    <row r="571" spans="1:16">
      <c r="A571" t="s">
        <v>1685</v>
      </c>
      <c r="B571" t="s">
        <v>342</v>
      </c>
      <c r="D571" t="s">
        <v>1352</v>
      </c>
      <c r="E571" t="s">
        <v>1373</v>
      </c>
      <c r="F571" t="s">
        <v>1374</v>
      </c>
      <c r="H571" s="7">
        <v>1999</v>
      </c>
      <c r="I571" s="7">
        <v>4999</v>
      </c>
      <c r="J571" s="7" t="str">
        <f t="shared" si="26"/>
        <v>&gt;₹500</v>
      </c>
      <c r="K571" s="1">
        <v>0.6</v>
      </c>
      <c r="L571" s="1" t="str">
        <f t="shared" si="24"/>
        <v>50% or More</v>
      </c>
      <c r="M571">
        <v>4.0999999999999996</v>
      </c>
      <c r="N571" s="2">
        <v>10689</v>
      </c>
      <c r="O571" s="5">
        <f t="shared" si="25"/>
        <v>53434311</v>
      </c>
      <c r="P571">
        <f>MAX(Table1[RATING COUNT])</f>
        <v>426973</v>
      </c>
    </row>
    <row r="572" spans="1:16">
      <c r="A572" t="s">
        <v>1686</v>
      </c>
      <c r="B572" t="s">
        <v>550</v>
      </c>
      <c r="D572" t="s">
        <v>1352</v>
      </c>
      <c r="E572" t="s">
        <v>1383</v>
      </c>
      <c r="F572" t="s">
        <v>1384</v>
      </c>
      <c r="G572" t="s">
        <v>1385</v>
      </c>
      <c r="H572" s="7">
        <v>1399</v>
      </c>
      <c r="I572" s="7">
        <v>3990</v>
      </c>
      <c r="J572" s="7" t="str">
        <f t="shared" si="26"/>
        <v>&gt;₹500</v>
      </c>
      <c r="K572" s="1">
        <v>0.65</v>
      </c>
      <c r="L572" s="1" t="str">
        <f t="shared" si="24"/>
        <v>50% or More</v>
      </c>
      <c r="M572">
        <v>4.0999999999999996</v>
      </c>
      <c r="N572" s="2">
        <v>141841</v>
      </c>
      <c r="O572" s="5">
        <f t="shared" si="25"/>
        <v>565945590</v>
      </c>
      <c r="P572">
        <f>MAX(Table1[RATING COUNT])</f>
        <v>426973</v>
      </c>
    </row>
    <row r="573" spans="1:16">
      <c r="A573" t="s">
        <v>2154</v>
      </c>
      <c r="B573" t="s">
        <v>551</v>
      </c>
      <c r="D573" t="s">
        <v>1345</v>
      </c>
      <c r="E573" t="s">
        <v>1346</v>
      </c>
      <c r="F573" t="s">
        <v>1397</v>
      </c>
      <c r="G573" t="s">
        <v>1405</v>
      </c>
      <c r="H573" s="7">
        <v>349</v>
      </c>
      <c r="I573" s="7">
        <v>1499</v>
      </c>
      <c r="J573" s="7" t="str">
        <f t="shared" si="26"/>
        <v>&gt;₹500</v>
      </c>
      <c r="K573" s="1">
        <v>0.77</v>
      </c>
      <c r="L573" s="1" t="str">
        <f t="shared" si="24"/>
        <v>50% or More</v>
      </c>
      <c r="M573">
        <v>4.3</v>
      </c>
      <c r="N573" s="2">
        <v>24791</v>
      </c>
      <c r="O573" s="5">
        <f t="shared" si="25"/>
        <v>37161709</v>
      </c>
      <c r="P573">
        <f>MAX(Table1[RATING COUNT])</f>
        <v>426973</v>
      </c>
    </row>
    <row r="574" spans="1:16">
      <c r="A574" t="s">
        <v>2155</v>
      </c>
      <c r="B574" t="s">
        <v>552</v>
      </c>
      <c r="D574" t="s">
        <v>1352</v>
      </c>
      <c r="E574" t="s">
        <v>1383</v>
      </c>
      <c r="F574" t="s">
        <v>1384</v>
      </c>
      <c r="G574" t="s">
        <v>1385</v>
      </c>
      <c r="H574" s="7">
        <v>149</v>
      </c>
      <c r="I574" s="7">
        <v>399</v>
      </c>
      <c r="J574" s="7" t="str">
        <f t="shared" si="26"/>
        <v>₹200–₹500</v>
      </c>
      <c r="K574" s="1">
        <v>0.63</v>
      </c>
      <c r="L574" s="1" t="str">
        <f t="shared" si="24"/>
        <v>50% or More</v>
      </c>
      <c r="M574">
        <v>3.5</v>
      </c>
      <c r="N574" s="2">
        <v>21764</v>
      </c>
      <c r="O574" s="5">
        <f t="shared" si="25"/>
        <v>8683836</v>
      </c>
      <c r="P574">
        <f>MAX(Table1[RATING COUNT])</f>
        <v>426973</v>
      </c>
    </row>
    <row r="575" spans="1:16">
      <c r="A575" t="s">
        <v>2156</v>
      </c>
      <c r="B575" t="s">
        <v>345</v>
      </c>
      <c r="D575" t="s">
        <v>1352</v>
      </c>
      <c r="E575" t="s">
        <v>1383</v>
      </c>
      <c r="F575" t="s">
        <v>1384</v>
      </c>
      <c r="G575" t="s">
        <v>1385</v>
      </c>
      <c r="H575" s="7">
        <v>599</v>
      </c>
      <c r="I575" s="7">
        <v>999</v>
      </c>
      <c r="J575" s="7" t="str">
        <f t="shared" si="26"/>
        <v>&gt;₹500</v>
      </c>
      <c r="K575" s="1">
        <v>0.4</v>
      </c>
      <c r="L575" s="1" t="str">
        <f t="shared" si="24"/>
        <v>&lt;50%</v>
      </c>
      <c r="M575">
        <v>4.0999999999999996</v>
      </c>
      <c r="N575" s="2">
        <v>192587</v>
      </c>
      <c r="O575" s="5">
        <f t="shared" si="25"/>
        <v>192394413</v>
      </c>
      <c r="P575">
        <f>MAX(Table1[RATING COUNT])</f>
        <v>426973</v>
      </c>
    </row>
    <row r="576" spans="1:16">
      <c r="A576" t="s">
        <v>2157</v>
      </c>
      <c r="B576" t="s">
        <v>553</v>
      </c>
      <c r="D576" t="s">
        <v>1352</v>
      </c>
      <c r="E576" t="s">
        <v>1383</v>
      </c>
      <c r="F576" t="s">
        <v>1384</v>
      </c>
      <c r="G576" t="s">
        <v>1396</v>
      </c>
      <c r="H576" s="7">
        <v>1220</v>
      </c>
      <c r="I576" s="7">
        <v>3990</v>
      </c>
      <c r="J576" s="7" t="str">
        <f t="shared" si="26"/>
        <v>&gt;₹500</v>
      </c>
      <c r="K576" s="1">
        <v>0.69</v>
      </c>
      <c r="L576" s="1" t="str">
        <f t="shared" si="24"/>
        <v>50% or More</v>
      </c>
      <c r="M576">
        <v>4.0999999999999996</v>
      </c>
      <c r="N576" s="2">
        <v>107151</v>
      </c>
      <c r="O576" s="5">
        <f t="shared" si="25"/>
        <v>427532490</v>
      </c>
      <c r="P576">
        <f>MAX(Table1[RATING COUNT])</f>
        <v>426973</v>
      </c>
    </row>
    <row r="577" spans="1:16">
      <c r="A577" t="s">
        <v>2158</v>
      </c>
      <c r="B577" t="s">
        <v>344</v>
      </c>
      <c r="D577" t="s">
        <v>1352</v>
      </c>
      <c r="E577" t="s">
        <v>1373</v>
      </c>
      <c r="F577" t="s">
        <v>1374</v>
      </c>
      <c r="H577" s="7">
        <v>1499</v>
      </c>
      <c r="I577" s="7">
        <v>6990</v>
      </c>
      <c r="J577" s="7" t="str">
        <f t="shared" si="26"/>
        <v>&gt;₹500</v>
      </c>
      <c r="K577" s="1">
        <v>0.79</v>
      </c>
      <c r="L577" s="1" t="str">
        <f t="shared" si="24"/>
        <v>50% or More</v>
      </c>
      <c r="M577">
        <v>3.9</v>
      </c>
      <c r="N577" s="2">
        <v>21797</v>
      </c>
      <c r="O577" s="5">
        <f t="shared" si="25"/>
        <v>152361030</v>
      </c>
      <c r="P577">
        <f>MAX(Table1[RATING COUNT])</f>
        <v>426973</v>
      </c>
    </row>
    <row r="578" spans="1:16">
      <c r="A578" t="s">
        <v>2159</v>
      </c>
      <c r="B578" t="s">
        <v>554</v>
      </c>
      <c r="D578" t="s">
        <v>1352</v>
      </c>
      <c r="E578" t="s">
        <v>1383</v>
      </c>
      <c r="F578" t="s">
        <v>1384</v>
      </c>
      <c r="G578" t="s">
        <v>1385</v>
      </c>
      <c r="H578" s="7">
        <v>499</v>
      </c>
      <c r="I578" s="7">
        <v>999</v>
      </c>
      <c r="J578" s="7" t="str">
        <f t="shared" si="26"/>
        <v>&gt;₹500</v>
      </c>
      <c r="K578" s="1">
        <v>0.5</v>
      </c>
      <c r="L578" s="1" t="str">
        <f t="shared" ref="L578:L641" si="27">IF(K578&gt;=50%,"50% or More","&lt;50%")</f>
        <v>50% or More</v>
      </c>
      <c r="M578">
        <v>3.9</v>
      </c>
      <c r="N578" s="2">
        <v>92995</v>
      </c>
      <c r="O578" s="5">
        <f t="shared" ref="O578:O641" si="28">I578*N578</f>
        <v>92902005</v>
      </c>
      <c r="P578">
        <f>MAX(Table1[RATING COUNT])</f>
        <v>426973</v>
      </c>
    </row>
    <row r="579" spans="1:16">
      <c r="A579" t="s">
        <v>2160</v>
      </c>
      <c r="B579" t="s">
        <v>555</v>
      </c>
      <c r="D579" t="s">
        <v>1345</v>
      </c>
      <c r="E579" t="s">
        <v>1346</v>
      </c>
      <c r="F579" t="s">
        <v>1347</v>
      </c>
      <c r="G579" t="s">
        <v>1390</v>
      </c>
      <c r="H579" s="7">
        <v>99</v>
      </c>
      <c r="I579" s="7">
        <v>999</v>
      </c>
      <c r="J579" s="7" t="str">
        <f t="shared" ref="J579:J642" si="29">IF(I579&lt;200, "&lt;₹200", IF(I579&lt;=500, "₹200–₹500", "&gt;₹500"))</f>
        <v>&gt;₹500</v>
      </c>
      <c r="K579" s="1">
        <v>0.9</v>
      </c>
      <c r="L579" s="1" t="str">
        <f t="shared" si="27"/>
        <v>50% or More</v>
      </c>
      <c r="M579">
        <v>4.0999999999999996</v>
      </c>
      <c r="N579" s="2">
        <v>8751</v>
      </c>
      <c r="O579" s="5">
        <f t="shared" si="28"/>
        <v>8742249</v>
      </c>
      <c r="P579">
        <f>MAX(Table1[RATING COUNT])</f>
        <v>426973</v>
      </c>
    </row>
    <row r="580" spans="1:16">
      <c r="A580" t="s">
        <v>2161</v>
      </c>
      <c r="B580" t="s">
        <v>349</v>
      </c>
      <c r="D580" t="s">
        <v>1352</v>
      </c>
      <c r="E580" t="s">
        <v>1375</v>
      </c>
      <c r="F580" t="s">
        <v>1376</v>
      </c>
      <c r="G580" t="s">
        <v>1377</v>
      </c>
      <c r="H580" s="7">
        <v>349</v>
      </c>
      <c r="I580" s="7">
        <v>1299</v>
      </c>
      <c r="J580" s="7" t="str">
        <f t="shared" si="29"/>
        <v>&gt;₹500</v>
      </c>
      <c r="K580" s="1">
        <v>0.73</v>
      </c>
      <c r="L580" s="1" t="str">
        <f t="shared" si="27"/>
        <v>50% or More</v>
      </c>
      <c r="M580">
        <v>4</v>
      </c>
      <c r="N580" s="2">
        <v>14283</v>
      </c>
      <c r="O580" s="5">
        <f t="shared" si="28"/>
        <v>18553617</v>
      </c>
      <c r="P580">
        <f>MAX(Table1[RATING COUNT])</f>
        <v>426973</v>
      </c>
    </row>
    <row r="581" spans="1:16">
      <c r="A581" t="s">
        <v>2162</v>
      </c>
      <c r="B581" t="s">
        <v>556</v>
      </c>
      <c r="D581" t="s">
        <v>1345</v>
      </c>
      <c r="E581" t="s">
        <v>1399</v>
      </c>
      <c r="F581" t="s">
        <v>1400</v>
      </c>
      <c r="H581" s="7">
        <v>475</v>
      </c>
      <c r="I581" s="7">
        <v>1500</v>
      </c>
      <c r="J581" s="7" t="str">
        <f t="shared" si="29"/>
        <v>&gt;₹500</v>
      </c>
      <c r="K581" s="1">
        <v>0.68</v>
      </c>
      <c r="L581" s="1" t="str">
        <f t="shared" si="27"/>
        <v>50% or More</v>
      </c>
      <c r="M581">
        <v>4.2</v>
      </c>
      <c r="N581" s="2">
        <v>64273</v>
      </c>
      <c r="O581" s="5">
        <f t="shared" si="28"/>
        <v>96409500</v>
      </c>
      <c r="P581">
        <f>MAX(Table1[RATING COUNT])</f>
        <v>426973</v>
      </c>
    </row>
    <row r="582" spans="1:16">
      <c r="A582" t="s">
        <v>2163</v>
      </c>
      <c r="B582" t="s">
        <v>557</v>
      </c>
      <c r="D582" t="s">
        <v>1345</v>
      </c>
      <c r="E582" t="s">
        <v>1346</v>
      </c>
      <c r="F582" t="s">
        <v>1401</v>
      </c>
      <c r="G582" t="s">
        <v>1402</v>
      </c>
      <c r="H582" s="7">
        <v>269</v>
      </c>
      <c r="I582" s="7">
        <v>649</v>
      </c>
      <c r="J582" s="7" t="str">
        <f t="shared" si="29"/>
        <v>&gt;₹500</v>
      </c>
      <c r="K582" s="1">
        <v>0.59</v>
      </c>
      <c r="L582" s="1" t="str">
        <f t="shared" si="27"/>
        <v>50% or More</v>
      </c>
      <c r="M582">
        <v>4.3</v>
      </c>
      <c r="N582" s="2">
        <v>54315</v>
      </c>
      <c r="O582" s="5">
        <f t="shared" si="28"/>
        <v>35250435</v>
      </c>
      <c r="P582">
        <f>MAX(Table1[RATING COUNT])</f>
        <v>426973</v>
      </c>
    </row>
    <row r="583" spans="1:16">
      <c r="A583" t="s">
        <v>2164</v>
      </c>
      <c r="B583" t="s">
        <v>558</v>
      </c>
      <c r="D583" t="s">
        <v>1345</v>
      </c>
      <c r="E583" t="s">
        <v>1346</v>
      </c>
      <c r="F583" t="s">
        <v>1401</v>
      </c>
      <c r="G583" t="s">
        <v>1402</v>
      </c>
      <c r="H583" s="7">
        <v>299</v>
      </c>
      <c r="I583" s="7">
        <v>599</v>
      </c>
      <c r="J583" s="7" t="str">
        <f t="shared" si="29"/>
        <v>&gt;₹500</v>
      </c>
      <c r="K583" s="1">
        <v>0.5</v>
      </c>
      <c r="L583" s="1" t="str">
        <f t="shared" si="27"/>
        <v>50% or More</v>
      </c>
      <c r="M583">
        <v>4.0999999999999996</v>
      </c>
      <c r="N583" s="2">
        <v>1597</v>
      </c>
      <c r="O583" s="5">
        <f t="shared" si="28"/>
        <v>956603</v>
      </c>
      <c r="P583">
        <f>MAX(Table1[RATING COUNT])</f>
        <v>426973</v>
      </c>
    </row>
    <row r="584" spans="1:16">
      <c r="A584" t="s">
        <v>2165</v>
      </c>
      <c r="B584" t="s">
        <v>358</v>
      </c>
      <c r="D584" t="s">
        <v>1352</v>
      </c>
      <c r="E584" t="s">
        <v>1373</v>
      </c>
      <c r="F584" t="s">
        <v>1374</v>
      </c>
      <c r="H584" s="7">
        <v>1499</v>
      </c>
      <c r="I584" s="7">
        <v>7999</v>
      </c>
      <c r="J584" s="7" t="str">
        <f t="shared" si="29"/>
        <v>&gt;₹500</v>
      </c>
      <c r="K584" s="1">
        <v>0.81</v>
      </c>
      <c r="L584" s="1" t="str">
        <f t="shared" si="27"/>
        <v>50% or More</v>
      </c>
      <c r="M584">
        <v>4.2</v>
      </c>
      <c r="N584" s="2">
        <v>22638</v>
      </c>
      <c r="O584" s="5">
        <f t="shared" si="28"/>
        <v>181081362</v>
      </c>
      <c r="P584">
        <f>MAX(Table1[RATING COUNT])</f>
        <v>426973</v>
      </c>
    </row>
    <row r="585" spans="1:16">
      <c r="A585" t="s">
        <v>2166</v>
      </c>
      <c r="B585" t="s">
        <v>559</v>
      </c>
      <c r="D585" t="s">
        <v>1352</v>
      </c>
      <c r="E585" t="s">
        <v>1383</v>
      </c>
      <c r="F585" t="s">
        <v>1384</v>
      </c>
      <c r="G585" t="s">
        <v>1385</v>
      </c>
      <c r="H585" s="7">
        <v>329</v>
      </c>
      <c r="I585" s="7">
        <v>999</v>
      </c>
      <c r="J585" s="7" t="str">
        <f t="shared" si="29"/>
        <v>&gt;₹500</v>
      </c>
      <c r="K585" s="1">
        <v>0.67</v>
      </c>
      <c r="L585" s="1" t="str">
        <f t="shared" si="27"/>
        <v>50% or More</v>
      </c>
      <c r="M585">
        <v>3.9</v>
      </c>
      <c r="N585" s="2">
        <v>77027</v>
      </c>
      <c r="O585" s="5">
        <f t="shared" si="28"/>
        <v>76949973</v>
      </c>
      <c r="P585">
        <f>MAX(Table1[RATING COUNT])</f>
        <v>426973</v>
      </c>
    </row>
    <row r="586" spans="1:16">
      <c r="A586" t="s">
        <v>2167</v>
      </c>
      <c r="B586" t="s">
        <v>560</v>
      </c>
      <c r="D586" t="s">
        <v>1345</v>
      </c>
      <c r="E586" t="s">
        <v>1346</v>
      </c>
      <c r="F586" t="s">
        <v>1401</v>
      </c>
      <c r="G586" t="s">
        <v>1406</v>
      </c>
      <c r="H586" s="7">
        <v>549</v>
      </c>
      <c r="I586" s="7">
        <v>1799</v>
      </c>
      <c r="J586" s="7" t="str">
        <f t="shared" si="29"/>
        <v>&gt;₹500</v>
      </c>
      <c r="K586" s="1">
        <v>0.69</v>
      </c>
      <c r="L586" s="1" t="str">
        <f t="shared" si="27"/>
        <v>50% or More</v>
      </c>
      <c r="M586">
        <v>4.3</v>
      </c>
      <c r="N586" s="2">
        <v>28829</v>
      </c>
      <c r="O586" s="5">
        <f t="shared" si="28"/>
        <v>51863371</v>
      </c>
      <c r="P586">
        <f>MAX(Table1[RATING COUNT])</f>
        <v>426973</v>
      </c>
    </row>
    <row r="587" spans="1:16">
      <c r="A587" t="s">
        <v>2168</v>
      </c>
      <c r="B587" t="s">
        <v>362</v>
      </c>
      <c r="D587" t="s">
        <v>1352</v>
      </c>
      <c r="E587" t="s">
        <v>1373</v>
      </c>
      <c r="F587" t="s">
        <v>1374</v>
      </c>
      <c r="H587" s="7">
        <v>2199</v>
      </c>
      <c r="I587" s="7">
        <v>9999</v>
      </c>
      <c r="J587" s="7" t="str">
        <f t="shared" si="29"/>
        <v>&gt;₹500</v>
      </c>
      <c r="K587" s="1">
        <v>0.78</v>
      </c>
      <c r="L587" s="1" t="str">
        <f t="shared" si="27"/>
        <v>50% or More</v>
      </c>
      <c r="M587">
        <v>4.2</v>
      </c>
      <c r="N587" s="2">
        <v>29478</v>
      </c>
      <c r="O587" s="5">
        <f t="shared" si="28"/>
        <v>294750522</v>
      </c>
      <c r="P587">
        <f>MAX(Table1[RATING COUNT])</f>
        <v>426973</v>
      </c>
    </row>
    <row r="588" spans="1:16">
      <c r="A588" t="s">
        <v>1945</v>
      </c>
      <c r="B588" t="s">
        <v>561</v>
      </c>
      <c r="D588" t="s">
        <v>1345</v>
      </c>
      <c r="E588" t="s">
        <v>1346</v>
      </c>
      <c r="F588" t="s">
        <v>1401</v>
      </c>
      <c r="G588" t="s">
        <v>1402</v>
      </c>
      <c r="H588" s="7">
        <v>299</v>
      </c>
      <c r="I588" s="7">
        <v>650</v>
      </c>
      <c r="J588" s="7" t="str">
        <f t="shared" si="29"/>
        <v>&gt;₹500</v>
      </c>
      <c r="K588" s="1">
        <v>0.54</v>
      </c>
      <c r="L588" s="1" t="str">
        <f t="shared" si="27"/>
        <v>50% or More</v>
      </c>
      <c r="M588">
        <v>4.5</v>
      </c>
      <c r="N588" s="2">
        <v>33176</v>
      </c>
      <c r="O588" s="5">
        <f t="shared" si="28"/>
        <v>21564400</v>
      </c>
      <c r="P588">
        <f>MAX(Table1[RATING COUNT])</f>
        <v>426973</v>
      </c>
    </row>
    <row r="589" spans="1:16">
      <c r="A589" t="s">
        <v>1946</v>
      </c>
      <c r="B589" t="s">
        <v>562</v>
      </c>
      <c r="D589" t="s">
        <v>1407</v>
      </c>
      <c r="E589" t="s">
        <v>1408</v>
      </c>
      <c r="F589" t="s">
        <v>1409</v>
      </c>
      <c r="H589" s="7">
        <v>798</v>
      </c>
      <c r="I589" s="7">
        <v>1995</v>
      </c>
      <c r="J589" s="7" t="str">
        <f t="shared" si="29"/>
        <v>&gt;₹500</v>
      </c>
      <c r="K589" s="1">
        <v>0.6</v>
      </c>
      <c r="L589" s="1" t="str">
        <f t="shared" si="27"/>
        <v>50% or More</v>
      </c>
      <c r="M589">
        <v>4</v>
      </c>
      <c r="N589" s="2">
        <v>68664</v>
      </c>
      <c r="O589" s="5">
        <f t="shared" si="28"/>
        <v>136984680</v>
      </c>
      <c r="P589">
        <f>MAX(Table1[RATING COUNT])</f>
        <v>426973</v>
      </c>
    </row>
    <row r="590" spans="1:16">
      <c r="A590" t="s">
        <v>2169</v>
      </c>
      <c r="B590" t="s">
        <v>563</v>
      </c>
      <c r="D590" t="s">
        <v>1352</v>
      </c>
      <c r="E590" t="s">
        <v>1410</v>
      </c>
      <c r="F590" t="s">
        <v>1411</v>
      </c>
      <c r="H590" s="7">
        <v>266</v>
      </c>
      <c r="I590" s="7">
        <v>315</v>
      </c>
      <c r="J590" s="7" t="str">
        <f t="shared" si="29"/>
        <v>₹200–₹500</v>
      </c>
      <c r="K590" s="1">
        <v>0.16</v>
      </c>
      <c r="L590" s="1" t="str">
        <f t="shared" si="27"/>
        <v>&lt;50%</v>
      </c>
      <c r="M590">
        <v>4.5</v>
      </c>
      <c r="N590" s="2">
        <v>28030</v>
      </c>
      <c r="O590" s="5">
        <f t="shared" si="28"/>
        <v>8829450</v>
      </c>
      <c r="P590">
        <f>MAX(Table1[RATING COUNT])</f>
        <v>426973</v>
      </c>
    </row>
    <row r="591" spans="1:16">
      <c r="A591" t="s">
        <v>2170</v>
      </c>
      <c r="B591" t="s">
        <v>564</v>
      </c>
      <c r="D591" t="s">
        <v>1412</v>
      </c>
      <c r="E591" t="s">
        <v>1413</v>
      </c>
      <c r="F591" t="s">
        <v>1414</v>
      </c>
      <c r="G591" t="s">
        <v>1415</v>
      </c>
      <c r="H591" s="7">
        <v>50</v>
      </c>
      <c r="I591" s="7">
        <v>50</v>
      </c>
      <c r="J591" s="7" t="str">
        <f t="shared" si="29"/>
        <v>&lt;₹200</v>
      </c>
      <c r="K591" s="1">
        <v>0</v>
      </c>
      <c r="L591" s="1" t="str">
        <f t="shared" si="27"/>
        <v>&lt;50%</v>
      </c>
      <c r="M591">
        <v>4.3</v>
      </c>
      <c r="N591" s="2">
        <v>5792</v>
      </c>
      <c r="O591" s="5">
        <f t="shared" si="28"/>
        <v>289600</v>
      </c>
      <c r="P591">
        <f>MAX(Table1[RATING COUNT])</f>
        <v>426973</v>
      </c>
    </row>
    <row r="592" spans="1:16">
      <c r="A592" t="s">
        <v>2171</v>
      </c>
      <c r="B592" t="s">
        <v>565</v>
      </c>
      <c r="D592" t="s">
        <v>1416</v>
      </c>
      <c r="E592" t="s">
        <v>1417</v>
      </c>
      <c r="F592" t="s">
        <v>1418</v>
      </c>
      <c r="G592" t="s">
        <v>1419</v>
      </c>
      <c r="H592" s="7">
        <v>130</v>
      </c>
      <c r="I592" s="7">
        <v>165</v>
      </c>
      <c r="J592" s="7" t="str">
        <f t="shared" si="29"/>
        <v>&lt;₹200</v>
      </c>
      <c r="K592" s="1">
        <v>0.21</v>
      </c>
      <c r="L592" s="1" t="str">
        <f t="shared" si="27"/>
        <v>&lt;50%</v>
      </c>
      <c r="M592">
        <v>3.9</v>
      </c>
      <c r="N592" s="2">
        <v>14778</v>
      </c>
      <c r="O592" s="5">
        <f t="shared" si="28"/>
        <v>2438370</v>
      </c>
      <c r="P592">
        <f>MAX(Table1[RATING COUNT])</f>
        <v>426973</v>
      </c>
    </row>
    <row r="593" spans="1:16">
      <c r="A593" t="s">
        <v>2172</v>
      </c>
      <c r="B593" t="s">
        <v>566</v>
      </c>
      <c r="D593" t="s">
        <v>1352</v>
      </c>
      <c r="E593" t="s">
        <v>1383</v>
      </c>
      <c r="F593" t="s">
        <v>1384</v>
      </c>
      <c r="G593" t="s">
        <v>1385</v>
      </c>
      <c r="H593" s="7">
        <v>449</v>
      </c>
      <c r="I593" s="7">
        <v>1290</v>
      </c>
      <c r="J593" s="7" t="str">
        <f t="shared" si="29"/>
        <v>&gt;₹500</v>
      </c>
      <c r="K593" s="1">
        <v>0.65</v>
      </c>
      <c r="L593" s="1" t="str">
        <f t="shared" si="27"/>
        <v>50% or More</v>
      </c>
      <c r="M593">
        <v>4.0999999999999996</v>
      </c>
      <c r="N593" s="2">
        <v>91770</v>
      </c>
      <c r="O593" s="5">
        <f t="shared" si="28"/>
        <v>118383300</v>
      </c>
      <c r="P593">
        <f>MAX(Table1[RATING COUNT])</f>
        <v>426973</v>
      </c>
    </row>
    <row r="594" spans="1:16">
      <c r="A594" t="s">
        <v>2173</v>
      </c>
      <c r="B594" t="s">
        <v>369</v>
      </c>
      <c r="D594" t="s">
        <v>1352</v>
      </c>
      <c r="E594" t="s">
        <v>1373</v>
      </c>
      <c r="F594" t="s">
        <v>1374</v>
      </c>
      <c r="H594" s="7">
        <v>3999</v>
      </c>
      <c r="I594" s="7">
        <v>16999</v>
      </c>
      <c r="J594" s="7" t="str">
        <f t="shared" si="29"/>
        <v>&gt;₹500</v>
      </c>
      <c r="K594" s="1">
        <v>0.76</v>
      </c>
      <c r="L594" s="1" t="str">
        <f t="shared" si="27"/>
        <v>50% or More</v>
      </c>
      <c r="M594">
        <v>4.3</v>
      </c>
      <c r="N594" s="2">
        <v>17162</v>
      </c>
      <c r="O594" s="5">
        <f t="shared" si="28"/>
        <v>291736838</v>
      </c>
      <c r="P594">
        <f>MAX(Table1[RATING COUNT])</f>
        <v>426973</v>
      </c>
    </row>
    <row r="595" spans="1:16">
      <c r="A595" t="s">
        <v>1953</v>
      </c>
      <c r="B595" t="s">
        <v>567</v>
      </c>
      <c r="D595" t="s">
        <v>1352</v>
      </c>
      <c r="E595" t="s">
        <v>1383</v>
      </c>
      <c r="F595" t="s">
        <v>1384</v>
      </c>
      <c r="G595" t="s">
        <v>1385</v>
      </c>
      <c r="H595" s="7">
        <v>399</v>
      </c>
      <c r="I595" s="7">
        <v>1290</v>
      </c>
      <c r="J595" s="7" t="str">
        <f t="shared" si="29"/>
        <v>&gt;₹500</v>
      </c>
      <c r="K595" s="1">
        <v>0.69</v>
      </c>
      <c r="L595" s="1" t="str">
        <f t="shared" si="27"/>
        <v>50% or More</v>
      </c>
      <c r="M595">
        <v>4.2</v>
      </c>
      <c r="N595" s="2">
        <v>206</v>
      </c>
      <c r="O595" s="5">
        <f t="shared" si="28"/>
        <v>265740</v>
      </c>
      <c r="P595">
        <f>MAX(Table1[RATING COUNT])</f>
        <v>426973</v>
      </c>
    </row>
    <row r="596" spans="1:16">
      <c r="A596" t="s">
        <v>1954</v>
      </c>
      <c r="B596" t="s">
        <v>568</v>
      </c>
      <c r="D596" t="s">
        <v>1345</v>
      </c>
      <c r="E596" t="s">
        <v>1346</v>
      </c>
      <c r="F596" t="s">
        <v>1401</v>
      </c>
      <c r="G596" t="s">
        <v>1420</v>
      </c>
      <c r="H596" s="7">
        <v>1399</v>
      </c>
      <c r="I596" s="7">
        <v>2498</v>
      </c>
      <c r="J596" s="7" t="str">
        <f t="shared" si="29"/>
        <v>&gt;₹500</v>
      </c>
      <c r="K596" s="1">
        <v>0.44</v>
      </c>
      <c r="L596" s="1" t="str">
        <f t="shared" si="27"/>
        <v>&lt;50%</v>
      </c>
      <c r="M596">
        <v>4.2</v>
      </c>
      <c r="N596" s="2">
        <v>33717</v>
      </c>
      <c r="O596" s="5">
        <f t="shared" si="28"/>
        <v>84225066</v>
      </c>
      <c r="P596">
        <f>MAX(Table1[RATING COUNT])</f>
        <v>426973</v>
      </c>
    </row>
    <row r="597" spans="1:16">
      <c r="A597" t="s">
        <v>2174</v>
      </c>
      <c r="B597" t="s">
        <v>569</v>
      </c>
      <c r="D597" t="s">
        <v>1345</v>
      </c>
      <c r="E597" t="s">
        <v>1399</v>
      </c>
      <c r="F597" t="s">
        <v>1421</v>
      </c>
      <c r="H597" s="7">
        <v>4098</v>
      </c>
      <c r="I597" s="7">
        <v>4999</v>
      </c>
      <c r="J597" s="7" t="str">
        <f t="shared" si="29"/>
        <v>&gt;₹500</v>
      </c>
      <c r="K597" s="1">
        <v>0.18</v>
      </c>
      <c r="L597" s="1" t="str">
        <f t="shared" si="27"/>
        <v>&lt;50%</v>
      </c>
      <c r="M597">
        <v>4.5</v>
      </c>
      <c r="N597" s="2">
        <v>50810</v>
      </c>
      <c r="O597" s="5">
        <f t="shared" si="28"/>
        <v>253999190</v>
      </c>
      <c r="P597">
        <f>MAX(Table1[RATING COUNT])</f>
        <v>426973</v>
      </c>
    </row>
    <row r="598" spans="1:16">
      <c r="A598" t="s">
        <v>2175</v>
      </c>
      <c r="B598" t="s">
        <v>570</v>
      </c>
      <c r="D598" t="s">
        <v>1352</v>
      </c>
      <c r="E598" t="s">
        <v>1422</v>
      </c>
      <c r="F598" t="s">
        <v>1423</v>
      </c>
      <c r="H598" s="7">
        <v>499</v>
      </c>
      <c r="I598" s="7">
        <v>1999</v>
      </c>
      <c r="J598" s="7" t="str">
        <f t="shared" si="29"/>
        <v>&gt;₹500</v>
      </c>
      <c r="K598" s="1">
        <v>0.75</v>
      </c>
      <c r="L598" s="1" t="str">
        <f t="shared" si="27"/>
        <v>50% or More</v>
      </c>
      <c r="M598">
        <v>3.7</v>
      </c>
      <c r="N598" s="2">
        <v>3369</v>
      </c>
      <c r="O598" s="5">
        <f t="shared" si="28"/>
        <v>6734631</v>
      </c>
      <c r="P598">
        <f>MAX(Table1[RATING COUNT])</f>
        <v>426973</v>
      </c>
    </row>
    <row r="599" spans="1:16">
      <c r="A599" t="s">
        <v>2176</v>
      </c>
      <c r="B599" t="s">
        <v>571</v>
      </c>
      <c r="D599" t="s">
        <v>1345</v>
      </c>
      <c r="E599" t="s">
        <v>1346</v>
      </c>
      <c r="F599" t="s">
        <v>1401</v>
      </c>
      <c r="G599" t="s">
        <v>1402</v>
      </c>
      <c r="H599" s="7">
        <v>299</v>
      </c>
      <c r="I599" s="7">
        <v>449</v>
      </c>
      <c r="J599" s="7" t="str">
        <f t="shared" si="29"/>
        <v>₹200–₹500</v>
      </c>
      <c r="K599" s="1">
        <v>0.33</v>
      </c>
      <c r="L599" s="1" t="str">
        <f t="shared" si="27"/>
        <v>&lt;50%</v>
      </c>
      <c r="M599">
        <v>3.5</v>
      </c>
      <c r="N599" s="2">
        <v>11827</v>
      </c>
      <c r="O599" s="5">
        <f t="shared" si="28"/>
        <v>5310323</v>
      </c>
      <c r="P599">
        <f>MAX(Table1[RATING COUNT])</f>
        <v>426973</v>
      </c>
    </row>
    <row r="600" spans="1:16">
      <c r="A600" t="s">
        <v>1957</v>
      </c>
      <c r="B600" t="s">
        <v>572</v>
      </c>
      <c r="D600" t="s">
        <v>1345</v>
      </c>
      <c r="E600" t="s">
        <v>1346</v>
      </c>
      <c r="F600" t="s">
        <v>1401</v>
      </c>
      <c r="G600" t="s">
        <v>1420</v>
      </c>
      <c r="H600" s="7">
        <v>699</v>
      </c>
      <c r="I600" s="7">
        <v>999</v>
      </c>
      <c r="J600" s="7" t="str">
        <f t="shared" si="29"/>
        <v>&gt;₹500</v>
      </c>
      <c r="K600" s="1">
        <v>0.3</v>
      </c>
      <c r="L600" s="1" t="str">
        <f t="shared" si="27"/>
        <v>&lt;50%</v>
      </c>
      <c r="M600">
        <v>3.5</v>
      </c>
      <c r="N600" s="2">
        <v>15295</v>
      </c>
      <c r="O600" s="5">
        <f t="shared" si="28"/>
        <v>15279705</v>
      </c>
      <c r="P600">
        <f>MAX(Table1[RATING COUNT])</f>
        <v>426973</v>
      </c>
    </row>
    <row r="601" spans="1:16">
      <c r="A601" t="s">
        <v>2177</v>
      </c>
      <c r="B601" t="s">
        <v>573</v>
      </c>
      <c r="D601" t="s">
        <v>1352</v>
      </c>
      <c r="E601" t="s">
        <v>1422</v>
      </c>
      <c r="F601" t="s">
        <v>1354</v>
      </c>
      <c r="G601" t="s">
        <v>1424</v>
      </c>
      <c r="H601" s="7">
        <v>799</v>
      </c>
      <c r="I601" s="7">
        <v>3990</v>
      </c>
      <c r="J601" s="7" t="str">
        <f t="shared" si="29"/>
        <v>&gt;₹500</v>
      </c>
      <c r="K601" s="1">
        <v>0.8</v>
      </c>
      <c r="L601" s="1" t="str">
        <f t="shared" si="27"/>
        <v>50% or More</v>
      </c>
      <c r="M601">
        <v>4.3</v>
      </c>
      <c r="N601" s="2">
        <v>27139</v>
      </c>
      <c r="O601" s="5">
        <f t="shared" si="28"/>
        <v>108284610</v>
      </c>
      <c r="P601">
        <f>MAX(Table1[RATING COUNT])</f>
        <v>426973</v>
      </c>
    </row>
    <row r="602" spans="1:16">
      <c r="A602" t="s">
        <v>1956</v>
      </c>
      <c r="B602" t="s">
        <v>574</v>
      </c>
      <c r="D602" t="s">
        <v>1352</v>
      </c>
      <c r="E602" t="s">
        <v>1383</v>
      </c>
      <c r="F602" t="s">
        <v>1384</v>
      </c>
      <c r="G602" t="s">
        <v>1385</v>
      </c>
      <c r="H602" s="7">
        <v>1399</v>
      </c>
      <c r="I602" s="7">
        <v>5499</v>
      </c>
      <c r="J602" s="7" t="str">
        <f t="shared" si="29"/>
        <v>&gt;₹500</v>
      </c>
      <c r="K602" s="1">
        <v>0.75</v>
      </c>
      <c r="L602" s="1" t="str">
        <f t="shared" si="27"/>
        <v>50% or More</v>
      </c>
      <c r="M602">
        <v>3.9</v>
      </c>
      <c r="N602" s="2">
        <v>9504</v>
      </c>
      <c r="O602" s="5">
        <f t="shared" si="28"/>
        <v>52262496</v>
      </c>
      <c r="P602">
        <f>MAX(Table1[RATING COUNT])</f>
        <v>426973</v>
      </c>
    </row>
    <row r="603" spans="1:16">
      <c r="A603" t="s">
        <v>2178</v>
      </c>
      <c r="B603" t="s">
        <v>575</v>
      </c>
      <c r="D603" t="s">
        <v>1345</v>
      </c>
      <c r="E603" t="s">
        <v>1399</v>
      </c>
      <c r="F603" t="s">
        <v>1400</v>
      </c>
      <c r="H603" s="7">
        <v>519</v>
      </c>
      <c r="I603" s="7">
        <v>1350</v>
      </c>
      <c r="J603" s="7" t="str">
        <f t="shared" si="29"/>
        <v>&gt;₹500</v>
      </c>
      <c r="K603" s="1">
        <v>0.62</v>
      </c>
      <c r="L603" s="1" t="str">
        <f t="shared" si="27"/>
        <v>50% or More</v>
      </c>
      <c r="M603">
        <v>4.3</v>
      </c>
      <c r="N603" s="2">
        <v>30058</v>
      </c>
      <c r="O603" s="5">
        <f t="shared" si="28"/>
        <v>40578300</v>
      </c>
      <c r="P603">
        <f>MAX(Table1[RATING COUNT])</f>
        <v>426973</v>
      </c>
    </row>
    <row r="604" spans="1:16">
      <c r="A604" t="s">
        <v>2179</v>
      </c>
      <c r="B604" t="s">
        <v>383</v>
      </c>
      <c r="D604" t="s">
        <v>1352</v>
      </c>
      <c r="E604" t="s">
        <v>1373</v>
      </c>
      <c r="F604" t="s">
        <v>1374</v>
      </c>
      <c r="H604" s="7">
        <v>2299</v>
      </c>
      <c r="I604" s="7">
        <v>7990</v>
      </c>
      <c r="J604" s="7" t="str">
        <f t="shared" si="29"/>
        <v>&gt;₹500</v>
      </c>
      <c r="K604" s="1">
        <v>0.71</v>
      </c>
      <c r="L604" s="1" t="str">
        <f t="shared" si="27"/>
        <v>50% or More</v>
      </c>
      <c r="M604">
        <v>4.2</v>
      </c>
      <c r="N604" s="2">
        <v>69619</v>
      </c>
      <c r="O604" s="5">
        <f t="shared" si="28"/>
        <v>556255810</v>
      </c>
      <c r="P604">
        <f>MAX(Table1[RATING COUNT])</f>
        <v>426973</v>
      </c>
    </row>
    <row r="605" spans="1:16">
      <c r="A605" t="s">
        <v>1961</v>
      </c>
      <c r="B605" t="s">
        <v>576</v>
      </c>
      <c r="D605" t="s">
        <v>1352</v>
      </c>
      <c r="E605" t="s">
        <v>1383</v>
      </c>
      <c r="F605" t="s">
        <v>1384</v>
      </c>
      <c r="G605" t="s">
        <v>1385</v>
      </c>
      <c r="H605" s="7">
        <v>1499</v>
      </c>
      <c r="I605" s="7">
        <v>3990</v>
      </c>
      <c r="J605" s="7" t="str">
        <f t="shared" si="29"/>
        <v>&gt;₹500</v>
      </c>
      <c r="K605" s="1">
        <v>0.62</v>
      </c>
      <c r="L605" s="1" t="str">
        <f t="shared" si="27"/>
        <v>50% or More</v>
      </c>
      <c r="M605">
        <v>4.0999999999999996</v>
      </c>
      <c r="N605" s="2">
        <v>109864</v>
      </c>
      <c r="O605" s="5">
        <f t="shared" si="28"/>
        <v>438357360</v>
      </c>
      <c r="P605">
        <f>MAX(Table1[RATING COUNT])</f>
        <v>426973</v>
      </c>
    </row>
    <row r="606" spans="1:16">
      <c r="A606" t="s">
        <v>2180</v>
      </c>
      <c r="B606" t="s">
        <v>577</v>
      </c>
      <c r="D606" t="s">
        <v>1412</v>
      </c>
      <c r="E606" t="s">
        <v>1425</v>
      </c>
      <c r="F606" t="s">
        <v>1426</v>
      </c>
      <c r="G606" t="s">
        <v>1427</v>
      </c>
      <c r="H606" s="7">
        <v>1295</v>
      </c>
      <c r="I606" s="7">
        <v>1295</v>
      </c>
      <c r="J606" s="7" t="str">
        <f t="shared" si="29"/>
        <v>&gt;₹500</v>
      </c>
      <c r="K606" s="1">
        <v>0</v>
      </c>
      <c r="L606" s="1" t="str">
        <f t="shared" si="27"/>
        <v>&lt;50%</v>
      </c>
      <c r="M606">
        <v>4.5</v>
      </c>
      <c r="N606" s="2">
        <v>5760</v>
      </c>
      <c r="O606" s="5">
        <f t="shared" si="28"/>
        <v>7459200</v>
      </c>
      <c r="P606">
        <f>MAX(Table1[RATING COUNT])</f>
        <v>426973</v>
      </c>
    </row>
    <row r="607" spans="1:16">
      <c r="A607" t="s">
        <v>2181</v>
      </c>
      <c r="B607" t="s">
        <v>578</v>
      </c>
      <c r="D607" t="s">
        <v>1345</v>
      </c>
      <c r="E607" t="s">
        <v>1349</v>
      </c>
      <c r="F607" t="s">
        <v>1428</v>
      </c>
      <c r="H607" s="7">
        <v>1889</v>
      </c>
      <c r="I607" s="7">
        <v>5499</v>
      </c>
      <c r="J607" s="7" t="str">
        <f t="shared" si="29"/>
        <v>&gt;₹500</v>
      </c>
      <c r="K607" s="1">
        <v>0.66</v>
      </c>
      <c r="L607" s="1" t="str">
        <f t="shared" si="27"/>
        <v>50% or More</v>
      </c>
      <c r="M607">
        <v>4.2</v>
      </c>
      <c r="N607" s="2">
        <v>49551</v>
      </c>
      <c r="O607" s="5">
        <f t="shared" si="28"/>
        <v>272480949</v>
      </c>
      <c r="P607">
        <f>MAX(Table1[RATING COUNT])</f>
        <v>426973</v>
      </c>
    </row>
    <row r="608" spans="1:16">
      <c r="A608" t="s">
        <v>2182</v>
      </c>
      <c r="B608" t="s">
        <v>579</v>
      </c>
      <c r="D608" t="s">
        <v>1352</v>
      </c>
      <c r="E608" t="s">
        <v>1383</v>
      </c>
      <c r="F608" t="s">
        <v>1384</v>
      </c>
      <c r="G608" t="s">
        <v>1385</v>
      </c>
      <c r="H608" s="7">
        <v>455</v>
      </c>
      <c r="I608" s="7">
        <v>1490</v>
      </c>
      <c r="J608" s="7" t="str">
        <f t="shared" si="29"/>
        <v>&gt;₹500</v>
      </c>
      <c r="K608" s="1">
        <v>0.69</v>
      </c>
      <c r="L608" s="1" t="str">
        <f t="shared" si="27"/>
        <v>50% or More</v>
      </c>
      <c r="M608">
        <v>4.0999999999999996</v>
      </c>
      <c r="N608" s="2">
        <v>161677</v>
      </c>
      <c r="O608" s="5">
        <f t="shared" si="28"/>
        <v>240898730</v>
      </c>
      <c r="P608">
        <f>MAX(Table1[RATING COUNT])</f>
        <v>426973</v>
      </c>
    </row>
    <row r="609" spans="1:16">
      <c r="A609" t="s">
        <v>1969</v>
      </c>
      <c r="B609" t="s">
        <v>580</v>
      </c>
      <c r="D609" t="s">
        <v>1352</v>
      </c>
      <c r="E609" t="s">
        <v>1422</v>
      </c>
      <c r="F609" t="s">
        <v>1354</v>
      </c>
      <c r="G609" t="s">
        <v>1424</v>
      </c>
      <c r="H609" s="7">
        <v>399</v>
      </c>
      <c r="I609" s="7">
        <v>995</v>
      </c>
      <c r="J609" s="7" t="str">
        <f t="shared" si="29"/>
        <v>&gt;₹500</v>
      </c>
      <c r="K609" s="1">
        <v>0.6</v>
      </c>
      <c r="L609" s="1" t="str">
        <f t="shared" si="27"/>
        <v>50% or More</v>
      </c>
      <c r="M609">
        <v>3.9</v>
      </c>
      <c r="N609" s="2">
        <v>21372</v>
      </c>
      <c r="O609" s="5">
        <f t="shared" si="28"/>
        <v>21265140</v>
      </c>
      <c r="P609">
        <f>MAX(Table1[RATING COUNT])</f>
        <v>426973</v>
      </c>
    </row>
    <row r="610" spans="1:16">
      <c r="A610" t="s">
        <v>1970</v>
      </c>
      <c r="B610" t="s">
        <v>385</v>
      </c>
      <c r="D610" t="s">
        <v>1352</v>
      </c>
      <c r="E610" t="s">
        <v>1354</v>
      </c>
      <c r="F610" t="s">
        <v>1380</v>
      </c>
      <c r="G610" t="s">
        <v>1381</v>
      </c>
      <c r="H610" s="7">
        <v>1059</v>
      </c>
      <c r="I610" s="7">
        <v>3999</v>
      </c>
      <c r="J610" s="7" t="str">
        <f t="shared" si="29"/>
        <v>&gt;₹500</v>
      </c>
      <c r="K610" s="1">
        <v>0.74</v>
      </c>
      <c r="L610" s="1" t="str">
        <f t="shared" si="27"/>
        <v>50% or More</v>
      </c>
      <c r="M610">
        <v>4.3</v>
      </c>
      <c r="N610" s="2">
        <v>140035</v>
      </c>
      <c r="O610" s="5">
        <f t="shared" si="28"/>
        <v>559999965</v>
      </c>
      <c r="P610">
        <f>MAX(Table1[RATING COUNT])</f>
        <v>426973</v>
      </c>
    </row>
    <row r="611" spans="1:16">
      <c r="A611" t="s">
        <v>2183</v>
      </c>
      <c r="B611" t="s">
        <v>581</v>
      </c>
      <c r="D611" t="s">
        <v>1345</v>
      </c>
      <c r="E611" t="s">
        <v>1429</v>
      </c>
      <c r="F611" t="s">
        <v>1430</v>
      </c>
      <c r="G611" t="s">
        <v>1431</v>
      </c>
      <c r="H611" s="7">
        <v>717</v>
      </c>
      <c r="I611" s="7">
        <v>761</v>
      </c>
      <c r="J611" s="7" t="str">
        <f t="shared" si="29"/>
        <v>&gt;₹500</v>
      </c>
      <c r="K611" s="1">
        <v>0.06</v>
      </c>
      <c r="L611" s="1" t="str">
        <f t="shared" si="27"/>
        <v>&lt;50%</v>
      </c>
      <c r="M611">
        <v>4</v>
      </c>
      <c r="N611" s="2">
        <v>7199</v>
      </c>
      <c r="O611" s="5">
        <f t="shared" si="28"/>
        <v>5478439</v>
      </c>
      <c r="P611">
        <f>MAX(Table1[RATING COUNT])</f>
        <v>426973</v>
      </c>
    </row>
    <row r="612" spans="1:16">
      <c r="A612" t="s">
        <v>2184</v>
      </c>
      <c r="B612" t="s">
        <v>582</v>
      </c>
      <c r="D612" t="s">
        <v>1345</v>
      </c>
      <c r="E612" t="s">
        <v>1346</v>
      </c>
      <c r="F612" t="s">
        <v>1401</v>
      </c>
      <c r="G612" t="s">
        <v>1432</v>
      </c>
      <c r="H612" s="7">
        <v>39</v>
      </c>
      <c r="I612" s="7">
        <v>299</v>
      </c>
      <c r="J612" s="7" t="str">
        <f t="shared" si="29"/>
        <v>₹200–₹500</v>
      </c>
      <c r="K612" s="1">
        <v>0.87</v>
      </c>
      <c r="L612" s="1" t="str">
        <f t="shared" si="27"/>
        <v>50% or More</v>
      </c>
      <c r="M612">
        <v>3.5</v>
      </c>
      <c r="N612" s="2">
        <v>15233</v>
      </c>
      <c r="O612" s="5">
        <f t="shared" si="28"/>
        <v>4554667</v>
      </c>
      <c r="P612">
        <f>MAX(Table1[RATING COUNT])</f>
        <v>426973</v>
      </c>
    </row>
    <row r="613" spans="1:16">
      <c r="A613" t="s">
        <v>1975</v>
      </c>
      <c r="B613" t="s">
        <v>583</v>
      </c>
      <c r="D613" t="s">
        <v>1345</v>
      </c>
      <c r="E613" t="s">
        <v>1399</v>
      </c>
      <c r="F613" t="s">
        <v>1400</v>
      </c>
      <c r="H613" s="7">
        <v>889</v>
      </c>
      <c r="I613" s="7">
        <v>2500</v>
      </c>
      <c r="J613" s="7" t="str">
        <f t="shared" si="29"/>
        <v>&gt;₹500</v>
      </c>
      <c r="K613" s="1">
        <v>0.64</v>
      </c>
      <c r="L613" s="1" t="str">
        <f t="shared" si="27"/>
        <v>50% or More</v>
      </c>
      <c r="M613">
        <v>4.3</v>
      </c>
      <c r="N613" s="2">
        <v>55747</v>
      </c>
      <c r="O613" s="5">
        <f t="shared" si="28"/>
        <v>139367500</v>
      </c>
      <c r="P613">
        <f>MAX(Table1[RATING COUNT])</f>
        <v>426973</v>
      </c>
    </row>
    <row r="614" spans="1:16">
      <c r="A614" t="s">
        <v>2185</v>
      </c>
      <c r="B614" t="s">
        <v>584</v>
      </c>
      <c r="D614" t="s">
        <v>1352</v>
      </c>
      <c r="E614" t="s">
        <v>1383</v>
      </c>
      <c r="F614" t="s">
        <v>1384</v>
      </c>
      <c r="G614" t="s">
        <v>1385</v>
      </c>
      <c r="H614" s="7">
        <v>1199</v>
      </c>
      <c r="I614" s="7">
        <v>4999</v>
      </c>
      <c r="J614" s="7" t="str">
        <f t="shared" si="29"/>
        <v>&gt;₹500</v>
      </c>
      <c r="K614" s="1">
        <v>0.76</v>
      </c>
      <c r="L614" s="1" t="str">
        <f t="shared" si="27"/>
        <v>50% or More</v>
      </c>
      <c r="M614">
        <v>3.8</v>
      </c>
      <c r="N614" s="2">
        <v>14961</v>
      </c>
      <c r="O614" s="5">
        <f t="shared" si="28"/>
        <v>74790039</v>
      </c>
      <c r="P614">
        <f>MAX(Table1[RATING COUNT])</f>
        <v>426973</v>
      </c>
    </row>
    <row r="615" spans="1:16">
      <c r="A615" t="s">
        <v>2186</v>
      </c>
      <c r="B615" t="s">
        <v>585</v>
      </c>
      <c r="D615" t="s">
        <v>1345</v>
      </c>
      <c r="E615" t="s">
        <v>1346</v>
      </c>
      <c r="F615" t="s">
        <v>1401</v>
      </c>
      <c r="G615" t="s">
        <v>1402</v>
      </c>
      <c r="H615" s="7">
        <v>569</v>
      </c>
      <c r="I615" s="7">
        <v>1299</v>
      </c>
      <c r="J615" s="7" t="str">
        <f t="shared" si="29"/>
        <v>&gt;₹500</v>
      </c>
      <c r="K615" s="1">
        <v>0.56000000000000005</v>
      </c>
      <c r="L615" s="1" t="str">
        <f t="shared" si="27"/>
        <v>50% or More</v>
      </c>
      <c r="M615">
        <v>4.4000000000000004</v>
      </c>
      <c r="N615" s="2">
        <v>9275</v>
      </c>
      <c r="O615" s="5">
        <f t="shared" si="28"/>
        <v>12048225</v>
      </c>
      <c r="P615">
        <f>MAX(Table1[RATING COUNT])</f>
        <v>426973</v>
      </c>
    </row>
    <row r="616" spans="1:16">
      <c r="A616" t="s">
        <v>1610</v>
      </c>
      <c r="B616" t="s">
        <v>586</v>
      </c>
      <c r="D616" t="s">
        <v>1352</v>
      </c>
      <c r="E616" t="s">
        <v>1383</v>
      </c>
      <c r="F616" t="s">
        <v>1384</v>
      </c>
      <c r="G616" t="s">
        <v>1385</v>
      </c>
      <c r="H616" s="7">
        <v>1499</v>
      </c>
      <c r="I616" s="7">
        <v>8999</v>
      </c>
      <c r="J616" s="7" t="str">
        <f t="shared" si="29"/>
        <v>&gt;₹500</v>
      </c>
      <c r="K616" s="1">
        <v>0.83</v>
      </c>
      <c r="L616" s="1" t="str">
        <f t="shared" si="27"/>
        <v>50% or More</v>
      </c>
      <c r="M616">
        <v>3.7</v>
      </c>
      <c r="N616" s="2">
        <v>28324</v>
      </c>
      <c r="O616" s="5">
        <f t="shared" si="28"/>
        <v>254887676</v>
      </c>
      <c r="P616">
        <f>MAX(Table1[RATING COUNT])</f>
        <v>426973</v>
      </c>
    </row>
    <row r="617" spans="1:16">
      <c r="A617" t="s">
        <v>2187</v>
      </c>
      <c r="B617" t="s">
        <v>587</v>
      </c>
      <c r="D617" t="s">
        <v>1352</v>
      </c>
      <c r="E617" t="s">
        <v>1410</v>
      </c>
      <c r="F617" t="s">
        <v>1411</v>
      </c>
      <c r="H617" s="7">
        <v>149</v>
      </c>
      <c r="I617" s="7">
        <v>180</v>
      </c>
      <c r="J617" s="7" t="str">
        <f t="shared" si="29"/>
        <v>&lt;₹200</v>
      </c>
      <c r="K617" s="1">
        <v>0.17</v>
      </c>
      <c r="L617" s="1" t="str">
        <f t="shared" si="27"/>
        <v>&lt;50%</v>
      </c>
      <c r="M617">
        <v>4.4000000000000004</v>
      </c>
      <c r="N617" s="2">
        <v>644</v>
      </c>
      <c r="O617" s="5">
        <f t="shared" si="28"/>
        <v>115920</v>
      </c>
      <c r="P617">
        <f>MAX(Table1[RATING COUNT])</f>
        <v>426973</v>
      </c>
    </row>
    <row r="618" spans="1:16">
      <c r="A618" t="s">
        <v>2188</v>
      </c>
      <c r="B618" t="s">
        <v>588</v>
      </c>
      <c r="D618" t="s">
        <v>1345</v>
      </c>
      <c r="E618" t="s">
        <v>1346</v>
      </c>
      <c r="F618" t="s">
        <v>1433</v>
      </c>
      <c r="G618" t="s">
        <v>1434</v>
      </c>
      <c r="H618" s="7">
        <v>399</v>
      </c>
      <c r="I618" s="7">
        <v>549</v>
      </c>
      <c r="J618" s="7" t="str">
        <f t="shared" si="29"/>
        <v>&gt;₹500</v>
      </c>
      <c r="K618" s="1">
        <v>0.27</v>
      </c>
      <c r="L618" s="1" t="str">
        <f t="shared" si="27"/>
        <v>&lt;50%</v>
      </c>
      <c r="M618">
        <v>4.4000000000000004</v>
      </c>
      <c r="N618" s="2">
        <v>18139</v>
      </c>
      <c r="O618" s="5">
        <f t="shared" si="28"/>
        <v>9958311</v>
      </c>
      <c r="P618">
        <f>MAX(Table1[RATING COUNT])</f>
        <v>426973</v>
      </c>
    </row>
    <row r="619" spans="1:16">
      <c r="A619" t="s">
        <v>2189</v>
      </c>
      <c r="B619" t="s">
        <v>589</v>
      </c>
      <c r="D619" t="s">
        <v>1416</v>
      </c>
      <c r="E619" t="s">
        <v>1417</v>
      </c>
      <c r="F619" t="s">
        <v>1435</v>
      </c>
      <c r="G619" t="s">
        <v>1436</v>
      </c>
      <c r="H619" s="7">
        <v>191</v>
      </c>
      <c r="I619" s="7">
        <v>225</v>
      </c>
      <c r="J619" s="7" t="str">
        <f t="shared" si="29"/>
        <v>₹200–₹500</v>
      </c>
      <c r="K619" s="1">
        <v>0.15</v>
      </c>
      <c r="L619" s="1" t="str">
        <f t="shared" si="27"/>
        <v>&lt;50%</v>
      </c>
      <c r="M619">
        <v>4.4000000000000004</v>
      </c>
      <c r="N619" s="2">
        <v>7203</v>
      </c>
      <c r="O619" s="5">
        <f t="shared" si="28"/>
        <v>1620675</v>
      </c>
      <c r="P619">
        <f>MAX(Table1[RATING COUNT])</f>
        <v>426973</v>
      </c>
    </row>
    <row r="620" spans="1:16">
      <c r="A620" t="s">
        <v>2190</v>
      </c>
      <c r="B620" t="s">
        <v>590</v>
      </c>
      <c r="D620" t="s">
        <v>1345</v>
      </c>
      <c r="E620" t="s">
        <v>1346</v>
      </c>
      <c r="F620" t="s">
        <v>1401</v>
      </c>
      <c r="G620" t="s">
        <v>1432</v>
      </c>
      <c r="H620" s="7">
        <v>129</v>
      </c>
      <c r="I620" s="7">
        <v>999</v>
      </c>
      <c r="J620" s="7" t="str">
        <f t="shared" si="29"/>
        <v>&gt;₹500</v>
      </c>
      <c r="K620" s="1">
        <v>0.87</v>
      </c>
      <c r="L620" s="1" t="str">
        <f t="shared" si="27"/>
        <v>50% or More</v>
      </c>
      <c r="M620">
        <v>4.2</v>
      </c>
      <c r="N620" s="2">
        <v>491</v>
      </c>
      <c r="O620" s="5">
        <f t="shared" si="28"/>
        <v>490509</v>
      </c>
      <c r="P620">
        <f>MAX(Table1[RATING COUNT])</f>
        <v>426973</v>
      </c>
    </row>
    <row r="621" spans="1:16">
      <c r="A621" t="s">
        <v>1984</v>
      </c>
      <c r="B621" t="s">
        <v>591</v>
      </c>
      <c r="D621" t="s">
        <v>1345</v>
      </c>
      <c r="E621" t="s">
        <v>1346</v>
      </c>
      <c r="F621" t="s">
        <v>1437</v>
      </c>
      <c r="H621" s="7">
        <v>199</v>
      </c>
      <c r="I621" s="7">
        <v>599</v>
      </c>
      <c r="J621" s="7" t="str">
        <f t="shared" si="29"/>
        <v>&gt;₹500</v>
      </c>
      <c r="K621" s="1">
        <v>0.67</v>
      </c>
      <c r="L621" s="1" t="str">
        <f t="shared" si="27"/>
        <v>50% or More</v>
      </c>
      <c r="M621">
        <v>4.5</v>
      </c>
      <c r="N621" s="2">
        <v>13568</v>
      </c>
      <c r="O621" s="5">
        <f t="shared" si="28"/>
        <v>8127232</v>
      </c>
      <c r="P621">
        <f>MAX(Table1[RATING COUNT])</f>
        <v>426973</v>
      </c>
    </row>
    <row r="622" spans="1:16">
      <c r="A622" t="s">
        <v>2191</v>
      </c>
      <c r="B622" t="s">
        <v>592</v>
      </c>
      <c r="D622" t="s">
        <v>1352</v>
      </c>
      <c r="E622" t="s">
        <v>1383</v>
      </c>
      <c r="F622" t="s">
        <v>1384</v>
      </c>
      <c r="G622" t="s">
        <v>1385</v>
      </c>
      <c r="H622" s="7">
        <v>999</v>
      </c>
      <c r="I622" s="7">
        <v>4499</v>
      </c>
      <c r="J622" s="7" t="str">
        <f t="shared" si="29"/>
        <v>&gt;₹500</v>
      </c>
      <c r="K622" s="1">
        <v>0.78</v>
      </c>
      <c r="L622" s="1" t="str">
        <f t="shared" si="27"/>
        <v>50% or More</v>
      </c>
      <c r="M622">
        <v>3.8</v>
      </c>
      <c r="N622" s="2">
        <v>3390</v>
      </c>
      <c r="O622" s="5">
        <f t="shared" si="28"/>
        <v>15251610</v>
      </c>
      <c r="P622">
        <f>MAX(Table1[RATING COUNT])</f>
        <v>426973</v>
      </c>
    </row>
    <row r="623" spans="1:16">
      <c r="A623" t="s">
        <v>2192</v>
      </c>
      <c r="B623" t="s">
        <v>593</v>
      </c>
      <c r="D623" t="s">
        <v>1352</v>
      </c>
      <c r="E623" t="s">
        <v>1383</v>
      </c>
      <c r="F623" t="s">
        <v>1384</v>
      </c>
      <c r="G623" t="s">
        <v>1385</v>
      </c>
      <c r="H623" s="7">
        <v>899</v>
      </c>
      <c r="I623" s="7">
        <v>4499</v>
      </c>
      <c r="J623" s="7" t="str">
        <f t="shared" si="29"/>
        <v>&gt;₹500</v>
      </c>
      <c r="K623" s="1">
        <v>0.8</v>
      </c>
      <c r="L623" s="1" t="str">
        <f t="shared" si="27"/>
        <v>50% or More</v>
      </c>
      <c r="M623">
        <v>3.8</v>
      </c>
      <c r="N623" s="2">
        <v>103052</v>
      </c>
      <c r="O623" s="5">
        <f t="shared" si="28"/>
        <v>463630948</v>
      </c>
      <c r="P623">
        <f>MAX(Table1[RATING COUNT])</f>
        <v>426973</v>
      </c>
    </row>
    <row r="624" spans="1:16">
      <c r="A624" t="s">
        <v>1611</v>
      </c>
      <c r="B624" t="s">
        <v>594</v>
      </c>
      <c r="D624" t="s">
        <v>1412</v>
      </c>
      <c r="E624" t="s">
        <v>1425</v>
      </c>
      <c r="F624" t="s">
        <v>1426</v>
      </c>
      <c r="G624" t="s">
        <v>1427</v>
      </c>
      <c r="H624" s="7">
        <v>522</v>
      </c>
      <c r="I624" s="7">
        <v>550</v>
      </c>
      <c r="J624" s="7" t="str">
        <f t="shared" si="29"/>
        <v>&gt;₹500</v>
      </c>
      <c r="K624" s="1">
        <v>0.05</v>
      </c>
      <c r="L624" s="1" t="str">
        <f t="shared" si="27"/>
        <v>&lt;50%</v>
      </c>
      <c r="M624">
        <v>4.4000000000000004</v>
      </c>
      <c r="N624" s="2">
        <v>12179</v>
      </c>
      <c r="O624" s="5">
        <f t="shared" si="28"/>
        <v>6698450</v>
      </c>
      <c r="P624">
        <f>MAX(Table1[RATING COUNT])</f>
        <v>426973</v>
      </c>
    </row>
    <row r="625" spans="1:16">
      <c r="A625" t="s">
        <v>1612</v>
      </c>
      <c r="B625" t="s">
        <v>595</v>
      </c>
      <c r="D625" t="s">
        <v>1352</v>
      </c>
      <c r="E625" t="s">
        <v>1422</v>
      </c>
      <c r="F625" t="s">
        <v>1438</v>
      </c>
      <c r="G625" t="s">
        <v>1439</v>
      </c>
      <c r="H625" s="7">
        <v>799</v>
      </c>
      <c r="I625" s="7">
        <v>1999</v>
      </c>
      <c r="J625" s="7" t="str">
        <f t="shared" si="29"/>
        <v>&gt;₹500</v>
      </c>
      <c r="K625" s="1">
        <v>0.6</v>
      </c>
      <c r="L625" s="1" t="str">
        <f t="shared" si="27"/>
        <v>50% or More</v>
      </c>
      <c r="M625">
        <v>3.8</v>
      </c>
      <c r="N625" s="2">
        <v>12958</v>
      </c>
      <c r="O625" s="5">
        <f t="shared" si="28"/>
        <v>25903042</v>
      </c>
      <c r="P625">
        <f>MAX(Table1[RATING COUNT])</f>
        <v>426973</v>
      </c>
    </row>
    <row r="626" spans="1:16">
      <c r="A626" t="s">
        <v>1985</v>
      </c>
      <c r="B626" t="s">
        <v>596</v>
      </c>
      <c r="D626" t="s">
        <v>1345</v>
      </c>
      <c r="E626" t="s">
        <v>1346</v>
      </c>
      <c r="F626" t="s">
        <v>1401</v>
      </c>
      <c r="G626" t="s">
        <v>1402</v>
      </c>
      <c r="H626" s="7">
        <v>681</v>
      </c>
      <c r="I626" s="7">
        <v>1199</v>
      </c>
      <c r="J626" s="7" t="str">
        <f t="shared" si="29"/>
        <v>&gt;₹500</v>
      </c>
      <c r="K626" s="1">
        <v>0.43</v>
      </c>
      <c r="L626" s="1" t="str">
        <f t="shared" si="27"/>
        <v>&lt;50%</v>
      </c>
      <c r="M626">
        <v>4.2</v>
      </c>
      <c r="N626" s="2">
        <v>8258</v>
      </c>
      <c r="O626" s="5">
        <f t="shared" si="28"/>
        <v>9901342</v>
      </c>
      <c r="P626">
        <f>MAX(Table1[RATING COUNT])</f>
        <v>426973</v>
      </c>
    </row>
    <row r="627" spans="1:16">
      <c r="A627" t="s">
        <v>2193</v>
      </c>
      <c r="B627" t="s">
        <v>597</v>
      </c>
      <c r="D627" t="s">
        <v>1345</v>
      </c>
      <c r="E627" t="s">
        <v>1349</v>
      </c>
      <c r="H627" s="7">
        <v>1199</v>
      </c>
      <c r="I627" s="7">
        <v>3490</v>
      </c>
      <c r="J627" s="7" t="str">
        <f t="shared" si="29"/>
        <v>&gt;₹500</v>
      </c>
      <c r="K627" s="1">
        <v>0.66</v>
      </c>
      <c r="L627" s="1" t="str">
        <f t="shared" si="27"/>
        <v>50% or More</v>
      </c>
      <c r="M627">
        <v>4.0999999999999996</v>
      </c>
      <c r="N627" s="2">
        <v>11716</v>
      </c>
      <c r="O627" s="5">
        <f t="shared" si="28"/>
        <v>40888840</v>
      </c>
      <c r="P627">
        <f>MAX(Table1[RATING COUNT])</f>
        <v>426973</v>
      </c>
    </row>
    <row r="628" spans="1:16">
      <c r="A628" t="s">
        <v>2194</v>
      </c>
      <c r="B628" t="s">
        <v>598</v>
      </c>
      <c r="D628" t="s">
        <v>1345</v>
      </c>
      <c r="E628" t="s">
        <v>1349</v>
      </c>
      <c r="F628" t="s">
        <v>1440</v>
      </c>
      <c r="H628" s="7">
        <v>2499</v>
      </c>
      <c r="I628" s="7">
        <v>4999</v>
      </c>
      <c r="J628" s="7" t="str">
        <f t="shared" si="29"/>
        <v>&gt;₹500</v>
      </c>
      <c r="K628" s="1">
        <v>0.5</v>
      </c>
      <c r="L628" s="1" t="str">
        <f t="shared" si="27"/>
        <v>50% or More</v>
      </c>
      <c r="M628">
        <v>4.4000000000000004</v>
      </c>
      <c r="N628" s="2">
        <v>35024</v>
      </c>
      <c r="O628" s="5">
        <f t="shared" si="28"/>
        <v>175084976</v>
      </c>
      <c r="P628">
        <f>MAX(Table1[RATING COUNT])</f>
        <v>426973</v>
      </c>
    </row>
    <row r="629" spans="1:16">
      <c r="A629" t="s">
        <v>2195</v>
      </c>
      <c r="B629" t="s">
        <v>599</v>
      </c>
      <c r="D629" t="s">
        <v>1352</v>
      </c>
      <c r="E629" t="s">
        <v>1383</v>
      </c>
      <c r="F629" t="s">
        <v>1384</v>
      </c>
      <c r="G629" t="s">
        <v>1441</v>
      </c>
      <c r="H629" s="7">
        <v>1799</v>
      </c>
      <c r="I629" s="7">
        <v>4999</v>
      </c>
      <c r="J629" s="7" t="str">
        <f t="shared" si="29"/>
        <v>&gt;₹500</v>
      </c>
      <c r="K629" s="1">
        <v>0.64</v>
      </c>
      <c r="L629" s="1" t="str">
        <f t="shared" si="27"/>
        <v>50% or More</v>
      </c>
      <c r="M629">
        <v>4.0999999999999996</v>
      </c>
      <c r="N629" s="2">
        <v>55192</v>
      </c>
      <c r="O629" s="5">
        <f t="shared" si="28"/>
        <v>275904808</v>
      </c>
      <c r="P629">
        <f>MAX(Table1[RATING COUNT])</f>
        <v>426973</v>
      </c>
    </row>
    <row r="630" spans="1:16">
      <c r="A630" t="s">
        <v>1613</v>
      </c>
      <c r="B630" t="s">
        <v>600</v>
      </c>
      <c r="D630" t="s">
        <v>1352</v>
      </c>
      <c r="E630" t="s">
        <v>1383</v>
      </c>
      <c r="F630" t="s">
        <v>1384</v>
      </c>
      <c r="G630" t="s">
        <v>1385</v>
      </c>
      <c r="H630" s="7">
        <v>429</v>
      </c>
      <c r="I630" s="7">
        <v>599</v>
      </c>
      <c r="J630" s="7" t="str">
        <f t="shared" si="29"/>
        <v>&gt;₹500</v>
      </c>
      <c r="K630" s="1">
        <v>0.28000000000000003</v>
      </c>
      <c r="L630" s="1" t="str">
        <f t="shared" si="27"/>
        <v>&lt;50%</v>
      </c>
      <c r="M630">
        <v>4.0999999999999996</v>
      </c>
      <c r="N630" s="2">
        <v>119466</v>
      </c>
      <c r="O630" s="5">
        <f t="shared" si="28"/>
        <v>71560134</v>
      </c>
      <c r="P630">
        <f>MAX(Table1[RATING COUNT])</f>
        <v>426973</v>
      </c>
    </row>
    <row r="631" spans="1:16">
      <c r="A631" t="s">
        <v>2196</v>
      </c>
      <c r="B631" t="s">
        <v>601</v>
      </c>
      <c r="D631" t="s">
        <v>1345</v>
      </c>
      <c r="E631" t="s">
        <v>1346</v>
      </c>
      <c r="F631" t="s">
        <v>1401</v>
      </c>
      <c r="G631" t="s">
        <v>1403</v>
      </c>
      <c r="H631" s="7">
        <v>100</v>
      </c>
      <c r="I631" s="7">
        <v>499</v>
      </c>
      <c r="J631" s="7" t="str">
        <f t="shared" si="29"/>
        <v>₹200–₹500</v>
      </c>
      <c r="K631" s="1">
        <v>0.8</v>
      </c>
      <c r="L631" s="1" t="str">
        <f t="shared" si="27"/>
        <v>50% or More</v>
      </c>
      <c r="M631">
        <v>3.5</v>
      </c>
      <c r="N631" s="2">
        <v>9638</v>
      </c>
      <c r="O631" s="5">
        <f t="shared" si="28"/>
        <v>4809362</v>
      </c>
      <c r="P631">
        <f>MAX(Table1[RATING COUNT])</f>
        <v>426973</v>
      </c>
    </row>
    <row r="632" spans="1:16">
      <c r="A632" t="s">
        <v>2197</v>
      </c>
      <c r="B632" t="s">
        <v>602</v>
      </c>
      <c r="D632" t="s">
        <v>1345</v>
      </c>
      <c r="E632" t="s">
        <v>1346</v>
      </c>
      <c r="F632" t="s">
        <v>1401</v>
      </c>
      <c r="G632" t="s">
        <v>1406</v>
      </c>
      <c r="H632" s="7">
        <v>329</v>
      </c>
      <c r="I632" s="7">
        <v>399</v>
      </c>
      <c r="J632" s="7" t="str">
        <f t="shared" si="29"/>
        <v>₹200–₹500</v>
      </c>
      <c r="K632" s="1">
        <v>0.18</v>
      </c>
      <c r="L632" s="1" t="str">
        <f t="shared" si="27"/>
        <v>&lt;50%</v>
      </c>
      <c r="M632">
        <v>3.6</v>
      </c>
      <c r="N632" s="2">
        <v>33735</v>
      </c>
      <c r="O632" s="5">
        <f t="shared" si="28"/>
        <v>13460265</v>
      </c>
      <c r="P632">
        <f>MAX(Table1[RATING COUNT])</f>
        <v>426973</v>
      </c>
    </row>
    <row r="633" spans="1:16">
      <c r="A633" t="s">
        <v>2198</v>
      </c>
      <c r="B633" t="s">
        <v>603</v>
      </c>
      <c r="D633" t="s">
        <v>1345</v>
      </c>
      <c r="E633" t="s">
        <v>1346</v>
      </c>
      <c r="F633" t="s">
        <v>1401</v>
      </c>
      <c r="G633" t="s">
        <v>1402</v>
      </c>
      <c r="H633" s="7">
        <v>139</v>
      </c>
      <c r="I633" s="7">
        <v>299</v>
      </c>
      <c r="J633" s="7" t="str">
        <f t="shared" si="29"/>
        <v>₹200–₹500</v>
      </c>
      <c r="K633" s="1">
        <v>0.54</v>
      </c>
      <c r="L633" s="1" t="str">
        <f t="shared" si="27"/>
        <v>50% or More</v>
      </c>
      <c r="M633">
        <v>3.8</v>
      </c>
      <c r="N633" s="2">
        <v>3044</v>
      </c>
      <c r="O633" s="5">
        <f t="shared" si="28"/>
        <v>910156</v>
      </c>
      <c r="P633">
        <f>MAX(Table1[RATING COUNT])</f>
        <v>426973</v>
      </c>
    </row>
    <row r="634" spans="1:16">
      <c r="A634" t="s">
        <v>1614</v>
      </c>
      <c r="B634" t="s">
        <v>604</v>
      </c>
      <c r="D634" t="s">
        <v>1352</v>
      </c>
      <c r="E634" t="s">
        <v>1383</v>
      </c>
      <c r="F634" t="s">
        <v>1384</v>
      </c>
      <c r="G634" t="s">
        <v>1396</v>
      </c>
      <c r="H634" s="7">
        <v>1199</v>
      </c>
      <c r="I634" s="7">
        <v>2499</v>
      </c>
      <c r="J634" s="7" t="str">
        <f t="shared" si="29"/>
        <v>&gt;₹500</v>
      </c>
      <c r="K634" s="1">
        <v>0.52</v>
      </c>
      <c r="L634" s="1" t="str">
        <f t="shared" si="27"/>
        <v>50% or More</v>
      </c>
      <c r="M634">
        <v>4</v>
      </c>
      <c r="N634" s="2">
        <v>33584</v>
      </c>
      <c r="O634" s="5">
        <f t="shared" si="28"/>
        <v>83926416</v>
      </c>
      <c r="P634">
        <f>MAX(Table1[RATING COUNT])</f>
        <v>426973</v>
      </c>
    </row>
    <row r="635" spans="1:16">
      <c r="A635" t="s">
        <v>2199</v>
      </c>
      <c r="B635" t="s">
        <v>605</v>
      </c>
      <c r="D635" t="s">
        <v>1352</v>
      </c>
      <c r="E635" t="s">
        <v>1360</v>
      </c>
      <c r="F635" t="s">
        <v>1370</v>
      </c>
      <c r="G635" t="s">
        <v>1442</v>
      </c>
      <c r="H635" s="7">
        <v>1049</v>
      </c>
      <c r="I635" s="7">
        <v>2299</v>
      </c>
      <c r="J635" s="7" t="str">
        <f t="shared" si="29"/>
        <v>&gt;₹500</v>
      </c>
      <c r="K635" s="1">
        <v>0.54</v>
      </c>
      <c r="L635" s="1" t="str">
        <f t="shared" si="27"/>
        <v>50% or More</v>
      </c>
      <c r="M635">
        <v>3.9</v>
      </c>
      <c r="N635" s="2">
        <v>1779</v>
      </c>
      <c r="O635" s="5">
        <f t="shared" si="28"/>
        <v>4089921</v>
      </c>
      <c r="P635">
        <f>MAX(Table1[RATING COUNT])</f>
        <v>426973</v>
      </c>
    </row>
    <row r="636" spans="1:16">
      <c r="A636" t="s">
        <v>2000</v>
      </c>
      <c r="B636" t="s">
        <v>606</v>
      </c>
      <c r="D636" t="s">
        <v>1352</v>
      </c>
      <c r="E636" t="s">
        <v>1410</v>
      </c>
      <c r="H636" s="7">
        <v>225</v>
      </c>
      <c r="I636" s="7">
        <v>250</v>
      </c>
      <c r="J636" s="7" t="str">
        <f t="shared" si="29"/>
        <v>₹200–₹500</v>
      </c>
      <c r="K636" s="1">
        <v>0.1</v>
      </c>
      <c r="L636" s="1" t="str">
        <f t="shared" si="27"/>
        <v>&lt;50%</v>
      </c>
      <c r="M636">
        <v>4.4000000000000004</v>
      </c>
      <c r="N636" s="2">
        <v>26556</v>
      </c>
      <c r="O636" s="5">
        <f t="shared" si="28"/>
        <v>6639000</v>
      </c>
      <c r="P636">
        <f>MAX(Table1[RATING COUNT])</f>
        <v>426973</v>
      </c>
    </row>
    <row r="637" spans="1:16">
      <c r="A637" t="s">
        <v>2001</v>
      </c>
      <c r="B637" t="s">
        <v>607</v>
      </c>
      <c r="D637" t="s">
        <v>1345</v>
      </c>
      <c r="E637" t="s">
        <v>1346</v>
      </c>
      <c r="F637" t="s">
        <v>1397</v>
      </c>
      <c r="G637" t="s">
        <v>1404</v>
      </c>
      <c r="H637" s="7">
        <v>656</v>
      </c>
      <c r="I637" s="7">
        <v>1499</v>
      </c>
      <c r="J637" s="7" t="str">
        <f t="shared" si="29"/>
        <v>&gt;₹500</v>
      </c>
      <c r="K637" s="1">
        <v>0.56000000000000005</v>
      </c>
      <c r="L637" s="1" t="str">
        <f t="shared" si="27"/>
        <v>50% or More</v>
      </c>
      <c r="M637">
        <v>4.3</v>
      </c>
      <c r="N637" s="2">
        <v>25903</v>
      </c>
      <c r="O637" s="5">
        <f t="shared" si="28"/>
        <v>38828597</v>
      </c>
      <c r="P637">
        <f>MAX(Table1[RATING COUNT])</f>
        <v>426973</v>
      </c>
    </row>
    <row r="638" spans="1:16">
      <c r="A638" t="s">
        <v>2200</v>
      </c>
      <c r="B638" t="s">
        <v>608</v>
      </c>
      <c r="D638" t="s">
        <v>1345</v>
      </c>
      <c r="E638" t="s">
        <v>1399</v>
      </c>
      <c r="F638" t="s">
        <v>1400</v>
      </c>
      <c r="H638" s="7">
        <v>1109</v>
      </c>
      <c r="I638" s="7">
        <v>2800</v>
      </c>
      <c r="J638" s="7" t="str">
        <f t="shared" si="29"/>
        <v>&gt;₹500</v>
      </c>
      <c r="K638" s="1">
        <v>0.6</v>
      </c>
      <c r="L638" s="1" t="str">
        <f t="shared" si="27"/>
        <v>50% or More</v>
      </c>
      <c r="M638">
        <v>4.3</v>
      </c>
      <c r="N638" s="2">
        <v>53464</v>
      </c>
      <c r="O638" s="5">
        <f t="shared" si="28"/>
        <v>149699200</v>
      </c>
      <c r="P638">
        <f>MAX(Table1[RATING COUNT])</f>
        <v>426973</v>
      </c>
    </row>
    <row r="639" spans="1:16">
      <c r="A639" t="s">
        <v>2201</v>
      </c>
      <c r="B639" t="s">
        <v>405</v>
      </c>
      <c r="D639" t="s">
        <v>1352</v>
      </c>
      <c r="E639" t="s">
        <v>1373</v>
      </c>
      <c r="F639" t="s">
        <v>1374</v>
      </c>
      <c r="H639" s="7">
        <v>2999</v>
      </c>
      <c r="I639" s="7">
        <v>7990</v>
      </c>
      <c r="J639" s="7" t="str">
        <f t="shared" si="29"/>
        <v>&gt;₹500</v>
      </c>
      <c r="K639" s="1">
        <v>0.62</v>
      </c>
      <c r="L639" s="1" t="str">
        <f t="shared" si="27"/>
        <v>50% or More</v>
      </c>
      <c r="M639">
        <v>4.0999999999999996</v>
      </c>
      <c r="N639" s="2">
        <v>48448</v>
      </c>
      <c r="O639" s="5">
        <f t="shared" si="28"/>
        <v>387099520</v>
      </c>
      <c r="P639">
        <f>MAX(Table1[RATING COUNT])</f>
        <v>426973</v>
      </c>
    </row>
    <row r="640" spans="1:16">
      <c r="A640" t="s">
        <v>2202</v>
      </c>
      <c r="B640" t="s">
        <v>609</v>
      </c>
      <c r="D640" t="s">
        <v>1345</v>
      </c>
      <c r="E640" t="s">
        <v>1346</v>
      </c>
      <c r="F640" t="s">
        <v>1401</v>
      </c>
      <c r="G640" t="s">
        <v>1432</v>
      </c>
      <c r="H640" s="7">
        <v>169</v>
      </c>
      <c r="I640" s="7">
        <v>299</v>
      </c>
      <c r="J640" s="7" t="str">
        <f t="shared" si="29"/>
        <v>₹200–₹500</v>
      </c>
      <c r="K640" s="1">
        <v>0.43</v>
      </c>
      <c r="L640" s="1" t="str">
        <f t="shared" si="27"/>
        <v>&lt;50%</v>
      </c>
      <c r="M640">
        <v>4.4000000000000004</v>
      </c>
      <c r="N640" s="2">
        <v>5176</v>
      </c>
      <c r="O640" s="5">
        <f t="shared" si="28"/>
        <v>1547624</v>
      </c>
      <c r="P640">
        <f>MAX(Table1[RATING COUNT])</f>
        <v>426973</v>
      </c>
    </row>
    <row r="641" spans="1:16">
      <c r="A641" t="s">
        <v>2203</v>
      </c>
      <c r="B641" t="s">
        <v>610</v>
      </c>
      <c r="D641" t="s">
        <v>1345</v>
      </c>
      <c r="E641" t="s">
        <v>1429</v>
      </c>
      <c r="F641" t="s">
        <v>1430</v>
      </c>
      <c r="G641" t="s">
        <v>1431</v>
      </c>
      <c r="H641" s="7">
        <v>309</v>
      </c>
      <c r="I641" s="7">
        <v>404</v>
      </c>
      <c r="J641" s="7" t="str">
        <f t="shared" si="29"/>
        <v>₹200–₹500</v>
      </c>
      <c r="K641" s="1">
        <v>0.24</v>
      </c>
      <c r="L641" s="1" t="str">
        <f t="shared" si="27"/>
        <v>&lt;50%</v>
      </c>
      <c r="M641">
        <v>4.4000000000000004</v>
      </c>
      <c r="N641" s="2">
        <v>8614</v>
      </c>
      <c r="O641" s="5">
        <f t="shared" si="28"/>
        <v>3480056</v>
      </c>
      <c r="P641">
        <f>MAX(Table1[RATING COUNT])</f>
        <v>426973</v>
      </c>
    </row>
    <row r="642" spans="1:16">
      <c r="A642" t="s">
        <v>2204</v>
      </c>
      <c r="B642" t="s">
        <v>611</v>
      </c>
      <c r="D642" t="s">
        <v>1352</v>
      </c>
      <c r="E642" t="s">
        <v>1383</v>
      </c>
      <c r="F642" t="s">
        <v>1384</v>
      </c>
      <c r="G642" t="s">
        <v>1396</v>
      </c>
      <c r="H642" s="7">
        <v>599</v>
      </c>
      <c r="I642" s="7">
        <v>1399</v>
      </c>
      <c r="J642" s="7" t="str">
        <f t="shared" si="29"/>
        <v>&gt;₹500</v>
      </c>
      <c r="K642" s="1">
        <v>0.56999999999999995</v>
      </c>
      <c r="L642" s="1" t="str">
        <f t="shared" ref="L642:L705" si="30">IF(K642&gt;=50%,"50% or More","&lt;50%")</f>
        <v>50% or More</v>
      </c>
      <c r="M642">
        <v>3.8</v>
      </c>
      <c r="N642" s="2">
        <v>60026</v>
      </c>
      <c r="O642" s="5">
        <f t="shared" ref="O642:O705" si="31">I642*N642</f>
        <v>83976374</v>
      </c>
      <c r="P642">
        <f>MAX(Table1[RATING COUNT])</f>
        <v>426973</v>
      </c>
    </row>
    <row r="643" spans="1:16">
      <c r="A643" t="s">
        <v>2002</v>
      </c>
      <c r="B643" t="s">
        <v>1338</v>
      </c>
      <c r="D643" t="s">
        <v>1345</v>
      </c>
      <c r="E643" t="s">
        <v>1346</v>
      </c>
      <c r="F643" t="s">
        <v>1401</v>
      </c>
      <c r="G643" t="s">
        <v>1406</v>
      </c>
      <c r="H643" s="7">
        <v>299</v>
      </c>
      <c r="I643" s="7">
        <v>599</v>
      </c>
      <c r="J643" s="7" t="str">
        <f t="shared" ref="J643:J706" si="32">IF(I643&lt;200, "&lt;₹200", IF(I643&lt;=500, "₹200–₹500", "&gt;₹500"))</f>
        <v>&gt;₹500</v>
      </c>
      <c r="K643" s="1">
        <v>0.5</v>
      </c>
      <c r="L643" s="1" t="str">
        <f t="shared" si="30"/>
        <v>50% or More</v>
      </c>
      <c r="M643">
        <v>3.8</v>
      </c>
      <c r="N643" s="2">
        <v>3066</v>
      </c>
      <c r="O643" s="5">
        <f t="shared" si="31"/>
        <v>1836534</v>
      </c>
      <c r="P643">
        <f>MAX(Table1[RATING COUNT])</f>
        <v>426973</v>
      </c>
    </row>
    <row r="644" spans="1:16">
      <c r="A644" t="s">
        <v>1615</v>
      </c>
      <c r="B644" t="s">
        <v>612</v>
      </c>
      <c r="D644" t="s">
        <v>1345</v>
      </c>
      <c r="E644" t="s">
        <v>1346</v>
      </c>
      <c r="F644" t="s">
        <v>1397</v>
      </c>
      <c r="G644" t="s">
        <v>1404</v>
      </c>
      <c r="H644" s="7">
        <v>449</v>
      </c>
      <c r="I644" s="7">
        <v>999</v>
      </c>
      <c r="J644" s="7" t="str">
        <f t="shared" si="32"/>
        <v>&gt;₹500</v>
      </c>
      <c r="K644" s="1">
        <v>0.55000000000000004</v>
      </c>
      <c r="L644" s="1" t="str">
        <f t="shared" si="30"/>
        <v>50% or More</v>
      </c>
      <c r="M644">
        <v>4</v>
      </c>
      <c r="N644" s="2">
        <v>2102</v>
      </c>
      <c r="O644" s="5">
        <f t="shared" si="31"/>
        <v>2099898</v>
      </c>
      <c r="P644">
        <f>MAX(Table1[RATING COUNT])</f>
        <v>426973</v>
      </c>
    </row>
    <row r="645" spans="1:16">
      <c r="A645" t="s">
        <v>2205</v>
      </c>
      <c r="B645" t="s">
        <v>613</v>
      </c>
      <c r="D645" t="s">
        <v>1345</v>
      </c>
      <c r="E645" t="s">
        <v>1346</v>
      </c>
      <c r="F645" t="s">
        <v>1401</v>
      </c>
      <c r="G645" t="s">
        <v>1402</v>
      </c>
      <c r="H645" s="7">
        <v>799</v>
      </c>
      <c r="I645" s="7">
        <v>1295</v>
      </c>
      <c r="J645" s="7" t="str">
        <f t="shared" si="32"/>
        <v>&gt;₹500</v>
      </c>
      <c r="K645" s="1">
        <v>0.38</v>
      </c>
      <c r="L645" s="1" t="str">
        <f t="shared" si="30"/>
        <v>&lt;50%</v>
      </c>
      <c r="M645">
        <v>4.4000000000000004</v>
      </c>
      <c r="N645" s="2">
        <v>34852</v>
      </c>
      <c r="O645" s="5">
        <f t="shared" si="31"/>
        <v>45133340</v>
      </c>
      <c r="P645">
        <f>MAX(Table1[RATING COUNT])</f>
        <v>426973</v>
      </c>
    </row>
    <row r="646" spans="1:16">
      <c r="A646" t="s">
        <v>2011</v>
      </c>
      <c r="B646" t="s">
        <v>12</v>
      </c>
      <c r="D646" t="s">
        <v>1352</v>
      </c>
      <c r="E646" t="s">
        <v>1353</v>
      </c>
      <c r="F646" t="s">
        <v>1354</v>
      </c>
      <c r="G646" t="s">
        <v>1348</v>
      </c>
      <c r="H646" s="7">
        <v>219</v>
      </c>
      <c r="I646" s="7">
        <v>700</v>
      </c>
      <c r="J646" s="7" t="str">
        <f t="shared" si="32"/>
        <v>&gt;₹500</v>
      </c>
      <c r="K646" s="1">
        <v>0.69</v>
      </c>
      <c r="L646" s="1" t="str">
        <f t="shared" si="30"/>
        <v>50% or More</v>
      </c>
      <c r="M646">
        <v>4.4000000000000004</v>
      </c>
      <c r="N646" s="2">
        <v>426972</v>
      </c>
      <c r="O646" s="5">
        <f t="shared" si="31"/>
        <v>298880400</v>
      </c>
      <c r="P646">
        <f>MAX(Table1[RATING COUNT])</f>
        <v>426973</v>
      </c>
    </row>
    <row r="647" spans="1:16">
      <c r="A647" t="s">
        <v>2206</v>
      </c>
      <c r="B647" t="s">
        <v>614</v>
      </c>
      <c r="D647" t="s">
        <v>1412</v>
      </c>
      <c r="E647" t="s">
        <v>1413</v>
      </c>
      <c r="F647" t="s">
        <v>1414</v>
      </c>
      <c r="G647" t="s">
        <v>1415</v>
      </c>
      <c r="H647" s="7">
        <v>157</v>
      </c>
      <c r="I647" s="7">
        <v>160</v>
      </c>
      <c r="J647" s="7" t="str">
        <f t="shared" si="32"/>
        <v>&lt;₹200</v>
      </c>
      <c r="K647" s="1">
        <v>0.02</v>
      </c>
      <c r="L647" s="1" t="str">
        <f t="shared" si="30"/>
        <v>&lt;50%</v>
      </c>
      <c r="M647">
        <v>4.5</v>
      </c>
      <c r="N647" s="2">
        <v>8618</v>
      </c>
      <c r="O647" s="5">
        <f t="shared" si="31"/>
        <v>1378880</v>
      </c>
      <c r="P647">
        <f>MAX(Table1[RATING COUNT])</f>
        <v>426973</v>
      </c>
    </row>
    <row r="648" spans="1:16">
      <c r="A648" t="s">
        <v>2207</v>
      </c>
      <c r="B648" t="s">
        <v>615</v>
      </c>
      <c r="D648" t="s">
        <v>1345</v>
      </c>
      <c r="E648" t="s">
        <v>1346</v>
      </c>
      <c r="F648" t="s">
        <v>1401</v>
      </c>
      <c r="G648" t="s">
        <v>1402</v>
      </c>
      <c r="H648" s="7">
        <v>599</v>
      </c>
      <c r="I648" s="7">
        <v>899</v>
      </c>
      <c r="J648" s="7" t="str">
        <f t="shared" si="32"/>
        <v>&gt;₹500</v>
      </c>
      <c r="K648" s="1">
        <v>0.33</v>
      </c>
      <c r="L648" s="1" t="str">
        <f t="shared" si="30"/>
        <v>&lt;50%</v>
      </c>
      <c r="M648">
        <v>4</v>
      </c>
      <c r="N648" s="2">
        <v>4018</v>
      </c>
      <c r="O648" s="5">
        <f t="shared" si="31"/>
        <v>3612182</v>
      </c>
      <c r="P648">
        <f>MAX(Table1[RATING COUNT])</f>
        <v>426973</v>
      </c>
    </row>
    <row r="649" spans="1:16">
      <c r="A649" t="s">
        <v>2208</v>
      </c>
      <c r="B649" t="s">
        <v>616</v>
      </c>
      <c r="D649" t="s">
        <v>1352</v>
      </c>
      <c r="E649" t="s">
        <v>1410</v>
      </c>
      <c r="F649" t="s">
        <v>1443</v>
      </c>
      <c r="H649" s="7">
        <v>479</v>
      </c>
      <c r="I649" s="7">
        <v>599</v>
      </c>
      <c r="J649" s="7" t="str">
        <f t="shared" si="32"/>
        <v>&gt;₹500</v>
      </c>
      <c r="K649" s="1">
        <v>0.2</v>
      </c>
      <c r="L649" s="1" t="str">
        <f t="shared" si="30"/>
        <v>&lt;50%</v>
      </c>
      <c r="M649">
        <v>4.3</v>
      </c>
      <c r="N649" s="2">
        <v>11687</v>
      </c>
      <c r="O649" s="5">
        <f t="shared" si="31"/>
        <v>7000513</v>
      </c>
      <c r="P649">
        <f>MAX(Table1[RATING COUNT])</f>
        <v>426973</v>
      </c>
    </row>
    <row r="650" spans="1:16">
      <c r="A650" t="s">
        <v>2209</v>
      </c>
      <c r="B650" t="s">
        <v>617</v>
      </c>
      <c r="D650" t="s">
        <v>1352</v>
      </c>
      <c r="E650" t="s">
        <v>1383</v>
      </c>
      <c r="F650" t="s">
        <v>1384</v>
      </c>
      <c r="G650" t="s">
        <v>1385</v>
      </c>
      <c r="H650" s="7">
        <v>1598</v>
      </c>
      <c r="I650" s="7">
        <v>2990</v>
      </c>
      <c r="J650" s="7" t="str">
        <f t="shared" si="32"/>
        <v>&gt;₹500</v>
      </c>
      <c r="K650" s="1">
        <v>0.47</v>
      </c>
      <c r="L650" s="1" t="str">
        <f t="shared" si="30"/>
        <v>&lt;50%</v>
      </c>
      <c r="M650">
        <v>3.8</v>
      </c>
      <c r="N650" s="2">
        <v>11015</v>
      </c>
      <c r="O650" s="5">
        <f t="shared" si="31"/>
        <v>32934850</v>
      </c>
      <c r="P650">
        <f>MAX(Table1[RATING COUNT])</f>
        <v>426973</v>
      </c>
    </row>
    <row r="651" spans="1:16">
      <c r="A651" t="s">
        <v>2210</v>
      </c>
      <c r="B651" t="s">
        <v>618</v>
      </c>
      <c r="D651" t="s">
        <v>1345</v>
      </c>
      <c r="E651" t="s">
        <v>1349</v>
      </c>
      <c r="F651" t="s">
        <v>1350</v>
      </c>
      <c r="G651" t="s">
        <v>1444</v>
      </c>
      <c r="H651" s="7">
        <v>599</v>
      </c>
      <c r="I651" s="7">
        <v>899</v>
      </c>
      <c r="J651" s="7" t="str">
        <f t="shared" si="32"/>
        <v>&gt;₹500</v>
      </c>
      <c r="K651" s="1">
        <v>0.33</v>
      </c>
      <c r="L651" s="1" t="str">
        <f t="shared" si="30"/>
        <v>&lt;50%</v>
      </c>
      <c r="M651">
        <v>4.3</v>
      </c>
      <c r="N651" s="2">
        <v>95116</v>
      </c>
      <c r="O651" s="5">
        <f t="shared" si="31"/>
        <v>85509284</v>
      </c>
      <c r="P651">
        <f>MAX(Table1[RATING COUNT])</f>
        <v>426973</v>
      </c>
    </row>
    <row r="652" spans="1:16">
      <c r="A652" t="s">
        <v>2211</v>
      </c>
      <c r="B652" t="s">
        <v>619</v>
      </c>
      <c r="D652" t="s">
        <v>1345</v>
      </c>
      <c r="E652" t="s">
        <v>1399</v>
      </c>
      <c r="F652" t="s">
        <v>1400</v>
      </c>
      <c r="H652" s="7">
        <v>1299</v>
      </c>
      <c r="I652" s="7">
        <v>3000</v>
      </c>
      <c r="J652" s="7" t="str">
        <f t="shared" si="32"/>
        <v>&gt;₹500</v>
      </c>
      <c r="K652" s="1">
        <v>0.56999999999999995</v>
      </c>
      <c r="L652" s="1" t="str">
        <f t="shared" si="30"/>
        <v>50% or More</v>
      </c>
      <c r="M652">
        <v>4.3</v>
      </c>
      <c r="N652" s="2">
        <v>23022</v>
      </c>
      <c r="O652" s="5">
        <f t="shared" si="31"/>
        <v>69066000</v>
      </c>
      <c r="P652">
        <f>MAX(Table1[RATING COUNT])</f>
        <v>426973</v>
      </c>
    </row>
    <row r="653" spans="1:16">
      <c r="A653" t="s">
        <v>2212</v>
      </c>
      <c r="B653" t="s">
        <v>428</v>
      </c>
      <c r="D653" t="s">
        <v>1352</v>
      </c>
      <c r="E653" t="s">
        <v>1373</v>
      </c>
      <c r="F653" t="s">
        <v>1374</v>
      </c>
      <c r="H653" s="7">
        <v>1599</v>
      </c>
      <c r="I653" s="7">
        <v>4999</v>
      </c>
      <c r="J653" s="7" t="str">
        <f t="shared" si="32"/>
        <v>&gt;₹500</v>
      </c>
      <c r="K653" s="1">
        <v>0.68</v>
      </c>
      <c r="L653" s="1" t="str">
        <f t="shared" si="30"/>
        <v>50% or More</v>
      </c>
      <c r="M653">
        <v>4</v>
      </c>
      <c r="N653" s="2">
        <v>67951</v>
      </c>
      <c r="O653" s="5">
        <f t="shared" si="31"/>
        <v>339687049</v>
      </c>
      <c r="P653">
        <f>MAX(Table1[RATING COUNT])</f>
        <v>426973</v>
      </c>
    </row>
    <row r="654" spans="1:16">
      <c r="A654" t="s">
        <v>2213</v>
      </c>
      <c r="B654" t="s">
        <v>620</v>
      </c>
      <c r="D654" t="s">
        <v>1345</v>
      </c>
      <c r="E654" t="s">
        <v>1346</v>
      </c>
      <c r="F654" t="s">
        <v>1364</v>
      </c>
      <c r="G654" t="s">
        <v>1445</v>
      </c>
      <c r="H654" s="7">
        <v>294</v>
      </c>
      <c r="I654" s="7">
        <v>4999</v>
      </c>
      <c r="J654" s="7" t="str">
        <f t="shared" si="32"/>
        <v>&gt;₹500</v>
      </c>
      <c r="K654" s="1">
        <v>0.94</v>
      </c>
      <c r="L654" s="1" t="str">
        <f t="shared" si="30"/>
        <v>50% or More</v>
      </c>
      <c r="M654">
        <v>4.3</v>
      </c>
      <c r="N654" s="2">
        <v>4426</v>
      </c>
      <c r="O654" s="5">
        <f t="shared" si="31"/>
        <v>22125574</v>
      </c>
      <c r="P654">
        <f>MAX(Table1[RATING COUNT])</f>
        <v>426973</v>
      </c>
    </row>
    <row r="655" spans="1:16">
      <c r="A655" t="s">
        <v>2214</v>
      </c>
      <c r="B655" t="s">
        <v>621</v>
      </c>
      <c r="D655" t="s">
        <v>1345</v>
      </c>
      <c r="E655" t="s">
        <v>1429</v>
      </c>
      <c r="F655" t="s">
        <v>1430</v>
      </c>
      <c r="G655" t="s">
        <v>1431</v>
      </c>
      <c r="H655" s="7">
        <v>828</v>
      </c>
      <c r="I655" s="7">
        <v>861</v>
      </c>
      <c r="J655" s="7" t="str">
        <f t="shared" si="32"/>
        <v>&gt;₹500</v>
      </c>
      <c r="K655" s="1">
        <v>0.04</v>
      </c>
      <c r="L655" s="1" t="str">
        <f t="shared" si="30"/>
        <v>&lt;50%</v>
      </c>
      <c r="M655">
        <v>4.2</v>
      </c>
      <c r="N655" s="2">
        <v>4567</v>
      </c>
      <c r="O655" s="5">
        <f t="shared" si="31"/>
        <v>3932187</v>
      </c>
      <c r="P655">
        <f>MAX(Table1[RATING COUNT])</f>
        <v>426973</v>
      </c>
    </row>
    <row r="656" spans="1:16">
      <c r="A656" t="s">
        <v>2215</v>
      </c>
      <c r="B656" t="s">
        <v>622</v>
      </c>
      <c r="D656" t="s">
        <v>1352</v>
      </c>
      <c r="E656" t="s">
        <v>1383</v>
      </c>
      <c r="F656" t="s">
        <v>1384</v>
      </c>
      <c r="G656" t="s">
        <v>1396</v>
      </c>
      <c r="H656" s="7">
        <v>745</v>
      </c>
      <c r="I656" s="7">
        <v>795</v>
      </c>
      <c r="J656" s="7" t="str">
        <f t="shared" si="32"/>
        <v>&gt;₹500</v>
      </c>
      <c r="K656" s="1">
        <v>0.06</v>
      </c>
      <c r="L656" s="1" t="str">
        <f t="shared" si="30"/>
        <v>&lt;50%</v>
      </c>
      <c r="M656">
        <v>4</v>
      </c>
      <c r="N656" s="2">
        <v>13797</v>
      </c>
      <c r="O656" s="5">
        <f t="shared" si="31"/>
        <v>10968615</v>
      </c>
      <c r="P656">
        <f>MAX(Table1[RATING COUNT])</f>
        <v>426973</v>
      </c>
    </row>
    <row r="657" spans="1:16">
      <c r="A657" t="s">
        <v>2216</v>
      </c>
      <c r="B657" t="s">
        <v>623</v>
      </c>
      <c r="D657" t="s">
        <v>1352</v>
      </c>
      <c r="E657" t="s">
        <v>1422</v>
      </c>
      <c r="F657" t="s">
        <v>1354</v>
      </c>
      <c r="G657" t="s">
        <v>1424</v>
      </c>
      <c r="H657" s="7">
        <v>1549</v>
      </c>
      <c r="I657" s="7">
        <v>2495</v>
      </c>
      <c r="J657" s="7" t="str">
        <f t="shared" si="32"/>
        <v>&gt;₹500</v>
      </c>
      <c r="K657" s="1">
        <v>0.38</v>
      </c>
      <c r="L657" s="1" t="str">
        <f t="shared" si="30"/>
        <v>&lt;50%</v>
      </c>
      <c r="M657">
        <v>4.4000000000000004</v>
      </c>
      <c r="N657" s="2">
        <v>15137</v>
      </c>
      <c r="O657" s="5">
        <f t="shared" si="31"/>
        <v>37766815</v>
      </c>
      <c r="P657">
        <f>MAX(Table1[RATING COUNT])</f>
        <v>426973</v>
      </c>
    </row>
    <row r="658" spans="1:16">
      <c r="A658" t="s">
        <v>2217</v>
      </c>
      <c r="B658" t="s">
        <v>624</v>
      </c>
      <c r="D658" t="s">
        <v>1345</v>
      </c>
      <c r="E658" t="s">
        <v>1349</v>
      </c>
      <c r="F658" t="s">
        <v>1428</v>
      </c>
      <c r="H658" s="7">
        <v>1469</v>
      </c>
      <c r="I658" s="7">
        <v>2499</v>
      </c>
      <c r="J658" s="7" t="str">
        <f t="shared" si="32"/>
        <v>&gt;₹500</v>
      </c>
      <c r="K658" s="1">
        <v>0.41</v>
      </c>
      <c r="L658" s="1" t="str">
        <f t="shared" si="30"/>
        <v>&lt;50%</v>
      </c>
      <c r="M658">
        <v>4.2</v>
      </c>
      <c r="N658" s="2">
        <v>156638</v>
      </c>
      <c r="O658" s="5">
        <f t="shared" si="31"/>
        <v>391438362</v>
      </c>
      <c r="P658">
        <f>MAX(Table1[RATING COUNT])</f>
        <v>426973</v>
      </c>
    </row>
    <row r="659" spans="1:16">
      <c r="A659" t="s">
        <v>2021</v>
      </c>
      <c r="B659" t="s">
        <v>625</v>
      </c>
      <c r="D659" t="s">
        <v>1412</v>
      </c>
      <c r="E659" t="s">
        <v>1413</v>
      </c>
      <c r="F659" t="s">
        <v>1414</v>
      </c>
      <c r="G659" t="s">
        <v>1415</v>
      </c>
      <c r="H659" s="7">
        <v>198</v>
      </c>
      <c r="I659" s="7">
        <v>800</v>
      </c>
      <c r="J659" s="7" t="str">
        <f t="shared" si="32"/>
        <v>&gt;₹500</v>
      </c>
      <c r="K659" s="1">
        <v>0.75</v>
      </c>
      <c r="L659" s="1" t="str">
        <f t="shared" si="30"/>
        <v>50% or More</v>
      </c>
      <c r="M659">
        <v>4.0999999999999996</v>
      </c>
      <c r="N659" s="2">
        <v>9344</v>
      </c>
      <c r="O659" s="5">
        <f t="shared" si="31"/>
        <v>7475200</v>
      </c>
      <c r="P659">
        <f>MAX(Table1[RATING COUNT])</f>
        <v>426973</v>
      </c>
    </row>
    <row r="660" spans="1:16">
      <c r="A660" t="s">
        <v>1616</v>
      </c>
      <c r="B660" t="s">
        <v>626</v>
      </c>
      <c r="D660" t="s">
        <v>1352</v>
      </c>
      <c r="E660" t="s">
        <v>1422</v>
      </c>
      <c r="F660" t="s">
        <v>1354</v>
      </c>
      <c r="G660" t="s">
        <v>1446</v>
      </c>
      <c r="H660" s="7">
        <v>549</v>
      </c>
      <c r="I660" s="7">
        <v>549</v>
      </c>
      <c r="J660" s="7" t="str">
        <f t="shared" si="32"/>
        <v>&gt;₹500</v>
      </c>
      <c r="K660" s="1">
        <v>0</v>
      </c>
      <c r="L660" s="1" t="str">
        <f t="shared" si="30"/>
        <v>&lt;50%</v>
      </c>
      <c r="M660">
        <v>4.5</v>
      </c>
      <c r="N660" s="2">
        <v>4875</v>
      </c>
      <c r="O660" s="5">
        <f t="shared" si="31"/>
        <v>2676375</v>
      </c>
      <c r="P660">
        <f>MAX(Table1[RATING COUNT])</f>
        <v>426973</v>
      </c>
    </row>
    <row r="661" spans="1:16">
      <c r="A661" t="s">
        <v>2218</v>
      </c>
      <c r="B661" t="s">
        <v>448</v>
      </c>
      <c r="D661" t="s">
        <v>1352</v>
      </c>
      <c r="E661" t="s">
        <v>1373</v>
      </c>
      <c r="F661" t="s">
        <v>1374</v>
      </c>
      <c r="H661" s="7">
        <v>2999</v>
      </c>
      <c r="I661" s="7">
        <v>9999</v>
      </c>
      <c r="J661" s="7" t="str">
        <f t="shared" si="32"/>
        <v>&gt;₹500</v>
      </c>
      <c r="K661" s="1">
        <v>0.7</v>
      </c>
      <c r="L661" s="1" t="str">
        <f t="shared" si="30"/>
        <v>50% or More</v>
      </c>
      <c r="M661">
        <v>4.2</v>
      </c>
      <c r="N661" s="2">
        <v>20881</v>
      </c>
      <c r="O661" s="5">
        <f t="shared" si="31"/>
        <v>208789119</v>
      </c>
      <c r="P661">
        <f>MAX(Table1[RATING COUNT])</f>
        <v>426973</v>
      </c>
    </row>
    <row r="662" spans="1:16">
      <c r="A662" t="s">
        <v>2219</v>
      </c>
      <c r="B662" t="s">
        <v>627</v>
      </c>
      <c r="D662" t="s">
        <v>1352</v>
      </c>
      <c r="E662" t="s">
        <v>1373</v>
      </c>
      <c r="F662" t="s">
        <v>1374</v>
      </c>
      <c r="H662" s="7">
        <v>12000</v>
      </c>
      <c r="I662" s="7">
        <v>29999</v>
      </c>
      <c r="J662" s="7" t="str">
        <f t="shared" si="32"/>
        <v>&gt;₹500</v>
      </c>
      <c r="K662" s="1">
        <v>0.6</v>
      </c>
      <c r="L662" s="1" t="str">
        <f t="shared" si="30"/>
        <v>50% or More</v>
      </c>
      <c r="M662">
        <v>4.3</v>
      </c>
      <c r="N662" s="2">
        <v>4744</v>
      </c>
      <c r="O662" s="5">
        <f t="shared" si="31"/>
        <v>142315256</v>
      </c>
      <c r="P662">
        <f>MAX(Table1[RATING COUNT])</f>
        <v>426973</v>
      </c>
    </row>
    <row r="663" spans="1:16">
      <c r="A663" t="s">
        <v>2220</v>
      </c>
      <c r="B663" t="s">
        <v>628</v>
      </c>
      <c r="D663" t="s">
        <v>1352</v>
      </c>
      <c r="E663" t="s">
        <v>1383</v>
      </c>
      <c r="F663" t="s">
        <v>1384</v>
      </c>
      <c r="G663" t="s">
        <v>1385</v>
      </c>
      <c r="H663" s="7">
        <v>1299</v>
      </c>
      <c r="I663" s="7">
        <v>3499</v>
      </c>
      <c r="J663" s="7" t="str">
        <f t="shared" si="32"/>
        <v>&gt;₹500</v>
      </c>
      <c r="K663" s="1">
        <v>0.63</v>
      </c>
      <c r="L663" s="1" t="str">
        <f t="shared" si="30"/>
        <v>50% or More</v>
      </c>
      <c r="M663">
        <v>3.9</v>
      </c>
      <c r="N663" s="2">
        <v>12452</v>
      </c>
      <c r="O663" s="5">
        <f t="shared" si="31"/>
        <v>43569548</v>
      </c>
      <c r="P663">
        <f>MAX(Table1[RATING COUNT])</f>
        <v>426973</v>
      </c>
    </row>
    <row r="664" spans="1:16">
      <c r="A664" t="s">
        <v>2221</v>
      </c>
      <c r="B664" t="s">
        <v>629</v>
      </c>
      <c r="D664" t="s">
        <v>1352</v>
      </c>
      <c r="E664" t="s">
        <v>1410</v>
      </c>
      <c r="F664" t="s">
        <v>1411</v>
      </c>
      <c r="H664" s="7">
        <v>269</v>
      </c>
      <c r="I664" s="7">
        <v>315</v>
      </c>
      <c r="J664" s="7" t="str">
        <f t="shared" si="32"/>
        <v>₹200–₹500</v>
      </c>
      <c r="K664" s="1">
        <v>0.15</v>
      </c>
      <c r="L664" s="1" t="str">
        <f t="shared" si="30"/>
        <v>&lt;50%</v>
      </c>
      <c r="M664">
        <v>4.5</v>
      </c>
      <c r="N664" s="2">
        <v>17810</v>
      </c>
      <c r="O664" s="5">
        <f t="shared" si="31"/>
        <v>5610150</v>
      </c>
      <c r="P664">
        <f>MAX(Table1[RATING COUNT])</f>
        <v>426973</v>
      </c>
    </row>
    <row r="665" spans="1:16">
      <c r="A665" t="s">
        <v>2222</v>
      </c>
      <c r="B665" t="s">
        <v>630</v>
      </c>
      <c r="D665" t="s">
        <v>1352</v>
      </c>
      <c r="E665" t="s">
        <v>1383</v>
      </c>
      <c r="F665" t="s">
        <v>1384</v>
      </c>
      <c r="G665" t="s">
        <v>1385</v>
      </c>
      <c r="H665" s="7">
        <v>799</v>
      </c>
      <c r="I665" s="7">
        <v>1499</v>
      </c>
      <c r="J665" s="7" t="str">
        <f t="shared" si="32"/>
        <v>&gt;₹500</v>
      </c>
      <c r="K665" s="1">
        <v>0.47</v>
      </c>
      <c r="L665" s="1" t="str">
        <f t="shared" si="30"/>
        <v>&lt;50%</v>
      </c>
      <c r="M665">
        <v>4.0999999999999996</v>
      </c>
      <c r="N665" s="2">
        <v>53648</v>
      </c>
      <c r="O665" s="5">
        <f t="shared" si="31"/>
        <v>80418352</v>
      </c>
      <c r="P665">
        <f>MAX(Table1[RATING COUNT])</f>
        <v>426973</v>
      </c>
    </row>
    <row r="666" spans="1:16">
      <c r="A666" t="s">
        <v>2223</v>
      </c>
      <c r="B666" t="s">
        <v>631</v>
      </c>
      <c r="D666" t="s">
        <v>1345</v>
      </c>
      <c r="E666" t="s">
        <v>1447</v>
      </c>
      <c r="H666" s="7">
        <v>6299</v>
      </c>
      <c r="I666" s="7">
        <v>13750</v>
      </c>
      <c r="J666" s="7" t="str">
        <f t="shared" si="32"/>
        <v>&gt;₹500</v>
      </c>
      <c r="K666" s="1">
        <v>0.54</v>
      </c>
      <c r="L666" s="1" t="str">
        <f t="shared" si="30"/>
        <v>50% or More</v>
      </c>
      <c r="M666">
        <v>4.2</v>
      </c>
      <c r="N666" s="2">
        <v>2014</v>
      </c>
      <c r="O666" s="5">
        <f t="shared" si="31"/>
        <v>27692500</v>
      </c>
      <c r="P666">
        <f>MAX(Table1[RATING COUNT])</f>
        <v>426973</v>
      </c>
    </row>
    <row r="667" spans="1:16">
      <c r="A667" t="s">
        <v>2224</v>
      </c>
      <c r="B667" t="s">
        <v>632</v>
      </c>
      <c r="D667" t="s">
        <v>1345</v>
      </c>
      <c r="E667" t="s">
        <v>1346</v>
      </c>
      <c r="F667" t="s">
        <v>1448</v>
      </c>
      <c r="G667" t="s">
        <v>1449</v>
      </c>
      <c r="H667" s="7">
        <v>59</v>
      </c>
      <c r="I667" s="7">
        <v>59</v>
      </c>
      <c r="J667" s="7" t="str">
        <f t="shared" si="32"/>
        <v>&lt;₹200</v>
      </c>
      <c r="K667" s="1">
        <v>0</v>
      </c>
      <c r="L667" s="1" t="str">
        <f t="shared" si="30"/>
        <v>&lt;50%</v>
      </c>
      <c r="M667">
        <v>3.8</v>
      </c>
      <c r="N667" s="2">
        <v>5958</v>
      </c>
      <c r="O667" s="5">
        <f t="shared" si="31"/>
        <v>351522</v>
      </c>
      <c r="P667">
        <f>MAX(Table1[RATING COUNT])</f>
        <v>426973</v>
      </c>
    </row>
    <row r="668" spans="1:16">
      <c r="A668" t="s">
        <v>2225</v>
      </c>
      <c r="B668" t="s">
        <v>633</v>
      </c>
      <c r="D668" t="s">
        <v>1352</v>
      </c>
      <c r="E668" t="s">
        <v>1375</v>
      </c>
      <c r="F668" t="s">
        <v>1376</v>
      </c>
      <c r="G668" t="s">
        <v>1377</v>
      </c>
      <c r="H668" s="7">
        <v>571</v>
      </c>
      <c r="I668" s="7">
        <v>999</v>
      </c>
      <c r="J668" s="7" t="str">
        <f t="shared" si="32"/>
        <v>&gt;₹500</v>
      </c>
      <c r="K668" s="1">
        <v>0.43</v>
      </c>
      <c r="L668" s="1" t="str">
        <f t="shared" si="30"/>
        <v>&lt;50%</v>
      </c>
      <c r="M668">
        <v>4.3</v>
      </c>
      <c r="N668" s="2">
        <v>38221</v>
      </c>
      <c r="O668" s="5">
        <f t="shared" si="31"/>
        <v>38182779</v>
      </c>
      <c r="P668">
        <f>MAX(Table1[RATING COUNT])</f>
        <v>426973</v>
      </c>
    </row>
    <row r="669" spans="1:16">
      <c r="A669" t="s">
        <v>2226</v>
      </c>
      <c r="B669" t="s">
        <v>634</v>
      </c>
      <c r="D669" t="s">
        <v>1352</v>
      </c>
      <c r="E669" t="s">
        <v>1360</v>
      </c>
      <c r="F669" t="s">
        <v>1370</v>
      </c>
      <c r="G669" t="s">
        <v>1442</v>
      </c>
      <c r="H669" s="7">
        <v>549</v>
      </c>
      <c r="I669" s="7">
        <v>999</v>
      </c>
      <c r="J669" s="7" t="str">
        <f t="shared" si="32"/>
        <v>&gt;₹500</v>
      </c>
      <c r="K669" s="1">
        <v>0.45</v>
      </c>
      <c r="L669" s="1" t="str">
        <f t="shared" si="30"/>
        <v>&lt;50%</v>
      </c>
      <c r="M669">
        <v>3.9</v>
      </c>
      <c r="N669" s="2">
        <v>64705</v>
      </c>
      <c r="O669" s="5">
        <f t="shared" si="31"/>
        <v>64640295</v>
      </c>
      <c r="P669">
        <f>MAX(Table1[RATING COUNT])</f>
        <v>426973</v>
      </c>
    </row>
    <row r="670" spans="1:16">
      <c r="A670" t="s">
        <v>1617</v>
      </c>
      <c r="B670" t="s">
        <v>635</v>
      </c>
      <c r="D670" t="s">
        <v>1345</v>
      </c>
      <c r="E670" t="s">
        <v>1346</v>
      </c>
      <c r="F670" t="s">
        <v>1401</v>
      </c>
      <c r="G670" t="s">
        <v>1420</v>
      </c>
      <c r="H670" s="7">
        <v>448</v>
      </c>
      <c r="I670" s="7">
        <v>699</v>
      </c>
      <c r="J670" s="7" t="str">
        <f t="shared" si="32"/>
        <v>&gt;₹500</v>
      </c>
      <c r="K670" s="1">
        <v>0.36</v>
      </c>
      <c r="L670" s="1" t="str">
        <f t="shared" si="30"/>
        <v>&lt;50%</v>
      </c>
      <c r="M670">
        <v>3.9</v>
      </c>
      <c r="N670" s="2">
        <v>17348</v>
      </c>
      <c r="O670" s="5">
        <f t="shared" si="31"/>
        <v>12126252</v>
      </c>
      <c r="P670">
        <f>MAX(Table1[RATING COUNT])</f>
        <v>426973</v>
      </c>
    </row>
    <row r="671" spans="1:16">
      <c r="A671" t="s">
        <v>2227</v>
      </c>
      <c r="B671" t="s">
        <v>636</v>
      </c>
      <c r="D671" t="s">
        <v>1352</v>
      </c>
      <c r="E671" t="s">
        <v>1383</v>
      </c>
      <c r="F671" t="s">
        <v>1384</v>
      </c>
      <c r="G671" t="s">
        <v>1385</v>
      </c>
      <c r="H671" s="7">
        <v>1499</v>
      </c>
      <c r="I671" s="7">
        <v>2999</v>
      </c>
      <c r="J671" s="7" t="str">
        <f t="shared" si="32"/>
        <v>&gt;₹500</v>
      </c>
      <c r="K671" s="1">
        <v>0.5</v>
      </c>
      <c r="L671" s="1" t="str">
        <f t="shared" si="30"/>
        <v>50% or More</v>
      </c>
      <c r="M671">
        <v>3.7</v>
      </c>
      <c r="N671" s="2">
        <v>87798</v>
      </c>
      <c r="O671" s="5">
        <f t="shared" si="31"/>
        <v>263306202</v>
      </c>
      <c r="P671">
        <f>MAX(Table1[RATING COUNT])</f>
        <v>426973</v>
      </c>
    </row>
    <row r="672" spans="1:16">
      <c r="A672" t="s">
        <v>2228</v>
      </c>
      <c r="B672" t="s">
        <v>637</v>
      </c>
      <c r="D672" t="s">
        <v>1352</v>
      </c>
      <c r="E672" t="s">
        <v>1422</v>
      </c>
      <c r="F672" t="s">
        <v>1354</v>
      </c>
      <c r="G672" t="s">
        <v>1450</v>
      </c>
      <c r="H672" s="7">
        <v>299</v>
      </c>
      <c r="I672" s="7">
        <v>499</v>
      </c>
      <c r="J672" s="7" t="str">
        <f t="shared" si="32"/>
        <v>₹200–₹500</v>
      </c>
      <c r="K672" s="1">
        <v>0.4</v>
      </c>
      <c r="L672" s="1" t="str">
        <f t="shared" si="30"/>
        <v>&lt;50%</v>
      </c>
      <c r="M672">
        <v>4.2</v>
      </c>
      <c r="N672" s="2">
        <v>24432</v>
      </c>
      <c r="O672" s="5">
        <f t="shared" si="31"/>
        <v>12191568</v>
      </c>
      <c r="P672">
        <f>MAX(Table1[RATING COUNT])</f>
        <v>426973</v>
      </c>
    </row>
    <row r="673" spans="1:16">
      <c r="A673" t="s">
        <v>2229</v>
      </c>
      <c r="B673" t="s">
        <v>638</v>
      </c>
      <c r="D673" t="s">
        <v>1345</v>
      </c>
      <c r="E673" t="s">
        <v>1399</v>
      </c>
      <c r="F673" t="s">
        <v>1400</v>
      </c>
      <c r="H673" s="7">
        <v>579</v>
      </c>
      <c r="I673" s="7">
        <v>1400</v>
      </c>
      <c r="J673" s="7" t="str">
        <f t="shared" si="32"/>
        <v>&gt;₹500</v>
      </c>
      <c r="K673" s="1">
        <v>0.59</v>
      </c>
      <c r="L673" s="1" t="str">
        <f t="shared" si="30"/>
        <v>50% or More</v>
      </c>
      <c r="M673">
        <v>4.3</v>
      </c>
      <c r="N673" s="2">
        <v>189104</v>
      </c>
      <c r="O673" s="5">
        <f t="shared" si="31"/>
        <v>264745600</v>
      </c>
      <c r="P673">
        <f>MAX(Table1[RATING COUNT])</f>
        <v>426973</v>
      </c>
    </row>
    <row r="674" spans="1:16">
      <c r="A674" t="s">
        <v>2027</v>
      </c>
      <c r="B674" t="s">
        <v>639</v>
      </c>
      <c r="D674" t="s">
        <v>1352</v>
      </c>
      <c r="E674" t="s">
        <v>1422</v>
      </c>
      <c r="F674" t="s">
        <v>1451</v>
      </c>
      <c r="G674" t="s">
        <v>1452</v>
      </c>
      <c r="H674" s="7">
        <v>2499</v>
      </c>
      <c r="I674" s="7">
        <v>3299</v>
      </c>
      <c r="J674" s="7" t="str">
        <f t="shared" si="32"/>
        <v>&gt;₹500</v>
      </c>
      <c r="K674" s="1">
        <v>0.24</v>
      </c>
      <c r="L674" s="1" t="str">
        <f t="shared" si="30"/>
        <v>&lt;50%</v>
      </c>
      <c r="M674">
        <v>4.2</v>
      </c>
      <c r="N674" s="2">
        <v>93112</v>
      </c>
      <c r="O674" s="5">
        <f t="shared" si="31"/>
        <v>307176488</v>
      </c>
      <c r="P674">
        <f>MAX(Table1[RATING COUNT])</f>
        <v>426973</v>
      </c>
    </row>
    <row r="675" spans="1:16">
      <c r="A675" t="s">
        <v>1620</v>
      </c>
      <c r="B675" t="s">
        <v>640</v>
      </c>
      <c r="D675" t="s">
        <v>1352</v>
      </c>
      <c r="E675" t="s">
        <v>1383</v>
      </c>
      <c r="F675" t="s">
        <v>1384</v>
      </c>
      <c r="G675" t="s">
        <v>1385</v>
      </c>
      <c r="H675" s="7">
        <v>1199</v>
      </c>
      <c r="I675" s="7">
        <v>5999</v>
      </c>
      <c r="J675" s="7" t="str">
        <f t="shared" si="32"/>
        <v>&gt;₹500</v>
      </c>
      <c r="K675" s="1">
        <v>0.8</v>
      </c>
      <c r="L675" s="1" t="str">
        <f t="shared" si="30"/>
        <v>50% or More</v>
      </c>
      <c r="M675">
        <v>3.9</v>
      </c>
      <c r="N675" s="2">
        <v>47521</v>
      </c>
      <c r="O675" s="5">
        <f t="shared" si="31"/>
        <v>285078479</v>
      </c>
      <c r="P675">
        <f>MAX(Table1[RATING COUNT])</f>
        <v>426973</v>
      </c>
    </row>
    <row r="676" spans="1:16">
      <c r="A676" t="s">
        <v>2230</v>
      </c>
      <c r="B676" t="s">
        <v>641</v>
      </c>
      <c r="D676" t="s">
        <v>1352</v>
      </c>
      <c r="E676" t="s">
        <v>1410</v>
      </c>
      <c r="F676" t="s">
        <v>1443</v>
      </c>
      <c r="H676" s="7">
        <v>399</v>
      </c>
      <c r="I676" s="7">
        <v>499</v>
      </c>
      <c r="J676" s="7" t="str">
        <f t="shared" si="32"/>
        <v>₹200–₹500</v>
      </c>
      <c r="K676" s="1">
        <v>0.2</v>
      </c>
      <c r="L676" s="1" t="str">
        <f t="shared" si="30"/>
        <v>&lt;50%</v>
      </c>
      <c r="M676">
        <v>4.3</v>
      </c>
      <c r="N676" s="2">
        <v>27201</v>
      </c>
      <c r="O676" s="5">
        <f t="shared" si="31"/>
        <v>13573299</v>
      </c>
      <c r="P676">
        <f>MAX(Table1[RATING COUNT])</f>
        <v>426973</v>
      </c>
    </row>
    <row r="677" spans="1:16">
      <c r="A677" t="s">
        <v>2231</v>
      </c>
      <c r="B677" t="s">
        <v>642</v>
      </c>
      <c r="D677" t="s">
        <v>1345</v>
      </c>
      <c r="E677" t="s">
        <v>1346</v>
      </c>
      <c r="F677" t="s">
        <v>1401</v>
      </c>
      <c r="G677" t="s">
        <v>1402</v>
      </c>
      <c r="H677" s="7">
        <v>279</v>
      </c>
      <c r="I677" s="7">
        <v>375</v>
      </c>
      <c r="J677" s="7" t="str">
        <f t="shared" si="32"/>
        <v>₹200–₹500</v>
      </c>
      <c r="K677" s="1">
        <v>0.26</v>
      </c>
      <c r="L677" s="1" t="str">
        <f t="shared" si="30"/>
        <v>&lt;50%</v>
      </c>
      <c r="M677">
        <v>4.3</v>
      </c>
      <c r="N677" s="2">
        <v>31534</v>
      </c>
      <c r="O677" s="5">
        <f t="shared" si="31"/>
        <v>11825250</v>
      </c>
      <c r="P677">
        <f>MAX(Table1[RATING COUNT])</f>
        <v>426973</v>
      </c>
    </row>
    <row r="678" spans="1:16">
      <c r="A678" t="s">
        <v>2232</v>
      </c>
      <c r="B678" t="s">
        <v>643</v>
      </c>
      <c r="D678" t="s">
        <v>1352</v>
      </c>
      <c r="E678" t="s">
        <v>1373</v>
      </c>
      <c r="F678" t="s">
        <v>1374</v>
      </c>
      <c r="H678" s="7">
        <v>2499</v>
      </c>
      <c r="I678" s="7">
        <v>4999</v>
      </c>
      <c r="J678" s="7" t="str">
        <f t="shared" si="32"/>
        <v>&gt;₹500</v>
      </c>
      <c r="K678" s="1">
        <v>0.5</v>
      </c>
      <c r="L678" s="1" t="str">
        <f t="shared" si="30"/>
        <v>50% or More</v>
      </c>
      <c r="M678">
        <v>3.9</v>
      </c>
      <c r="N678" s="2">
        <v>7571</v>
      </c>
      <c r="O678" s="5">
        <f t="shared" si="31"/>
        <v>37847429</v>
      </c>
      <c r="P678">
        <f>MAX(Table1[RATING COUNT])</f>
        <v>426973</v>
      </c>
    </row>
    <row r="679" spans="1:16">
      <c r="A679" t="s">
        <v>2023</v>
      </c>
      <c r="B679" t="s">
        <v>644</v>
      </c>
      <c r="D679" t="s">
        <v>1412</v>
      </c>
      <c r="E679" t="s">
        <v>1413</v>
      </c>
      <c r="F679" t="s">
        <v>1414</v>
      </c>
      <c r="G679" t="s">
        <v>1415</v>
      </c>
      <c r="H679" s="7">
        <v>137</v>
      </c>
      <c r="I679" s="7">
        <v>160</v>
      </c>
      <c r="J679" s="7" t="str">
        <f t="shared" si="32"/>
        <v>&lt;₹200</v>
      </c>
      <c r="K679" s="1">
        <v>0.14000000000000001</v>
      </c>
      <c r="L679" s="1" t="str">
        <f t="shared" si="30"/>
        <v>&lt;50%</v>
      </c>
      <c r="M679">
        <v>4.4000000000000004</v>
      </c>
      <c r="N679" s="2">
        <v>6537</v>
      </c>
      <c r="O679" s="5">
        <f t="shared" si="31"/>
        <v>1045920</v>
      </c>
      <c r="P679">
        <f>MAX(Table1[RATING COUNT])</f>
        <v>426973</v>
      </c>
    </row>
    <row r="680" spans="1:16">
      <c r="A680" t="s">
        <v>2233</v>
      </c>
      <c r="B680" t="s">
        <v>645</v>
      </c>
      <c r="D680" t="s">
        <v>1345</v>
      </c>
      <c r="E680" t="s">
        <v>1346</v>
      </c>
      <c r="F680" t="s">
        <v>1437</v>
      </c>
      <c r="H680" s="7">
        <v>299</v>
      </c>
      <c r="I680" s="7">
        <v>499</v>
      </c>
      <c r="J680" s="7" t="str">
        <f t="shared" si="32"/>
        <v>₹200–₹500</v>
      </c>
      <c r="K680" s="1">
        <v>0.4</v>
      </c>
      <c r="L680" s="1" t="str">
        <f t="shared" si="30"/>
        <v>&lt;50%</v>
      </c>
      <c r="M680">
        <v>4.5</v>
      </c>
      <c r="N680" s="2">
        <v>21010</v>
      </c>
      <c r="O680" s="5">
        <f t="shared" si="31"/>
        <v>10483990</v>
      </c>
      <c r="P680">
        <f>MAX(Table1[RATING COUNT])</f>
        <v>426973</v>
      </c>
    </row>
    <row r="681" spans="1:16">
      <c r="A681" t="s">
        <v>2234</v>
      </c>
      <c r="B681" t="s">
        <v>646</v>
      </c>
      <c r="D681" t="s">
        <v>1352</v>
      </c>
      <c r="E681" t="s">
        <v>1383</v>
      </c>
      <c r="F681" t="s">
        <v>1384</v>
      </c>
      <c r="G681" t="s">
        <v>1385</v>
      </c>
      <c r="H681" s="7">
        <v>1799</v>
      </c>
      <c r="I681" s="7">
        <v>3999</v>
      </c>
      <c r="J681" s="7" t="str">
        <f t="shared" si="32"/>
        <v>&gt;₹500</v>
      </c>
      <c r="K681" s="1">
        <v>0.55000000000000004</v>
      </c>
      <c r="L681" s="1" t="str">
        <f t="shared" si="30"/>
        <v>50% or More</v>
      </c>
      <c r="M681">
        <v>3.9</v>
      </c>
      <c r="N681" s="2">
        <v>3517</v>
      </c>
      <c r="O681" s="5">
        <f t="shared" si="31"/>
        <v>14064483</v>
      </c>
      <c r="P681">
        <f>MAX(Table1[RATING COUNT])</f>
        <v>426973</v>
      </c>
    </row>
    <row r="682" spans="1:16">
      <c r="A682" t="s">
        <v>2235</v>
      </c>
      <c r="B682" t="s">
        <v>647</v>
      </c>
      <c r="D682" t="s">
        <v>1352</v>
      </c>
      <c r="E682" t="s">
        <v>1360</v>
      </c>
      <c r="F682" t="s">
        <v>1370</v>
      </c>
      <c r="G682" t="s">
        <v>1442</v>
      </c>
      <c r="H682" s="7">
        <v>1999</v>
      </c>
      <c r="I682" s="7">
        <v>2999</v>
      </c>
      <c r="J682" s="7" t="str">
        <f t="shared" si="32"/>
        <v>&gt;₹500</v>
      </c>
      <c r="K682" s="1">
        <v>0.33</v>
      </c>
      <c r="L682" s="1" t="str">
        <f t="shared" si="30"/>
        <v>&lt;50%</v>
      </c>
      <c r="M682">
        <v>4.3</v>
      </c>
      <c r="N682" s="2">
        <v>63899</v>
      </c>
      <c r="O682" s="5">
        <f t="shared" si="31"/>
        <v>191633101</v>
      </c>
      <c r="P682">
        <f>MAX(Table1[RATING COUNT])</f>
        <v>426973</v>
      </c>
    </row>
    <row r="683" spans="1:16">
      <c r="A683" t="s">
        <v>2236</v>
      </c>
      <c r="B683" t="s">
        <v>648</v>
      </c>
      <c r="D683" t="s">
        <v>1345</v>
      </c>
      <c r="E683" t="s">
        <v>1346</v>
      </c>
      <c r="F683" t="s">
        <v>1453</v>
      </c>
      <c r="G683" t="s">
        <v>1393</v>
      </c>
      <c r="H683" s="7">
        <v>399</v>
      </c>
      <c r="I683" s="7">
        <v>1499</v>
      </c>
      <c r="J683" s="7" t="str">
        <f t="shared" si="32"/>
        <v>&gt;₹500</v>
      </c>
      <c r="K683" s="1">
        <v>0.73</v>
      </c>
      <c r="L683" s="1" t="str">
        <f t="shared" si="30"/>
        <v>50% or More</v>
      </c>
      <c r="M683">
        <v>4.0999999999999996</v>
      </c>
      <c r="N683" s="2">
        <v>5730</v>
      </c>
      <c r="O683" s="5">
        <f t="shared" si="31"/>
        <v>8589270</v>
      </c>
      <c r="P683">
        <f>MAX(Table1[RATING COUNT])</f>
        <v>426973</v>
      </c>
    </row>
    <row r="684" spans="1:16">
      <c r="A684" t="s">
        <v>2237</v>
      </c>
      <c r="B684" t="s">
        <v>649</v>
      </c>
      <c r="D684" t="s">
        <v>1345</v>
      </c>
      <c r="E684" t="s">
        <v>1346</v>
      </c>
      <c r="F684" t="s">
        <v>1433</v>
      </c>
      <c r="G684" t="s">
        <v>1454</v>
      </c>
      <c r="H684" s="7">
        <v>1699</v>
      </c>
      <c r="I684" s="7">
        <v>3999</v>
      </c>
      <c r="J684" s="7" t="str">
        <f t="shared" si="32"/>
        <v>&gt;₹500</v>
      </c>
      <c r="K684" s="1">
        <v>0.57999999999999996</v>
      </c>
      <c r="L684" s="1" t="str">
        <f t="shared" si="30"/>
        <v>50% or More</v>
      </c>
      <c r="M684">
        <v>4.2</v>
      </c>
      <c r="N684" s="2">
        <v>25488</v>
      </c>
      <c r="O684" s="5">
        <f t="shared" si="31"/>
        <v>101926512</v>
      </c>
      <c r="P684">
        <f>MAX(Table1[RATING COUNT])</f>
        <v>426973</v>
      </c>
    </row>
    <row r="685" spans="1:16">
      <c r="A685" t="s">
        <v>2238</v>
      </c>
      <c r="B685" t="s">
        <v>650</v>
      </c>
      <c r="D685" t="s">
        <v>1345</v>
      </c>
      <c r="E685" t="s">
        <v>1346</v>
      </c>
      <c r="F685" t="s">
        <v>1401</v>
      </c>
      <c r="G685" t="s">
        <v>1402</v>
      </c>
      <c r="H685" s="7">
        <v>699</v>
      </c>
      <c r="I685" s="7">
        <v>995</v>
      </c>
      <c r="J685" s="7" t="str">
        <f t="shared" si="32"/>
        <v>&gt;₹500</v>
      </c>
      <c r="K685" s="1">
        <v>0.3</v>
      </c>
      <c r="L685" s="1" t="str">
        <f t="shared" si="30"/>
        <v>&lt;50%</v>
      </c>
      <c r="M685">
        <v>4.5</v>
      </c>
      <c r="N685" s="2">
        <v>54405</v>
      </c>
      <c r="O685" s="5">
        <f t="shared" si="31"/>
        <v>54132975</v>
      </c>
      <c r="P685">
        <f>MAX(Table1[RATING COUNT])</f>
        <v>426973</v>
      </c>
    </row>
    <row r="686" spans="1:16">
      <c r="A686" t="s">
        <v>1622</v>
      </c>
      <c r="B686" t="s">
        <v>651</v>
      </c>
      <c r="D686" t="s">
        <v>1345</v>
      </c>
      <c r="E686" t="s">
        <v>1349</v>
      </c>
      <c r="F686" t="s">
        <v>1440</v>
      </c>
      <c r="H686" s="7">
        <v>1149</v>
      </c>
      <c r="I686" s="7">
        <v>1699</v>
      </c>
      <c r="J686" s="7" t="str">
        <f t="shared" si="32"/>
        <v>&gt;₹500</v>
      </c>
      <c r="K686" s="1">
        <v>0.32</v>
      </c>
      <c r="L686" s="1" t="str">
        <f t="shared" si="30"/>
        <v>&lt;50%</v>
      </c>
      <c r="M686">
        <v>4.2</v>
      </c>
      <c r="N686" s="2">
        <v>122478</v>
      </c>
      <c r="O686" s="5">
        <f t="shared" si="31"/>
        <v>208090122</v>
      </c>
      <c r="P686">
        <f>MAX(Table1[RATING COUNT])</f>
        <v>426973</v>
      </c>
    </row>
    <row r="687" spans="1:16">
      <c r="A687" t="s">
        <v>2239</v>
      </c>
      <c r="B687" t="s">
        <v>652</v>
      </c>
      <c r="D687" t="s">
        <v>1345</v>
      </c>
      <c r="E687" t="s">
        <v>1346</v>
      </c>
      <c r="F687" t="s">
        <v>1401</v>
      </c>
      <c r="G687" t="s">
        <v>1420</v>
      </c>
      <c r="H687" s="7">
        <v>1495</v>
      </c>
      <c r="I687" s="7">
        <v>1995</v>
      </c>
      <c r="J687" s="7" t="str">
        <f t="shared" si="32"/>
        <v>&gt;₹500</v>
      </c>
      <c r="K687" s="1">
        <v>0.25</v>
      </c>
      <c r="L687" s="1" t="str">
        <f t="shared" si="30"/>
        <v>&lt;50%</v>
      </c>
      <c r="M687">
        <v>4.3</v>
      </c>
      <c r="N687" s="2">
        <v>7241</v>
      </c>
      <c r="O687" s="5">
        <f t="shared" si="31"/>
        <v>14445795</v>
      </c>
      <c r="P687">
        <f>MAX(Table1[RATING COUNT])</f>
        <v>426973</v>
      </c>
    </row>
    <row r="688" spans="1:16">
      <c r="A688" t="s">
        <v>2033</v>
      </c>
      <c r="B688" t="s">
        <v>653</v>
      </c>
      <c r="D688" t="s">
        <v>1345</v>
      </c>
      <c r="E688" t="s">
        <v>1346</v>
      </c>
      <c r="F688" t="s">
        <v>1397</v>
      </c>
      <c r="G688" t="s">
        <v>1404</v>
      </c>
      <c r="H688" s="7">
        <v>849</v>
      </c>
      <c r="I688" s="7">
        <v>4999</v>
      </c>
      <c r="J688" s="7" t="str">
        <f t="shared" si="32"/>
        <v>&gt;₹500</v>
      </c>
      <c r="K688" s="1">
        <v>0.83</v>
      </c>
      <c r="L688" s="1" t="str">
        <f t="shared" si="30"/>
        <v>50% or More</v>
      </c>
      <c r="M688">
        <v>4</v>
      </c>
      <c r="N688" s="2">
        <v>20457</v>
      </c>
      <c r="O688" s="5">
        <f t="shared" si="31"/>
        <v>102264543</v>
      </c>
      <c r="P688">
        <f>MAX(Table1[RATING COUNT])</f>
        <v>426973</v>
      </c>
    </row>
    <row r="689" spans="1:16">
      <c r="A689" t="s">
        <v>2240</v>
      </c>
      <c r="B689" t="s">
        <v>654</v>
      </c>
      <c r="D689" t="s">
        <v>1412</v>
      </c>
      <c r="E689" t="s">
        <v>1425</v>
      </c>
      <c r="F689" t="s">
        <v>1426</v>
      </c>
      <c r="G689" t="s">
        <v>1455</v>
      </c>
      <c r="H689" s="7">
        <v>440</v>
      </c>
      <c r="I689" s="7">
        <v>440</v>
      </c>
      <c r="J689" s="7" t="str">
        <f t="shared" si="32"/>
        <v>₹200–₹500</v>
      </c>
      <c r="K689" s="1">
        <v>0</v>
      </c>
      <c r="L689" s="1" t="str">
        <f t="shared" si="30"/>
        <v>&lt;50%</v>
      </c>
      <c r="M689">
        <v>4.5</v>
      </c>
      <c r="N689" s="2">
        <v>8610</v>
      </c>
      <c r="O689" s="5">
        <f t="shared" si="31"/>
        <v>3788400</v>
      </c>
      <c r="P689">
        <f>MAX(Table1[RATING COUNT])</f>
        <v>426973</v>
      </c>
    </row>
    <row r="690" spans="1:16">
      <c r="A690" t="s">
        <v>2241</v>
      </c>
      <c r="B690" t="s">
        <v>655</v>
      </c>
      <c r="D690" t="s">
        <v>1345</v>
      </c>
      <c r="E690" t="s">
        <v>1346</v>
      </c>
      <c r="F690" t="s">
        <v>1397</v>
      </c>
      <c r="G690" t="s">
        <v>1404</v>
      </c>
      <c r="H690" s="7">
        <v>599</v>
      </c>
      <c r="I690" s="7">
        <v>3999</v>
      </c>
      <c r="J690" s="7" t="str">
        <f t="shared" si="32"/>
        <v>&gt;₹500</v>
      </c>
      <c r="K690" s="1">
        <v>0.85</v>
      </c>
      <c r="L690" s="1" t="str">
        <f t="shared" si="30"/>
        <v>50% or More</v>
      </c>
      <c r="M690">
        <v>3.9</v>
      </c>
      <c r="N690" s="2">
        <v>1087</v>
      </c>
      <c r="O690" s="5">
        <f t="shared" si="31"/>
        <v>4346913</v>
      </c>
      <c r="P690">
        <f>MAX(Table1[RATING COUNT])</f>
        <v>426973</v>
      </c>
    </row>
    <row r="691" spans="1:16">
      <c r="A691" t="s">
        <v>1623</v>
      </c>
      <c r="B691" t="s">
        <v>656</v>
      </c>
      <c r="D691" t="s">
        <v>1345</v>
      </c>
      <c r="E691" t="s">
        <v>1346</v>
      </c>
      <c r="F691" t="s">
        <v>1364</v>
      </c>
      <c r="G691" t="s">
        <v>1445</v>
      </c>
      <c r="H691" s="7">
        <v>149</v>
      </c>
      <c r="I691" s="7">
        <v>399</v>
      </c>
      <c r="J691" s="7" t="str">
        <f t="shared" si="32"/>
        <v>₹200–₹500</v>
      </c>
      <c r="K691" s="1">
        <v>0.63</v>
      </c>
      <c r="L691" s="1" t="str">
        <f t="shared" si="30"/>
        <v>50% or More</v>
      </c>
      <c r="M691">
        <v>4</v>
      </c>
      <c r="N691" s="2">
        <v>1540</v>
      </c>
      <c r="O691" s="5">
        <f t="shared" si="31"/>
        <v>614460</v>
      </c>
      <c r="P691">
        <f>MAX(Table1[RATING COUNT])</f>
        <v>426973</v>
      </c>
    </row>
    <row r="692" spans="1:16">
      <c r="A692" t="s">
        <v>2242</v>
      </c>
      <c r="B692" t="s">
        <v>657</v>
      </c>
      <c r="D692" t="s">
        <v>1345</v>
      </c>
      <c r="E692" t="s">
        <v>1346</v>
      </c>
      <c r="F692" t="s">
        <v>1401</v>
      </c>
      <c r="G692" t="s">
        <v>1403</v>
      </c>
      <c r="H692" s="7">
        <v>289</v>
      </c>
      <c r="I692" s="7">
        <v>999</v>
      </c>
      <c r="J692" s="7" t="str">
        <f t="shared" si="32"/>
        <v>&gt;₹500</v>
      </c>
      <c r="K692" s="1">
        <v>0.71</v>
      </c>
      <c r="L692" s="1" t="str">
        <f t="shared" si="30"/>
        <v>50% or More</v>
      </c>
      <c r="M692">
        <v>4.0999999999999996</v>
      </c>
      <c r="N692" s="2">
        <v>401</v>
      </c>
      <c r="O692" s="5">
        <f t="shared" si="31"/>
        <v>400599</v>
      </c>
      <c r="P692">
        <f>MAX(Table1[RATING COUNT])</f>
        <v>426973</v>
      </c>
    </row>
    <row r="693" spans="1:16">
      <c r="A693" t="s">
        <v>2243</v>
      </c>
      <c r="B693" t="s">
        <v>658</v>
      </c>
      <c r="D693" t="s">
        <v>1345</v>
      </c>
      <c r="E693" t="s">
        <v>1346</v>
      </c>
      <c r="F693" t="s">
        <v>1456</v>
      </c>
      <c r="H693" s="7">
        <v>179</v>
      </c>
      <c r="I693" s="7">
        <v>499</v>
      </c>
      <c r="J693" s="7" t="str">
        <f t="shared" si="32"/>
        <v>₹200–₹500</v>
      </c>
      <c r="K693" s="1">
        <v>0.64</v>
      </c>
      <c r="L693" s="1" t="str">
        <f t="shared" si="30"/>
        <v>50% or More</v>
      </c>
      <c r="M693">
        <v>3.4</v>
      </c>
      <c r="N693" s="2">
        <v>9385</v>
      </c>
      <c r="O693" s="5">
        <f t="shared" si="31"/>
        <v>4683115</v>
      </c>
      <c r="P693">
        <f>MAX(Table1[RATING COUNT])</f>
        <v>426973</v>
      </c>
    </row>
    <row r="694" spans="1:16">
      <c r="A694" t="s">
        <v>1624</v>
      </c>
      <c r="B694" t="s">
        <v>659</v>
      </c>
      <c r="D694" t="s">
        <v>1352</v>
      </c>
      <c r="E694" t="s">
        <v>1373</v>
      </c>
      <c r="F694" t="s">
        <v>1374</v>
      </c>
      <c r="H694" s="7">
        <v>1499</v>
      </c>
      <c r="I694" s="7">
        <v>4999</v>
      </c>
      <c r="J694" s="7" t="str">
        <f t="shared" si="32"/>
        <v>&gt;₹500</v>
      </c>
      <c r="K694" s="1">
        <v>0.7</v>
      </c>
      <c r="L694" s="1" t="str">
        <f t="shared" si="30"/>
        <v>50% or More</v>
      </c>
      <c r="M694">
        <v>4</v>
      </c>
      <c r="N694" s="2">
        <v>92588</v>
      </c>
      <c r="O694" s="5">
        <f t="shared" si="31"/>
        <v>462847412</v>
      </c>
      <c r="P694">
        <f>MAX(Table1[RATING COUNT])</f>
        <v>426973</v>
      </c>
    </row>
    <row r="695" spans="1:16">
      <c r="A695" t="s">
        <v>2244</v>
      </c>
      <c r="B695" t="s">
        <v>660</v>
      </c>
      <c r="D695" t="s">
        <v>1352</v>
      </c>
      <c r="E695" t="s">
        <v>1383</v>
      </c>
      <c r="F695" t="s">
        <v>1384</v>
      </c>
      <c r="G695" t="s">
        <v>1385</v>
      </c>
      <c r="H695" s="7">
        <v>399</v>
      </c>
      <c r="I695" s="7">
        <v>699</v>
      </c>
      <c r="J695" s="7" t="str">
        <f t="shared" si="32"/>
        <v>&gt;₹500</v>
      </c>
      <c r="K695" s="1">
        <v>0.43</v>
      </c>
      <c r="L695" s="1" t="str">
        <f t="shared" si="30"/>
        <v>&lt;50%</v>
      </c>
      <c r="M695">
        <v>3.4</v>
      </c>
      <c r="N695" s="2">
        <v>3454</v>
      </c>
      <c r="O695" s="5">
        <f t="shared" si="31"/>
        <v>2414346</v>
      </c>
      <c r="P695">
        <f>MAX(Table1[RATING COUNT])</f>
        <v>426973</v>
      </c>
    </row>
    <row r="696" spans="1:16">
      <c r="A696" t="s">
        <v>2047</v>
      </c>
      <c r="B696" t="s">
        <v>661</v>
      </c>
      <c r="D696" t="s">
        <v>1345</v>
      </c>
      <c r="E696" t="s">
        <v>1346</v>
      </c>
      <c r="F696" t="s">
        <v>1433</v>
      </c>
      <c r="G696" t="s">
        <v>1434</v>
      </c>
      <c r="H696" s="7">
        <v>599</v>
      </c>
      <c r="I696" s="7">
        <v>799</v>
      </c>
      <c r="J696" s="7" t="str">
        <f t="shared" si="32"/>
        <v>&gt;₹500</v>
      </c>
      <c r="K696" s="1">
        <v>0.25</v>
      </c>
      <c r="L696" s="1" t="str">
        <f t="shared" si="30"/>
        <v>&lt;50%</v>
      </c>
      <c r="M696">
        <v>4.3</v>
      </c>
      <c r="N696" s="2">
        <v>15790</v>
      </c>
      <c r="O696" s="5">
        <f t="shared" si="31"/>
        <v>12616210</v>
      </c>
      <c r="P696">
        <f>MAX(Table1[RATING COUNT])</f>
        <v>426973</v>
      </c>
    </row>
    <row r="697" spans="1:16">
      <c r="A697" t="s">
        <v>2245</v>
      </c>
      <c r="B697" t="s">
        <v>662</v>
      </c>
      <c r="D697" t="s">
        <v>1345</v>
      </c>
      <c r="E697" t="s">
        <v>1346</v>
      </c>
      <c r="F697" t="s">
        <v>1457</v>
      </c>
      <c r="G697" t="s">
        <v>1458</v>
      </c>
      <c r="H697" s="7">
        <v>949</v>
      </c>
      <c r="I697" s="7">
        <v>2000</v>
      </c>
      <c r="J697" s="7" t="str">
        <f t="shared" si="32"/>
        <v>&gt;₹500</v>
      </c>
      <c r="K697" s="1">
        <v>0.53</v>
      </c>
      <c r="L697" s="1" t="str">
        <f t="shared" si="30"/>
        <v>50% or More</v>
      </c>
      <c r="M697">
        <v>3.9</v>
      </c>
      <c r="N697" s="2">
        <v>14969</v>
      </c>
      <c r="O697" s="5">
        <f t="shared" si="31"/>
        <v>29938000</v>
      </c>
      <c r="P697">
        <f>MAX(Table1[RATING COUNT])</f>
        <v>426973</v>
      </c>
    </row>
    <row r="698" spans="1:16">
      <c r="A698" t="s">
        <v>2246</v>
      </c>
      <c r="B698" t="s">
        <v>663</v>
      </c>
      <c r="D698" t="s">
        <v>1352</v>
      </c>
      <c r="E698" t="s">
        <v>1373</v>
      </c>
      <c r="F698" t="s">
        <v>1374</v>
      </c>
      <c r="H698" s="7">
        <v>2499</v>
      </c>
      <c r="I698" s="7">
        <v>9999</v>
      </c>
      <c r="J698" s="7" t="str">
        <f t="shared" si="32"/>
        <v>&gt;₹500</v>
      </c>
      <c r="K698" s="1">
        <v>0.75</v>
      </c>
      <c r="L698" s="1" t="str">
        <f t="shared" si="30"/>
        <v>50% or More</v>
      </c>
      <c r="M698">
        <v>4.0999999999999996</v>
      </c>
      <c r="N698" s="2">
        <v>42139</v>
      </c>
      <c r="O698" s="5">
        <f t="shared" si="31"/>
        <v>421347861</v>
      </c>
      <c r="P698">
        <f>MAX(Table1[RATING COUNT])</f>
        <v>426973</v>
      </c>
    </row>
    <row r="699" spans="1:16">
      <c r="A699" t="s">
        <v>2247</v>
      </c>
      <c r="B699" t="s">
        <v>664</v>
      </c>
      <c r="D699" t="s">
        <v>1352</v>
      </c>
      <c r="E699" t="s">
        <v>1410</v>
      </c>
      <c r="F699" t="s">
        <v>1411</v>
      </c>
      <c r="H699" s="7">
        <v>159</v>
      </c>
      <c r="I699" s="7">
        <v>180</v>
      </c>
      <c r="J699" s="7" t="str">
        <f t="shared" si="32"/>
        <v>&lt;₹200</v>
      </c>
      <c r="K699" s="1">
        <v>0.12</v>
      </c>
      <c r="L699" s="1" t="str">
        <f t="shared" si="30"/>
        <v>&lt;50%</v>
      </c>
      <c r="M699">
        <v>4.3</v>
      </c>
      <c r="N699" s="2">
        <v>989</v>
      </c>
      <c r="O699" s="5">
        <f t="shared" si="31"/>
        <v>178020</v>
      </c>
      <c r="P699">
        <f>MAX(Table1[RATING COUNT])</f>
        <v>426973</v>
      </c>
    </row>
    <row r="700" spans="1:16">
      <c r="A700" t="s">
        <v>2248</v>
      </c>
      <c r="B700" t="s">
        <v>665</v>
      </c>
      <c r="D700" t="s">
        <v>1352</v>
      </c>
      <c r="E700" t="s">
        <v>1354</v>
      </c>
      <c r="F700" t="s">
        <v>1380</v>
      </c>
      <c r="G700" t="s">
        <v>1381</v>
      </c>
      <c r="H700" s="7">
        <v>1329</v>
      </c>
      <c r="I700" s="7">
        <v>2900</v>
      </c>
      <c r="J700" s="7" t="str">
        <f t="shared" si="32"/>
        <v>&gt;₹500</v>
      </c>
      <c r="K700" s="1">
        <v>0.54</v>
      </c>
      <c r="L700" s="1" t="str">
        <f t="shared" si="30"/>
        <v>50% or More</v>
      </c>
      <c r="M700">
        <v>4.5</v>
      </c>
      <c r="N700" s="2">
        <v>19624</v>
      </c>
      <c r="O700" s="5">
        <f t="shared" si="31"/>
        <v>56909600</v>
      </c>
      <c r="P700">
        <f>MAX(Table1[RATING COUNT])</f>
        <v>426973</v>
      </c>
    </row>
    <row r="701" spans="1:16">
      <c r="A701" t="s">
        <v>1625</v>
      </c>
      <c r="B701" t="s">
        <v>666</v>
      </c>
      <c r="D701" t="s">
        <v>1345</v>
      </c>
      <c r="E701" t="s">
        <v>1346</v>
      </c>
      <c r="F701" t="s">
        <v>1456</v>
      </c>
      <c r="H701" s="7">
        <v>570</v>
      </c>
      <c r="I701" s="7">
        <v>999</v>
      </c>
      <c r="J701" s="7" t="str">
        <f t="shared" si="32"/>
        <v>&gt;₹500</v>
      </c>
      <c r="K701" s="1">
        <v>0.43</v>
      </c>
      <c r="L701" s="1" t="str">
        <f t="shared" si="30"/>
        <v>&lt;50%</v>
      </c>
      <c r="M701">
        <v>4.2</v>
      </c>
      <c r="N701" s="2">
        <v>3201</v>
      </c>
      <c r="O701" s="5">
        <f t="shared" si="31"/>
        <v>3197799</v>
      </c>
      <c r="P701">
        <f>MAX(Table1[RATING COUNT])</f>
        <v>426973</v>
      </c>
    </row>
    <row r="702" spans="1:16">
      <c r="A702" t="s">
        <v>1630</v>
      </c>
      <c r="B702" t="s">
        <v>667</v>
      </c>
      <c r="D702" t="s">
        <v>1352</v>
      </c>
      <c r="E702" t="s">
        <v>1360</v>
      </c>
      <c r="F702" t="s">
        <v>1370</v>
      </c>
      <c r="G702" t="s">
        <v>1459</v>
      </c>
      <c r="H702" s="7">
        <v>899</v>
      </c>
      <c r="I702" s="7">
        <v>1999</v>
      </c>
      <c r="J702" s="7" t="str">
        <f t="shared" si="32"/>
        <v>&gt;₹500</v>
      </c>
      <c r="K702" s="1">
        <v>0.55000000000000004</v>
      </c>
      <c r="L702" s="1" t="str">
        <f t="shared" si="30"/>
        <v>50% or More</v>
      </c>
      <c r="M702">
        <v>4.0999999999999996</v>
      </c>
      <c r="N702" s="2">
        <v>30469</v>
      </c>
      <c r="O702" s="5">
        <f t="shared" si="31"/>
        <v>60907531</v>
      </c>
      <c r="P702">
        <f>MAX(Table1[RATING COUNT])</f>
        <v>426973</v>
      </c>
    </row>
    <row r="703" spans="1:16">
      <c r="A703" t="s">
        <v>2249</v>
      </c>
      <c r="B703" t="s">
        <v>668</v>
      </c>
      <c r="D703" t="s">
        <v>1345</v>
      </c>
      <c r="E703" t="s">
        <v>1346</v>
      </c>
      <c r="F703" t="s">
        <v>1397</v>
      </c>
      <c r="G703" t="s">
        <v>1460</v>
      </c>
      <c r="H703" s="7">
        <v>449</v>
      </c>
      <c r="I703" s="7">
        <v>999</v>
      </c>
      <c r="J703" s="7" t="str">
        <f t="shared" si="32"/>
        <v>&gt;₹500</v>
      </c>
      <c r="K703" s="1">
        <v>0.55000000000000004</v>
      </c>
      <c r="L703" s="1" t="str">
        <f t="shared" si="30"/>
        <v>50% or More</v>
      </c>
      <c r="M703">
        <v>4.4000000000000004</v>
      </c>
      <c r="N703" s="2">
        <v>9940</v>
      </c>
      <c r="O703" s="5">
        <f t="shared" si="31"/>
        <v>9930060</v>
      </c>
      <c r="P703">
        <f>MAX(Table1[RATING COUNT])</f>
        <v>426973</v>
      </c>
    </row>
    <row r="704" spans="1:16">
      <c r="A704" t="s">
        <v>2250</v>
      </c>
      <c r="B704" t="s">
        <v>669</v>
      </c>
      <c r="D704" t="s">
        <v>1345</v>
      </c>
      <c r="E704" t="s">
        <v>1399</v>
      </c>
      <c r="F704" t="s">
        <v>1461</v>
      </c>
      <c r="H704" s="7">
        <v>549</v>
      </c>
      <c r="I704" s="7">
        <v>999</v>
      </c>
      <c r="J704" s="7" t="str">
        <f t="shared" si="32"/>
        <v>&gt;₹500</v>
      </c>
      <c r="K704" s="1">
        <v>0.45</v>
      </c>
      <c r="L704" s="1" t="str">
        <f t="shared" si="30"/>
        <v>&lt;50%</v>
      </c>
      <c r="M704">
        <v>4.3</v>
      </c>
      <c r="N704" s="2">
        <v>7758</v>
      </c>
      <c r="O704" s="5">
        <f t="shared" si="31"/>
        <v>7750242</v>
      </c>
      <c r="P704">
        <f>MAX(Table1[RATING COUNT])</f>
        <v>426973</v>
      </c>
    </row>
    <row r="705" spans="1:16">
      <c r="A705" t="s">
        <v>2251</v>
      </c>
      <c r="B705" t="s">
        <v>670</v>
      </c>
      <c r="D705" t="s">
        <v>1345</v>
      </c>
      <c r="E705" t="s">
        <v>1349</v>
      </c>
      <c r="F705" t="s">
        <v>1440</v>
      </c>
      <c r="H705" s="7">
        <v>1529</v>
      </c>
      <c r="I705" s="7">
        <v>2399</v>
      </c>
      <c r="J705" s="7" t="str">
        <f t="shared" si="32"/>
        <v>&gt;₹500</v>
      </c>
      <c r="K705" s="1">
        <v>0.36</v>
      </c>
      <c r="L705" s="1" t="str">
        <f t="shared" si="30"/>
        <v>&lt;50%</v>
      </c>
      <c r="M705">
        <v>4.3</v>
      </c>
      <c r="N705" s="2">
        <v>68409</v>
      </c>
      <c r="O705" s="5">
        <f t="shared" si="31"/>
        <v>164113191</v>
      </c>
      <c r="P705">
        <f>MAX(Table1[RATING COUNT])</f>
        <v>426973</v>
      </c>
    </row>
    <row r="706" spans="1:16">
      <c r="A706" t="s">
        <v>2067</v>
      </c>
      <c r="B706" t="s">
        <v>671</v>
      </c>
      <c r="D706" t="s">
        <v>1412</v>
      </c>
      <c r="E706" t="s">
        <v>1413</v>
      </c>
      <c r="F706" t="s">
        <v>1414</v>
      </c>
      <c r="G706" t="s">
        <v>1415</v>
      </c>
      <c r="H706" s="7">
        <v>100</v>
      </c>
      <c r="I706" s="7">
        <v>100</v>
      </c>
      <c r="J706" s="7" t="str">
        <f t="shared" si="32"/>
        <v>&lt;₹200</v>
      </c>
      <c r="K706" s="1">
        <v>0</v>
      </c>
      <c r="L706" s="1" t="str">
        <f t="shared" ref="L706:L769" si="33">IF(K706&gt;=50%,"50% or More","&lt;50%")</f>
        <v>&lt;50%</v>
      </c>
      <c r="M706">
        <v>4.3</v>
      </c>
      <c r="N706" s="2">
        <v>3095</v>
      </c>
      <c r="O706" s="5">
        <f t="shared" ref="O706:O769" si="34">I706*N706</f>
        <v>309500</v>
      </c>
      <c r="P706">
        <f>MAX(Table1[RATING COUNT])</f>
        <v>426973</v>
      </c>
    </row>
    <row r="707" spans="1:16">
      <c r="A707" t="s">
        <v>2252</v>
      </c>
      <c r="B707" t="s">
        <v>672</v>
      </c>
      <c r="D707" t="s">
        <v>1345</v>
      </c>
      <c r="E707" t="s">
        <v>1346</v>
      </c>
      <c r="F707" t="s">
        <v>1397</v>
      </c>
      <c r="G707" t="s">
        <v>1405</v>
      </c>
      <c r="H707" s="7">
        <v>299</v>
      </c>
      <c r="I707" s="7">
        <v>1499</v>
      </c>
      <c r="J707" s="7" t="str">
        <f t="shared" ref="J707:J770" si="35">IF(I707&lt;200, "&lt;₹200", IF(I707&lt;=500, "₹200–₹500", "&gt;₹500"))</f>
        <v>&gt;₹500</v>
      </c>
      <c r="K707" s="1">
        <v>0.8</v>
      </c>
      <c r="L707" s="1" t="str">
        <f t="shared" si="33"/>
        <v>50% or More</v>
      </c>
      <c r="M707">
        <v>4.2</v>
      </c>
      <c r="N707" s="2">
        <v>903</v>
      </c>
      <c r="O707" s="5">
        <f t="shared" si="34"/>
        <v>1353597</v>
      </c>
      <c r="P707">
        <f>MAX(Table1[RATING COUNT])</f>
        <v>426973</v>
      </c>
    </row>
    <row r="708" spans="1:16">
      <c r="A708" t="s">
        <v>2253</v>
      </c>
      <c r="B708" t="s">
        <v>673</v>
      </c>
      <c r="D708" t="s">
        <v>1345</v>
      </c>
      <c r="E708" t="s">
        <v>1346</v>
      </c>
      <c r="F708" t="s">
        <v>1401</v>
      </c>
      <c r="G708" t="s">
        <v>1420</v>
      </c>
      <c r="H708" s="7">
        <v>1295</v>
      </c>
      <c r="I708" s="7">
        <v>1795</v>
      </c>
      <c r="J708" s="7" t="str">
        <f t="shared" si="35"/>
        <v>&gt;₹500</v>
      </c>
      <c r="K708" s="1">
        <v>0.28000000000000003</v>
      </c>
      <c r="L708" s="1" t="str">
        <f t="shared" si="33"/>
        <v>&lt;50%</v>
      </c>
      <c r="M708">
        <v>4.0999999999999996</v>
      </c>
      <c r="N708" s="2">
        <v>25771</v>
      </c>
      <c r="O708" s="5">
        <f t="shared" si="34"/>
        <v>46258945</v>
      </c>
      <c r="P708">
        <f>MAX(Table1[RATING COUNT])</f>
        <v>426973</v>
      </c>
    </row>
    <row r="709" spans="1:16">
      <c r="A709" t="s">
        <v>2254</v>
      </c>
      <c r="B709" t="s">
        <v>674</v>
      </c>
      <c r="D709" t="s">
        <v>1352</v>
      </c>
      <c r="E709" t="s">
        <v>1383</v>
      </c>
      <c r="F709" t="s">
        <v>1384</v>
      </c>
      <c r="G709" t="s">
        <v>1385</v>
      </c>
      <c r="H709" s="7">
        <v>699</v>
      </c>
      <c r="I709" s="7">
        <v>999</v>
      </c>
      <c r="J709" s="7" t="str">
        <f t="shared" si="35"/>
        <v>&gt;₹500</v>
      </c>
      <c r="K709" s="1">
        <v>0.3</v>
      </c>
      <c r="L709" s="1" t="str">
        <f t="shared" si="33"/>
        <v>&lt;50%</v>
      </c>
      <c r="M709">
        <v>4.0999999999999996</v>
      </c>
      <c r="N709" s="2">
        <v>273189</v>
      </c>
      <c r="O709" s="5">
        <f t="shared" si="34"/>
        <v>272915811</v>
      </c>
      <c r="P709">
        <f>MAX(Table1[RATING COUNT])</f>
        <v>426973</v>
      </c>
    </row>
    <row r="710" spans="1:16">
      <c r="A710" t="s">
        <v>2255</v>
      </c>
      <c r="B710" t="s">
        <v>675</v>
      </c>
      <c r="D710" t="s">
        <v>1412</v>
      </c>
      <c r="E710" t="s">
        <v>1413</v>
      </c>
      <c r="F710" t="s">
        <v>1414</v>
      </c>
      <c r="G710" t="s">
        <v>1415</v>
      </c>
      <c r="H710" s="7">
        <v>252</v>
      </c>
      <c r="I710" s="7">
        <v>315</v>
      </c>
      <c r="J710" s="7" t="str">
        <f t="shared" si="35"/>
        <v>₹200–₹500</v>
      </c>
      <c r="K710" s="1">
        <v>0.2</v>
      </c>
      <c r="L710" s="1" t="str">
        <f t="shared" si="33"/>
        <v>&lt;50%</v>
      </c>
      <c r="M710">
        <v>4.5</v>
      </c>
      <c r="N710" s="2">
        <v>3785</v>
      </c>
      <c r="O710" s="5">
        <f t="shared" si="34"/>
        <v>1192275</v>
      </c>
      <c r="P710">
        <f>MAX(Table1[RATING COUNT])</f>
        <v>426973</v>
      </c>
    </row>
    <row r="711" spans="1:16">
      <c r="A711" t="s">
        <v>2256</v>
      </c>
      <c r="B711" t="s">
        <v>676</v>
      </c>
      <c r="D711" t="s">
        <v>1352</v>
      </c>
      <c r="E711" t="s">
        <v>1410</v>
      </c>
      <c r="F711" t="s">
        <v>1411</v>
      </c>
      <c r="H711" s="7">
        <v>190</v>
      </c>
      <c r="I711" s="7">
        <v>220</v>
      </c>
      <c r="J711" s="7" t="str">
        <f t="shared" si="35"/>
        <v>₹200–₹500</v>
      </c>
      <c r="K711" s="1">
        <v>0.14000000000000001</v>
      </c>
      <c r="L711" s="1" t="str">
        <f t="shared" si="33"/>
        <v>&lt;50%</v>
      </c>
      <c r="M711">
        <v>4.4000000000000004</v>
      </c>
      <c r="N711" s="2">
        <v>2866</v>
      </c>
      <c r="O711" s="5">
        <f t="shared" si="34"/>
        <v>630520</v>
      </c>
      <c r="P711">
        <f>MAX(Table1[RATING COUNT])</f>
        <v>426973</v>
      </c>
    </row>
    <row r="712" spans="1:16">
      <c r="A712" t="s">
        <v>2257</v>
      </c>
      <c r="B712" t="s">
        <v>677</v>
      </c>
      <c r="D712" t="s">
        <v>1345</v>
      </c>
      <c r="E712" t="s">
        <v>1346</v>
      </c>
      <c r="F712" t="s">
        <v>1401</v>
      </c>
      <c r="G712" t="s">
        <v>1420</v>
      </c>
      <c r="H712" s="7">
        <v>1299</v>
      </c>
      <c r="I712" s="7">
        <v>1599</v>
      </c>
      <c r="J712" s="7" t="str">
        <f t="shared" si="35"/>
        <v>&gt;₹500</v>
      </c>
      <c r="K712" s="1">
        <v>0.19</v>
      </c>
      <c r="L712" s="1" t="str">
        <f t="shared" si="33"/>
        <v>&lt;50%</v>
      </c>
      <c r="M712">
        <v>4.3</v>
      </c>
      <c r="N712" s="2">
        <v>27223</v>
      </c>
      <c r="O712" s="5">
        <f t="shared" si="34"/>
        <v>43529577</v>
      </c>
      <c r="P712">
        <f>MAX(Table1[RATING COUNT])</f>
        <v>426973</v>
      </c>
    </row>
    <row r="713" spans="1:16">
      <c r="A713" t="s">
        <v>2258</v>
      </c>
      <c r="B713" t="s">
        <v>678</v>
      </c>
      <c r="D713" t="s">
        <v>1345</v>
      </c>
      <c r="E713" t="s">
        <v>1399</v>
      </c>
      <c r="F713" t="s">
        <v>1400</v>
      </c>
      <c r="H713" s="7">
        <v>729</v>
      </c>
      <c r="I713" s="7">
        <v>1650</v>
      </c>
      <c r="J713" s="7" t="str">
        <f t="shared" si="35"/>
        <v>&gt;₹500</v>
      </c>
      <c r="K713" s="1">
        <v>0.56000000000000005</v>
      </c>
      <c r="L713" s="1" t="str">
        <f t="shared" si="33"/>
        <v>50% or More</v>
      </c>
      <c r="M713">
        <v>4.3</v>
      </c>
      <c r="N713" s="2">
        <v>82356</v>
      </c>
      <c r="O713" s="5">
        <f t="shared" si="34"/>
        <v>135887400</v>
      </c>
      <c r="P713">
        <f>MAX(Table1[RATING COUNT])</f>
        <v>426973</v>
      </c>
    </row>
    <row r="714" spans="1:16">
      <c r="A714" t="s">
        <v>2259</v>
      </c>
      <c r="B714" t="s">
        <v>679</v>
      </c>
      <c r="D714" t="s">
        <v>1412</v>
      </c>
      <c r="E714" t="s">
        <v>1413</v>
      </c>
      <c r="F714" t="s">
        <v>1414</v>
      </c>
      <c r="G714" t="s">
        <v>1415</v>
      </c>
      <c r="H714" s="7">
        <v>480</v>
      </c>
      <c r="I714" s="7">
        <v>600</v>
      </c>
      <c r="J714" s="7" t="str">
        <f t="shared" si="35"/>
        <v>&gt;₹500</v>
      </c>
      <c r="K714" s="1">
        <v>0.2</v>
      </c>
      <c r="L714" s="1" t="str">
        <f t="shared" si="33"/>
        <v>&lt;50%</v>
      </c>
      <c r="M714">
        <v>4.3</v>
      </c>
      <c r="N714" s="2">
        <v>5719</v>
      </c>
      <c r="O714" s="5">
        <f t="shared" si="34"/>
        <v>3431400</v>
      </c>
      <c r="P714">
        <f>MAX(Table1[RATING COUNT])</f>
        <v>426973</v>
      </c>
    </row>
    <row r="715" spans="1:16">
      <c r="A715" t="s">
        <v>2057</v>
      </c>
      <c r="B715" t="s">
        <v>680</v>
      </c>
      <c r="D715" t="s">
        <v>1345</v>
      </c>
      <c r="E715" t="s">
        <v>1346</v>
      </c>
      <c r="F715" t="s">
        <v>1397</v>
      </c>
      <c r="G715" t="s">
        <v>1404</v>
      </c>
      <c r="H715" s="7">
        <v>999</v>
      </c>
      <c r="I715" s="7">
        <v>2499</v>
      </c>
      <c r="J715" s="7" t="str">
        <f t="shared" si="35"/>
        <v>&gt;₹500</v>
      </c>
      <c r="K715" s="1">
        <v>0.6</v>
      </c>
      <c r="L715" s="1" t="str">
        <f t="shared" si="33"/>
        <v>50% or More</v>
      </c>
      <c r="M715">
        <v>4.3</v>
      </c>
      <c r="N715" s="2">
        <v>1690</v>
      </c>
      <c r="O715" s="5">
        <f t="shared" si="34"/>
        <v>4223310</v>
      </c>
      <c r="P715">
        <f>MAX(Table1[RATING COUNT])</f>
        <v>426973</v>
      </c>
    </row>
    <row r="716" spans="1:16">
      <c r="A716" t="s">
        <v>1629</v>
      </c>
      <c r="B716" t="s">
        <v>681</v>
      </c>
      <c r="D716" t="s">
        <v>1345</v>
      </c>
      <c r="E716" t="s">
        <v>1346</v>
      </c>
      <c r="F716" t="s">
        <v>1347</v>
      </c>
      <c r="G716" t="s">
        <v>1348</v>
      </c>
      <c r="H716" s="7">
        <v>238</v>
      </c>
      <c r="I716" s="7">
        <v>699</v>
      </c>
      <c r="J716" s="7" t="str">
        <f t="shared" si="35"/>
        <v>&gt;₹500</v>
      </c>
      <c r="K716" s="1">
        <v>0.66</v>
      </c>
      <c r="L716" s="1" t="str">
        <f t="shared" si="33"/>
        <v>50% or More</v>
      </c>
      <c r="M716">
        <v>4.4000000000000004</v>
      </c>
      <c r="N716" s="2">
        <v>8372</v>
      </c>
      <c r="O716" s="5">
        <f t="shared" si="34"/>
        <v>5852028</v>
      </c>
      <c r="P716">
        <f>MAX(Table1[RATING COUNT])</f>
        <v>426973</v>
      </c>
    </row>
    <row r="717" spans="1:16">
      <c r="A717" t="s">
        <v>2260</v>
      </c>
      <c r="B717" t="s">
        <v>682</v>
      </c>
      <c r="D717" t="s">
        <v>1345</v>
      </c>
      <c r="E717" t="s">
        <v>1346</v>
      </c>
      <c r="F717" t="s">
        <v>1401</v>
      </c>
      <c r="G717" t="s">
        <v>1420</v>
      </c>
      <c r="H717" s="7">
        <v>1349</v>
      </c>
      <c r="I717" s="7">
        <v>2198</v>
      </c>
      <c r="J717" s="7" t="str">
        <f t="shared" si="35"/>
        <v>&gt;₹500</v>
      </c>
      <c r="K717" s="1">
        <v>0.39</v>
      </c>
      <c r="L717" s="1" t="str">
        <f t="shared" si="33"/>
        <v>&lt;50%</v>
      </c>
      <c r="M717">
        <v>4</v>
      </c>
      <c r="N717" s="2">
        <v>7113</v>
      </c>
      <c r="O717" s="5">
        <f t="shared" si="34"/>
        <v>15634374</v>
      </c>
      <c r="P717">
        <f>MAX(Table1[RATING COUNT])</f>
        <v>426973</v>
      </c>
    </row>
    <row r="718" spans="1:16">
      <c r="A718" t="s">
        <v>2261</v>
      </c>
      <c r="B718" t="s">
        <v>683</v>
      </c>
      <c r="D718" t="s">
        <v>1345</v>
      </c>
      <c r="E718" t="s">
        <v>1346</v>
      </c>
      <c r="F718" t="s">
        <v>1457</v>
      </c>
      <c r="G718" t="s">
        <v>1458</v>
      </c>
      <c r="H718" s="7">
        <v>199</v>
      </c>
      <c r="I718" s="7">
        <v>499</v>
      </c>
      <c r="J718" s="7" t="str">
        <f t="shared" si="35"/>
        <v>₹200–₹500</v>
      </c>
      <c r="K718" s="1">
        <v>0.6</v>
      </c>
      <c r="L718" s="1" t="str">
        <f t="shared" si="33"/>
        <v>50% or More</v>
      </c>
      <c r="M718">
        <v>3.3</v>
      </c>
      <c r="N718" s="2">
        <v>2804</v>
      </c>
      <c r="O718" s="5">
        <f t="shared" si="34"/>
        <v>1399196</v>
      </c>
      <c r="P718">
        <f>MAX(Table1[RATING COUNT])</f>
        <v>426973</v>
      </c>
    </row>
    <row r="719" spans="1:16">
      <c r="A719" t="s">
        <v>2262</v>
      </c>
      <c r="B719" t="s">
        <v>684</v>
      </c>
      <c r="D719" t="s">
        <v>1352</v>
      </c>
      <c r="E719" t="s">
        <v>1383</v>
      </c>
      <c r="F719" t="s">
        <v>1384</v>
      </c>
      <c r="G719" t="s">
        <v>1385</v>
      </c>
      <c r="H719" s="7">
        <v>1999</v>
      </c>
      <c r="I719" s="7">
        <v>9999</v>
      </c>
      <c r="J719" s="7" t="str">
        <f t="shared" si="35"/>
        <v>&gt;₹500</v>
      </c>
      <c r="K719" s="1">
        <v>0.8</v>
      </c>
      <c r="L719" s="1" t="str">
        <f t="shared" si="33"/>
        <v>50% or More</v>
      </c>
      <c r="M719">
        <v>3.7</v>
      </c>
      <c r="N719" s="2">
        <v>1986</v>
      </c>
      <c r="O719" s="5">
        <f t="shared" si="34"/>
        <v>19858014</v>
      </c>
      <c r="P719">
        <f>MAX(Table1[RATING COUNT])</f>
        <v>426973</v>
      </c>
    </row>
    <row r="720" spans="1:16">
      <c r="A720" t="s">
        <v>2263</v>
      </c>
      <c r="B720" t="s">
        <v>685</v>
      </c>
      <c r="D720" t="s">
        <v>1352</v>
      </c>
      <c r="E720" t="s">
        <v>1375</v>
      </c>
      <c r="F720" t="s">
        <v>1376</v>
      </c>
      <c r="G720" t="s">
        <v>1389</v>
      </c>
      <c r="H720" s="7">
        <v>99</v>
      </c>
      <c r="I720" s="7">
        <v>499</v>
      </c>
      <c r="J720" s="7" t="str">
        <f t="shared" si="35"/>
        <v>₹200–₹500</v>
      </c>
      <c r="K720" s="1">
        <v>0.8</v>
      </c>
      <c r="L720" s="1" t="str">
        <f t="shared" si="33"/>
        <v>50% or More</v>
      </c>
      <c r="M720">
        <v>4.0999999999999996</v>
      </c>
      <c r="N720" s="2">
        <v>2451</v>
      </c>
      <c r="O720" s="5">
        <f t="shared" si="34"/>
        <v>1223049</v>
      </c>
      <c r="P720">
        <f>MAX(Table1[RATING COUNT])</f>
        <v>426973</v>
      </c>
    </row>
    <row r="721" spans="1:16">
      <c r="A721" t="s">
        <v>2264</v>
      </c>
      <c r="B721" t="s">
        <v>686</v>
      </c>
      <c r="D721" t="s">
        <v>1345</v>
      </c>
      <c r="E721" t="s">
        <v>1346</v>
      </c>
      <c r="F721" t="s">
        <v>1401</v>
      </c>
      <c r="G721" t="s">
        <v>1402</v>
      </c>
      <c r="H721" s="7">
        <v>499</v>
      </c>
      <c r="I721" s="7">
        <v>1000</v>
      </c>
      <c r="J721" s="7" t="str">
        <f t="shared" si="35"/>
        <v>&gt;₹500</v>
      </c>
      <c r="K721" s="1">
        <v>0.5</v>
      </c>
      <c r="L721" s="1" t="str">
        <f t="shared" si="33"/>
        <v>50% or More</v>
      </c>
      <c r="M721">
        <v>5</v>
      </c>
      <c r="N721" s="2">
        <v>23</v>
      </c>
      <c r="O721" s="5">
        <f t="shared" si="34"/>
        <v>23000</v>
      </c>
      <c r="P721">
        <f>MAX(Table1[RATING COUNT])</f>
        <v>426973</v>
      </c>
    </row>
    <row r="722" spans="1:16">
      <c r="A722" t="s">
        <v>2265</v>
      </c>
      <c r="B722" t="s">
        <v>687</v>
      </c>
      <c r="D722" t="s">
        <v>1345</v>
      </c>
      <c r="E722" t="s">
        <v>1462</v>
      </c>
      <c r="F722" t="s">
        <v>1463</v>
      </c>
      <c r="H722" s="7">
        <v>1792</v>
      </c>
      <c r="I722" s="7">
        <v>3500</v>
      </c>
      <c r="J722" s="7" t="str">
        <f t="shared" si="35"/>
        <v>&gt;₹500</v>
      </c>
      <c r="K722" s="1">
        <v>0.49</v>
      </c>
      <c r="L722" s="1" t="str">
        <f t="shared" si="33"/>
        <v>&lt;50%</v>
      </c>
      <c r="M722">
        <v>4.5</v>
      </c>
      <c r="N722" s="2">
        <v>26194</v>
      </c>
      <c r="O722" s="5">
        <f t="shared" si="34"/>
        <v>91679000</v>
      </c>
      <c r="P722">
        <f>MAX(Table1[RATING COUNT])</f>
        <v>426973</v>
      </c>
    </row>
    <row r="723" spans="1:16">
      <c r="A723" t="s">
        <v>2266</v>
      </c>
      <c r="B723" t="s">
        <v>688</v>
      </c>
      <c r="D723" t="s">
        <v>1345</v>
      </c>
      <c r="E723" t="s">
        <v>1346</v>
      </c>
      <c r="F723" t="s">
        <v>1464</v>
      </c>
      <c r="H723" s="7">
        <v>3299</v>
      </c>
      <c r="I723" s="7">
        <v>4100</v>
      </c>
      <c r="J723" s="7" t="str">
        <f t="shared" si="35"/>
        <v>&gt;₹500</v>
      </c>
      <c r="K723" s="1">
        <v>0.2</v>
      </c>
      <c r="L723" s="1" t="str">
        <f t="shared" si="33"/>
        <v>&lt;50%</v>
      </c>
      <c r="M723">
        <v>3.9</v>
      </c>
      <c r="N723" s="2">
        <v>15783</v>
      </c>
      <c r="O723" s="5">
        <f t="shared" si="34"/>
        <v>64710300</v>
      </c>
      <c r="P723">
        <f>MAX(Table1[RATING COUNT])</f>
        <v>426973</v>
      </c>
    </row>
    <row r="724" spans="1:16">
      <c r="A724" t="s">
        <v>1631</v>
      </c>
      <c r="B724" t="s">
        <v>689</v>
      </c>
      <c r="D724" t="s">
        <v>1412</v>
      </c>
      <c r="E724" t="s">
        <v>1413</v>
      </c>
      <c r="F724" t="s">
        <v>1414</v>
      </c>
      <c r="G724" t="s">
        <v>1415</v>
      </c>
      <c r="H724" s="7">
        <v>125</v>
      </c>
      <c r="I724" s="7">
        <v>180</v>
      </c>
      <c r="J724" s="7" t="str">
        <f t="shared" si="35"/>
        <v>&lt;₹200</v>
      </c>
      <c r="K724" s="1">
        <v>0.31</v>
      </c>
      <c r="L724" s="1" t="str">
        <f t="shared" si="33"/>
        <v>&lt;50%</v>
      </c>
      <c r="M724">
        <v>4.4000000000000004</v>
      </c>
      <c r="N724" s="2">
        <v>8053</v>
      </c>
      <c r="O724" s="5">
        <f t="shared" si="34"/>
        <v>1449540</v>
      </c>
      <c r="P724">
        <f>MAX(Table1[RATING COUNT])</f>
        <v>426973</v>
      </c>
    </row>
    <row r="725" spans="1:16">
      <c r="A725" t="s">
        <v>1632</v>
      </c>
      <c r="B725" t="s">
        <v>690</v>
      </c>
      <c r="D725" t="s">
        <v>1345</v>
      </c>
      <c r="E725" t="s">
        <v>1346</v>
      </c>
      <c r="F725" t="s">
        <v>1401</v>
      </c>
      <c r="G725" t="s">
        <v>1402</v>
      </c>
      <c r="H725" s="7">
        <v>399</v>
      </c>
      <c r="I725" s="7">
        <v>1190</v>
      </c>
      <c r="J725" s="7" t="str">
        <f t="shared" si="35"/>
        <v>&gt;₹500</v>
      </c>
      <c r="K725" s="1">
        <v>0.66</v>
      </c>
      <c r="L725" s="1" t="str">
        <f t="shared" si="33"/>
        <v>50% or More</v>
      </c>
      <c r="M725">
        <v>4.0999999999999996</v>
      </c>
      <c r="N725" s="2">
        <v>2809</v>
      </c>
      <c r="O725" s="5">
        <f t="shared" si="34"/>
        <v>3342710</v>
      </c>
      <c r="P725">
        <f>MAX(Table1[RATING COUNT])</f>
        <v>426973</v>
      </c>
    </row>
    <row r="726" spans="1:16">
      <c r="A726" t="s">
        <v>2267</v>
      </c>
      <c r="B726" t="s">
        <v>691</v>
      </c>
      <c r="D726" t="s">
        <v>1352</v>
      </c>
      <c r="E726" t="s">
        <v>1383</v>
      </c>
      <c r="F726" t="s">
        <v>1384</v>
      </c>
      <c r="G726" t="s">
        <v>1385</v>
      </c>
      <c r="H726" s="7">
        <v>1199</v>
      </c>
      <c r="I726" s="7">
        <v>7999</v>
      </c>
      <c r="J726" s="7" t="str">
        <f t="shared" si="35"/>
        <v>&gt;₹500</v>
      </c>
      <c r="K726" s="1">
        <v>0.85</v>
      </c>
      <c r="L726" s="1" t="str">
        <f t="shared" si="33"/>
        <v>50% or More</v>
      </c>
      <c r="M726">
        <v>3.6</v>
      </c>
      <c r="N726" s="2">
        <v>25910</v>
      </c>
      <c r="O726" s="5">
        <f t="shared" si="34"/>
        <v>207254090</v>
      </c>
      <c r="P726">
        <f>MAX(Table1[RATING COUNT])</f>
        <v>426973</v>
      </c>
    </row>
    <row r="727" spans="1:16">
      <c r="A727" t="s">
        <v>2268</v>
      </c>
      <c r="B727" t="s">
        <v>692</v>
      </c>
      <c r="D727" t="s">
        <v>1345</v>
      </c>
      <c r="E727" t="s">
        <v>1346</v>
      </c>
      <c r="F727" t="s">
        <v>1401</v>
      </c>
      <c r="G727" t="s">
        <v>1403</v>
      </c>
      <c r="H727" s="7">
        <v>235</v>
      </c>
      <c r="I727" s="7">
        <v>1599</v>
      </c>
      <c r="J727" s="7" t="str">
        <f t="shared" si="35"/>
        <v>&gt;₹500</v>
      </c>
      <c r="K727" s="1">
        <v>0.85</v>
      </c>
      <c r="L727" s="1" t="str">
        <f t="shared" si="33"/>
        <v>50% or More</v>
      </c>
      <c r="M727">
        <v>3.8</v>
      </c>
      <c r="N727" s="2">
        <v>1173</v>
      </c>
      <c r="O727" s="5">
        <f t="shared" si="34"/>
        <v>1875627</v>
      </c>
      <c r="P727">
        <f>MAX(Table1[RATING COUNT])</f>
        <v>426973</v>
      </c>
    </row>
    <row r="728" spans="1:16">
      <c r="A728" t="s">
        <v>2269</v>
      </c>
      <c r="B728" t="s">
        <v>693</v>
      </c>
      <c r="D728" t="s">
        <v>1345</v>
      </c>
      <c r="E728" t="s">
        <v>1346</v>
      </c>
      <c r="F728" t="s">
        <v>1397</v>
      </c>
      <c r="G728" t="s">
        <v>1404</v>
      </c>
      <c r="H728" s="7">
        <v>549</v>
      </c>
      <c r="I728" s="7">
        <v>1999</v>
      </c>
      <c r="J728" s="7" t="str">
        <f t="shared" si="35"/>
        <v>&gt;₹500</v>
      </c>
      <c r="K728" s="1">
        <v>0.73</v>
      </c>
      <c r="L728" s="1" t="str">
        <f t="shared" si="33"/>
        <v>50% or More</v>
      </c>
      <c r="M728">
        <v>3.6</v>
      </c>
      <c r="N728" s="2">
        <v>6422</v>
      </c>
      <c r="O728" s="5">
        <f t="shared" si="34"/>
        <v>12837578</v>
      </c>
      <c r="P728">
        <f>MAX(Table1[RATING COUNT])</f>
        <v>426973</v>
      </c>
    </row>
    <row r="729" spans="1:16">
      <c r="A729" t="s">
        <v>1633</v>
      </c>
      <c r="B729" t="s">
        <v>694</v>
      </c>
      <c r="D729" t="s">
        <v>1345</v>
      </c>
      <c r="E729" t="s">
        <v>1346</v>
      </c>
      <c r="F729" t="s">
        <v>1448</v>
      </c>
      <c r="G729" t="s">
        <v>1449</v>
      </c>
      <c r="H729" s="7">
        <v>89</v>
      </c>
      <c r="I729" s="7">
        <v>99</v>
      </c>
      <c r="J729" s="7" t="str">
        <f t="shared" si="35"/>
        <v>&lt;₹200</v>
      </c>
      <c r="K729" s="1">
        <v>0.1</v>
      </c>
      <c r="L729" s="1" t="str">
        <f t="shared" si="33"/>
        <v>&lt;50%</v>
      </c>
      <c r="M729">
        <v>4.2</v>
      </c>
      <c r="N729" s="2">
        <v>241</v>
      </c>
      <c r="O729" s="5">
        <f t="shared" si="34"/>
        <v>23859</v>
      </c>
      <c r="P729">
        <f>MAX(Table1[RATING COUNT])</f>
        <v>426973</v>
      </c>
    </row>
    <row r="730" spans="1:16">
      <c r="A730" t="s">
        <v>2270</v>
      </c>
      <c r="B730" t="s">
        <v>695</v>
      </c>
      <c r="D730" t="s">
        <v>1352</v>
      </c>
      <c r="E730" t="s">
        <v>1383</v>
      </c>
      <c r="F730" t="s">
        <v>1384</v>
      </c>
      <c r="G730" t="s">
        <v>1385</v>
      </c>
      <c r="H730" s="7">
        <v>1299</v>
      </c>
      <c r="I730" s="7">
        <v>2999</v>
      </c>
      <c r="J730" s="7" t="str">
        <f t="shared" si="35"/>
        <v>&gt;₹500</v>
      </c>
      <c r="K730" s="1">
        <v>0.56999999999999995</v>
      </c>
      <c r="L730" s="1" t="str">
        <f t="shared" si="33"/>
        <v>50% or More</v>
      </c>
      <c r="M730">
        <v>3.8</v>
      </c>
      <c r="N730" s="2">
        <v>14629</v>
      </c>
      <c r="O730" s="5">
        <f t="shared" si="34"/>
        <v>43872371</v>
      </c>
      <c r="P730">
        <f>MAX(Table1[RATING COUNT])</f>
        <v>426973</v>
      </c>
    </row>
    <row r="731" spans="1:16">
      <c r="A731" t="s">
        <v>2271</v>
      </c>
      <c r="B731" t="s">
        <v>696</v>
      </c>
      <c r="D731" t="s">
        <v>1345</v>
      </c>
      <c r="E731" t="s">
        <v>1346</v>
      </c>
      <c r="F731" t="s">
        <v>1401</v>
      </c>
      <c r="G731" t="s">
        <v>1432</v>
      </c>
      <c r="H731" s="7">
        <v>230</v>
      </c>
      <c r="I731" s="7">
        <v>999</v>
      </c>
      <c r="J731" s="7" t="str">
        <f t="shared" si="35"/>
        <v>&gt;₹500</v>
      </c>
      <c r="K731" s="1">
        <v>0.77</v>
      </c>
      <c r="L731" s="1" t="str">
        <f t="shared" si="33"/>
        <v>50% or More</v>
      </c>
      <c r="M731">
        <v>4.2</v>
      </c>
      <c r="N731" s="2">
        <v>1528</v>
      </c>
      <c r="O731" s="5">
        <f t="shared" si="34"/>
        <v>1526472</v>
      </c>
      <c r="P731">
        <f>MAX(Table1[RATING COUNT])</f>
        <v>426973</v>
      </c>
    </row>
    <row r="732" spans="1:16">
      <c r="A732" t="s">
        <v>2272</v>
      </c>
      <c r="B732" t="s">
        <v>697</v>
      </c>
      <c r="D732" t="s">
        <v>1352</v>
      </c>
      <c r="E732" t="s">
        <v>1383</v>
      </c>
      <c r="F732" t="s">
        <v>1465</v>
      </c>
      <c r="H732" s="7">
        <v>119</v>
      </c>
      <c r="I732" s="7">
        <v>499</v>
      </c>
      <c r="J732" s="7" t="str">
        <f t="shared" si="35"/>
        <v>₹200–₹500</v>
      </c>
      <c r="K732" s="1">
        <v>0.76</v>
      </c>
      <c r="L732" s="1" t="str">
        <f t="shared" si="33"/>
        <v>50% or More</v>
      </c>
      <c r="M732">
        <v>4.3</v>
      </c>
      <c r="N732" s="2">
        <v>15032</v>
      </c>
      <c r="O732" s="5">
        <f t="shared" si="34"/>
        <v>7500968</v>
      </c>
      <c r="P732">
        <f>MAX(Table1[RATING COUNT])</f>
        <v>426973</v>
      </c>
    </row>
    <row r="733" spans="1:16">
      <c r="A733" t="s">
        <v>1635</v>
      </c>
      <c r="B733" t="s">
        <v>698</v>
      </c>
      <c r="D733" t="s">
        <v>1352</v>
      </c>
      <c r="E733" t="s">
        <v>1354</v>
      </c>
      <c r="F733" t="s">
        <v>1380</v>
      </c>
      <c r="G733" t="s">
        <v>1466</v>
      </c>
      <c r="H733" s="7">
        <v>449</v>
      </c>
      <c r="I733" s="7">
        <v>800</v>
      </c>
      <c r="J733" s="7" t="str">
        <f t="shared" si="35"/>
        <v>&gt;₹500</v>
      </c>
      <c r="K733" s="1">
        <v>0.44</v>
      </c>
      <c r="L733" s="1" t="str">
        <f t="shared" si="33"/>
        <v>&lt;50%</v>
      </c>
      <c r="M733">
        <v>4.4000000000000004</v>
      </c>
      <c r="N733" s="2">
        <v>69585</v>
      </c>
      <c r="O733" s="5">
        <f t="shared" si="34"/>
        <v>55668000</v>
      </c>
      <c r="P733">
        <f>MAX(Table1[RATING COUNT])</f>
        <v>426973</v>
      </c>
    </row>
    <row r="734" spans="1:16">
      <c r="A734" t="s">
        <v>2273</v>
      </c>
      <c r="B734" t="s">
        <v>699</v>
      </c>
      <c r="D734" t="s">
        <v>1352</v>
      </c>
      <c r="E734" t="s">
        <v>1375</v>
      </c>
      <c r="F734" t="s">
        <v>1376</v>
      </c>
      <c r="G734" t="s">
        <v>1388</v>
      </c>
      <c r="H734" s="7">
        <v>1699</v>
      </c>
      <c r="I734" s="7">
        <v>3495</v>
      </c>
      <c r="J734" s="7" t="str">
        <f t="shared" si="35"/>
        <v>&gt;₹500</v>
      </c>
      <c r="K734" s="1">
        <v>0.51</v>
      </c>
      <c r="L734" s="1" t="str">
        <f t="shared" si="33"/>
        <v>50% or More</v>
      </c>
      <c r="M734">
        <v>4.0999999999999996</v>
      </c>
      <c r="N734" s="2">
        <v>14371</v>
      </c>
      <c r="O734" s="5">
        <f t="shared" si="34"/>
        <v>50226645</v>
      </c>
      <c r="P734">
        <f>MAX(Table1[RATING COUNT])</f>
        <v>426973</v>
      </c>
    </row>
    <row r="735" spans="1:16">
      <c r="A735" t="s">
        <v>2274</v>
      </c>
      <c r="B735" t="s">
        <v>700</v>
      </c>
      <c r="D735" t="s">
        <v>1412</v>
      </c>
      <c r="E735" t="s">
        <v>1413</v>
      </c>
      <c r="F735" t="s">
        <v>1414</v>
      </c>
      <c r="G735" t="s">
        <v>1415</v>
      </c>
      <c r="H735" s="7">
        <v>561</v>
      </c>
      <c r="I735" s="7">
        <v>720</v>
      </c>
      <c r="J735" s="7" t="str">
        <f t="shared" si="35"/>
        <v>&gt;₹500</v>
      </c>
      <c r="K735" s="1">
        <v>0.22</v>
      </c>
      <c r="L735" s="1" t="str">
        <f t="shared" si="33"/>
        <v>&lt;50%</v>
      </c>
      <c r="M735">
        <v>4.4000000000000004</v>
      </c>
      <c r="N735" s="2">
        <v>3182</v>
      </c>
      <c r="O735" s="5">
        <f t="shared" si="34"/>
        <v>2291040</v>
      </c>
      <c r="P735">
        <f>MAX(Table1[RATING COUNT])</f>
        <v>426973</v>
      </c>
    </row>
    <row r="736" spans="1:16">
      <c r="A736" t="s">
        <v>2275</v>
      </c>
      <c r="B736" t="s">
        <v>701</v>
      </c>
      <c r="D736" t="s">
        <v>1345</v>
      </c>
      <c r="E736" t="s">
        <v>1346</v>
      </c>
      <c r="F736" t="s">
        <v>1401</v>
      </c>
      <c r="G736" t="s">
        <v>1402</v>
      </c>
      <c r="H736" s="7">
        <v>289</v>
      </c>
      <c r="I736" s="7">
        <v>590</v>
      </c>
      <c r="J736" s="7" t="str">
        <f t="shared" si="35"/>
        <v>&gt;₹500</v>
      </c>
      <c r="K736" s="1">
        <v>0.51</v>
      </c>
      <c r="L736" s="1" t="str">
        <f t="shared" si="33"/>
        <v>50% or More</v>
      </c>
      <c r="M736">
        <v>4.4000000000000004</v>
      </c>
      <c r="N736" s="2">
        <v>25886</v>
      </c>
      <c r="O736" s="5">
        <f t="shared" si="34"/>
        <v>15272740</v>
      </c>
      <c r="P736">
        <f>MAX(Table1[RATING COUNT])</f>
        <v>426973</v>
      </c>
    </row>
    <row r="737" spans="1:16">
      <c r="A737" t="s">
        <v>2077</v>
      </c>
      <c r="B737" t="s">
        <v>702</v>
      </c>
      <c r="D737" t="s">
        <v>1345</v>
      </c>
      <c r="E737" t="s">
        <v>1346</v>
      </c>
      <c r="F737" t="s">
        <v>1397</v>
      </c>
      <c r="G737" t="s">
        <v>1405</v>
      </c>
      <c r="H737" s="7">
        <v>599</v>
      </c>
      <c r="I737" s="7">
        <v>1999</v>
      </c>
      <c r="J737" s="7" t="str">
        <f t="shared" si="35"/>
        <v>&gt;₹500</v>
      </c>
      <c r="K737" s="1">
        <v>0.7</v>
      </c>
      <c r="L737" s="1" t="str">
        <f t="shared" si="33"/>
        <v>50% or More</v>
      </c>
      <c r="M737">
        <v>4.4000000000000004</v>
      </c>
      <c r="N737" s="2">
        <v>4736</v>
      </c>
      <c r="O737" s="5">
        <f t="shared" si="34"/>
        <v>9467264</v>
      </c>
      <c r="P737">
        <f>MAX(Table1[RATING COUNT])</f>
        <v>426973</v>
      </c>
    </row>
    <row r="738" spans="1:16">
      <c r="A738" t="s">
        <v>2276</v>
      </c>
      <c r="B738" t="s">
        <v>703</v>
      </c>
      <c r="D738" t="s">
        <v>1345</v>
      </c>
      <c r="E738" t="s">
        <v>1399</v>
      </c>
      <c r="F738" t="s">
        <v>1421</v>
      </c>
      <c r="H738" s="7">
        <v>5599</v>
      </c>
      <c r="I738" s="7">
        <v>7350</v>
      </c>
      <c r="J738" s="7" t="str">
        <f t="shared" si="35"/>
        <v>&gt;₹500</v>
      </c>
      <c r="K738" s="1">
        <v>0.24</v>
      </c>
      <c r="L738" s="1" t="str">
        <f t="shared" si="33"/>
        <v>&lt;50%</v>
      </c>
      <c r="M738">
        <v>4.4000000000000004</v>
      </c>
      <c r="N738" s="2">
        <v>73005</v>
      </c>
      <c r="O738" s="5">
        <f t="shared" si="34"/>
        <v>536586750</v>
      </c>
      <c r="P738">
        <f>MAX(Table1[RATING COUNT])</f>
        <v>426973</v>
      </c>
    </row>
    <row r="739" spans="1:16">
      <c r="A739" t="s">
        <v>2277</v>
      </c>
      <c r="B739" t="s">
        <v>704</v>
      </c>
      <c r="D739" t="s">
        <v>1345</v>
      </c>
      <c r="E739" t="s">
        <v>1346</v>
      </c>
      <c r="F739" t="s">
        <v>1457</v>
      </c>
      <c r="G739" t="s">
        <v>1467</v>
      </c>
      <c r="H739" s="7">
        <v>1990</v>
      </c>
      <c r="I739" s="7">
        <v>2595</v>
      </c>
      <c r="J739" s="7" t="str">
        <f t="shared" si="35"/>
        <v>&gt;₹500</v>
      </c>
      <c r="K739" s="1">
        <v>0.23</v>
      </c>
      <c r="L739" s="1" t="str">
        <f t="shared" si="33"/>
        <v>&lt;50%</v>
      </c>
      <c r="M739">
        <v>4.3</v>
      </c>
      <c r="N739" s="2">
        <v>20398</v>
      </c>
      <c r="O739" s="5">
        <f t="shared" si="34"/>
        <v>52932810</v>
      </c>
      <c r="P739">
        <f>MAX(Table1[RATING COUNT])</f>
        <v>426973</v>
      </c>
    </row>
    <row r="740" spans="1:16">
      <c r="A740" t="s">
        <v>2278</v>
      </c>
      <c r="B740" t="s">
        <v>705</v>
      </c>
      <c r="D740" t="s">
        <v>1345</v>
      </c>
      <c r="E740" t="s">
        <v>1346</v>
      </c>
      <c r="F740" t="s">
        <v>1456</v>
      </c>
      <c r="H740" s="7">
        <v>499</v>
      </c>
      <c r="I740" s="7">
        <v>799</v>
      </c>
      <c r="J740" s="7" t="str">
        <f t="shared" si="35"/>
        <v>&gt;₹500</v>
      </c>
      <c r="K740" s="1">
        <v>0.38</v>
      </c>
      <c r="L740" s="1" t="str">
        <f t="shared" si="33"/>
        <v>&lt;50%</v>
      </c>
      <c r="M740">
        <v>4.3</v>
      </c>
      <c r="N740" s="2">
        <v>2125</v>
      </c>
      <c r="O740" s="5">
        <f t="shared" si="34"/>
        <v>1697875</v>
      </c>
      <c r="P740">
        <f>MAX(Table1[RATING COUNT])</f>
        <v>426973</v>
      </c>
    </row>
    <row r="741" spans="1:16">
      <c r="A741" t="s">
        <v>2279</v>
      </c>
      <c r="B741" t="s">
        <v>706</v>
      </c>
      <c r="D741" t="s">
        <v>1345</v>
      </c>
      <c r="E741" t="s">
        <v>1346</v>
      </c>
      <c r="F741" t="s">
        <v>1397</v>
      </c>
      <c r="G741" t="s">
        <v>1460</v>
      </c>
      <c r="H741" s="7">
        <v>449</v>
      </c>
      <c r="I741" s="7">
        <v>999</v>
      </c>
      <c r="J741" s="7" t="str">
        <f t="shared" si="35"/>
        <v>&gt;₹500</v>
      </c>
      <c r="K741" s="1">
        <v>0.55000000000000004</v>
      </c>
      <c r="L741" s="1" t="str">
        <f t="shared" si="33"/>
        <v>50% or More</v>
      </c>
      <c r="M741">
        <v>4.3</v>
      </c>
      <c r="N741" s="2">
        <v>11330</v>
      </c>
      <c r="O741" s="5">
        <f t="shared" si="34"/>
        <v>11318670</v>
      </c>
      <c r="P741">
        <f>MAX(Table1[RATING COUNT])</f>
        <v>426973</v>
      </c>
    </row>
    <row r="742" spans="1:16">
      <c r="A742" t="s">
        <v>2072</v>
      </c>
      <c r="B742" t="s">
        <v>707</v>
      </c>
      <c r="D742" t="s">
        <v>1345</v>
      </c>
      <c r="E742" t="s">
        <v>1346</v>
      </c>
      <c r="F742" t="s">
        <v>1397</v>
      </c>
      <c r="G742" t="s">
        <v>1468</v>
      </c>
      <c r="H742" s="7">
        <v>999</v>
      </c>
      <c r="I742" s="7">
        <v>1999</v>
      </c>
      <c r="J742" s="7" t="str">
        <f t="shared" si="35"/>
        <v>&gt;₹500</v>
      </c>
      <c r="K742" s="1">
        <v>0.5</v>
      </c>
      <c r="L742" s="1" t="str">
        <f t="shared" si="33"/>
        <v>50% or More</v>
      </c>
      <c r="M742">
        <v>4.2</v>
      </c>
      <c r="N742" s="2">
        <v>27441</v>
      </c>
      <c r="O742" s="5">
        <f t="shared" si="34"/>
        <v>54854559</v>
      </c>
      <c r="P742">
        <f>MAX(Table1[RATING COUNT])</f>
        <v>426973</v>
      </c>
    </row>
    <row r="743" spans="1:16">
      <c r="A743" t="s">
        <v>2280</v>
      </c>
      <c r="B743" t="s">
        <v>708</v>
      </c>
      <c r="D743" t="s">
        <v>1345</v>
      </c>
      <c r="E743" t="s">
        <v>1346</v>
      </c>
      <c r="F743" t="s">
        <v>1397</v>
      </c>
      <c r="G743" t="s">
        <v>1398</v>
      </c>
      <c r="H743" s="7">
        <v>69</v>
      </c>
      <c r="I743" s="7">
        <v>299</v>
      </c>
      <c r="J743" s="7" t="str">
        <f t="shared" si="35"/>
        <v>₹200–₹500</v>
      </c>
      <c r="K743" s="1">
        <v>0.77</v>
      </c>
      <c r="L743" s="1" t="str">
        <f t="shared" si="33"/>
        <v>50% or More</v>
      </c>
      <c r="M743">
        <v>4.3</v>
      </c>
      <c r="N743" s="2">
        <v>255</v>
      </c>
      <c r="O743" s="5">
        <f t="shared" si="34"/>
        <v>76245</v>
      </c>
      <c r="P743">
        <f>MAX(Table1[RATING COUNT])</f>
        <v>426973</v>
      </c>
    </row>
    <row r="744" spans="1:16">
      <c r="A744" t="s">
        <v>2281</v>
      </c>
      <c r="B744" t="s">
        <v>709</v>
      </c>
      <c r="D744" t="s">
        <v>1345</v>
      </c>
      <c r="E744" t="s">
        <v>1346</v>
      </c>
      <c r="F744" t="s">
        <v>1401</v>
      </c>
      <c r="G744" t="s">
        <v>1402</v>
      </c>
      <c r="H744" s="7">
        <v>899</v>
      </c>
      <c r="I744" s="7">
        <v>1499</v>
      </c>
      <c r="J744" s="7" t="str">
        <f t="shared" si="35"/>
        <v>&gt;₹500</v>
      </c>
      <c r="K744" s="1">
        <v>0.4</v>
      </c>
      <c r="L744" s="1" t="str">
        <f t="shared" si="33"/>
        <v>&lt;50%</v>
      </c>
      <c r="M744">
        <v>4.2</v>
      </c>
      <c r="N744" s="2">
        <v>23174</v>
      </c>
      <c r="O744" s="5">
        <f t="shared" si="34"/>
        <v>34737826</v>
      </c>
      <c r="P744">
        <f>MAX(Table1[RATING COUNT])</f>
        <v>426973</v>
      </c>
    </row>
    <row r="745" spans="1:16">
      <c r="A745" t="s">
        <v>2282</v>
      </c>
      <c r="B745" t="s">
        <v>710</v>
      </c>
      <c r="D745" t="s">
        <v>1407</v>
      </c>
      <c r="E745" t="s">
        <v>1408</v>
      </c>
      <c r="F745" t="s">
        <v>1409</v>
      </c>
      <c r="H745" s="7">
        <v>478</v>
      </c>
      <c r="I745" s="7">
        <v>699</v>
      </c>
      <c r="J745" s="7" t="str">
        <f t="shared" si="35"/>
        <v>&gt;₹500</v>
      </c>
      <c r="K745" s="1">
        <v>0.32</v>
      </c>
      <c r="L745" s="1" t="str">
        <f t="shared" si="33"/>
        <v>&lt;50%</v>
      </c>
      <c r="M745">
        <v>3.8</v>
      </c>
      <c r="N745" s="2">
        <v>20218</v>
      </c>
      <c r="O745" s="5">
        <f t="shared" si="34"/>
        <v>14132382</v>
      </c>
      <c r="P745">
        <f>MAX(Table1[RATING COUNT])</f>
        <v>426973</v>
      </c>
    </row>
    <row r="746" spans="1:16">
      <c r="A746" t="s">
        <v>2283</v>
      </c>
      <c r="B746" t="s">
        <v>711</v>
      </c>
      <c r="D746" t="s">
        <v>1345</v>
      </c>
      <c r="E746" t="s">
        <v>1346</v>
      </c>
      <c r="F746" t="s">
        <v>1397</v>
      </c>
      <c r="H746" s="7">
        <v>1399</v>
      </c>
      <c r="I746" s="7">
        <v>2490</v>
      </c>
      <c r="J746" s="7" t="str">
        <f t="shared" si="35"/>
        <v>&gt;₹500</v>
      </c>
      <c r="K746" s="1">
        <v>0.44</v>
      </c>
      <c r="L746" s="1" t="str">
        <f t="shared" si="33"/>
        <v>&lt;50%</v>
      </c>
      <c r="M746">
        <v>4.3</v>
      </c>
      <c r="N746" s="2">
        <v>11074</v>
      </c>
      <c r="O746" s="5">
        <f t="shared" si="34"/>
        <v>27574260</v>
      </c>
      <c r="P746">
        <f>MAX(Table1[RATING COUNT])</f>
        <v>426973</v>
      </c>
    </row>
    <row r="747" spans="1:16">
      <c r="A747" t="s">
        <v>2284</v>
      </c>
      <c r="B747" t="s">
        <v>712</v>
      </c>
      <c r="D747" t="s">
        <v>1345</v>
      </c>
      <c r="E747" t="s">
        <v>1346</v>
      </c>
      <c r="F747" t="s">
        <v>1453</v>
      </c>
      <c r="G747" t="s">
        <v>1389</v>
      </c>
      <c r="H747" s="7">
        <v>149</v>
      </c>
      <c r="I747" s="7">
        <v>499</v>
      </c>
      <c r="J747" s="7" t="str">
        <f t="shared" si="35"/>
        <v>₹200–₹500</v>
      </c>
      <c r="K747" s="1">
        <v>0.7</v>
      </c>
      <c r="L747" s="1" t="str">
        <f t="shared" si="33"/>
        <v>50% or More</v>
      </c>
      <c r="M747">
        <v>4.0999999999999996</v>
      </c>
      <c r="N747" s="2">
        <v>25607</v>
      </c>
      <c r="O747" s="5">
        <f t="shared" si="34"/>
        <v>12777893</v>
      </c>
      <c r="P747">
        <f>MAX(Table1[RATING COUNT])</f>
        <v>426973</v>
      </c>
    </row>
    <row r="748" spans="1:16">
      <c r="A748" t="s">
        <v>2285</v>
      </c>
      <c r="B748" t="s">
        <v>713</v>
      </c>
      <c r="D748" t="s">
        <v>1352</v>
      </c>
      <c r="E748" t="s">
        <v>1360</v>
      </c>
      <c r="F748" t="s">
        <v>1370</v>
      </c>
      <c r="G748" t="s">
        <v>1442</v>
      </c>
      <c r="H748" s="7">
        <v>1799</v>
      </c>
      <c r="I748" s="7">
        <v>4990</v>
      </c>
      <c r="J748" s="7" t="str">
        <f t="shared" si="35"/>
        <v>&gt;₹500</v>
      </c>
      <c r="K748" s="1">
        <v>0.64</v>
      </c>
      <c r="L748" s="1" t="str">
        <f t="shared" si="33"/>
        <v>50% or More</v>
      </c>
      <c r="M748">
        <v>4.2</v>
      </c>
      <c r="N748" s="2">
        <v>41226</v>
      </c>
      <c r="O748" s="5">
        <f t="shared" si="34"/>
        <v>205717740</v>
      </c>
      <c r="P748">
        <f>MAX(Table1[RATING COUNT])</f>
        <v>426973</v>
      </c>
    </row>
    <row r="749" spans="1:16">
      <c r="A749" t="s">
        <v>2286</v>
      </c>
      <c r="B749" t="s">
        <v>714</v>
      </c>
      <c r="D749" t="s">
        <v>1469</v>
      </c>
      <c r="E749" t="s">
        <v>1470</v>
      </c>
      <c r="F749" t="s">
        <v>1471</v>
      </c>
      <c r="H749" s="7">
        <v>425</v>
      </c>
      <c r="I749" s="7">
        <v>999</v>
      </c>
      <c r="J749" s="7" t="str">
        <f t="shared" si="35"/>
        <v>&gt;₹500</v>
      </c>
      <c r="K749" s="1">
        <v>0.56999999999999995</v>
      </c>
      <c r="L749" s="1" t="str">
        <f t="shared" si="33"/>
        <v>50% or More</v>
      </c>
      <c r="M749">
        <v>4</v>
      </c>
      <c r="N749" s="2">
        <v>2581</v>
      </c>
      <c r="O749" s="5">
        <f t="shared" si="34"/>
        <v>2578419</v>
      </c>
      <c r="P749">
        <f>MAX(Table1[RATING COUNT])</f>
        <v>426973</v>
      </c>
    </row>
    <row r="750" spans="1:16">
      <c r="A750" t="s">
        <v>2287</v>
      </c>
      <c r="B750" t="s">
        <v>715</v>
      </c>
      <c r="D750" t="s">
        <v>1352</v>
      </c>
      <c r="E750" t="s">
        <v>1360</v>
      </c>
      <c r="F750" t="s">
        <v>1370</v>
      </c>
      <c r="G750" t="s">
        <v>1459</v>
      </c>
      <c r="H750" s="7">
        <v>999</v>
      </c>
      <c r="I750" s="7">
        <v>2490</v>
      </c>
      <c r="J750" s="7" t="str">
        <f t="shared" si="35"/>
        <v>&gt;₹500</v>
      </c>
      <c r="K750" s="1">
        <v>0.6</v>
      </c>
      <c r="L750" s="1" t="str">
        <f t="shared" si="33"/>
        <v>50% or More</v>
      </c>
      <c r="M750">
        <v>4.0999999999999996</v>
      </c>
      <c r="N750" s="2">
        <v>18331</v>
      </c>
      <c r="O750" s="5">
        <f t="shared" si="34"/>
        <v>45644190</v>
      </c>
      <c r="P750">
        <f>MAX(Table1[RATING COUNT])</f>
        <v>426973</v>
      </c>
    </row>
    <row r="751" spans="1:16">
      <c r="A751" t="s">
        <v>2288</v>
      </c>
      <c r="B751" t="s">
        <v>716</v>
      </c>
      <c r="D751" t="s">
        <v>1345</v>
      </c>
      <c r="E751" t="s">
        <v>1346</v>
      </c>
      <c r="F751" t="s">
        <v>1401</v>
      </c>
      <c r="G751" t="s">
        <v>1403</v>
      </c>
      <c r="H751" s="7">
        <v>378</v>
      </c>
      <c r="I751" s="7">
        <v>999</v>
      </c>
      <c r="J751" s="7" t="str">
        <f t="shared" si="35"/>
        <v>&gt;₹500</v>
      </c>
      <c r="K751" s="1">
        <v>0.62</v>
      </c>
      <c r="L751" s="1" t="str">
        <f t="shared" si="33"/>
        <v>50% or More</v>
      </c>
      <c r="M751">
        <v>4.0999999999999996</v>
      </c>
      <c r="N751" s="2">
        <v>1779</v>
      </c>
      <c r="O751" s="5">
        <f t="shared" si="34"/>
        <v>1777221</v>
      </c>
      <c r="P751">
        <f>MAX(Table1[RATING COUNT])</f>
        <v>426973</v>
      </c>
    </row>
    <row r="752" spans="1:16">
      <c r="A752" t="s">
        <v>2289</v>
      </c>
      <c r="B752" t="s">
        <v>717</v>
      </c>
      <c r="D752" t="s">
        <v>1412</v>
      </c>
      <c r="E752" t="s">
        <v>1413</v>
      </c>
      <c r="F752" t="s">
        <v>1414</v>
      </c>
      <c r="G752" t="s">
        <v>1472</v>
      </c>
      <c r="H752" s="7">
        <v>99</v>
      </c>
      <c r="I752" s="7">
        <v>99</v>
      </c>
      <c r="J752" s="7" t="str">
        <f t="shared" si="35"/>
        <v>&lt;₹200</v>
      </c>
      <c r="K752" s="1">
        <v>0</v>
      </c>
      <c r="L752" s="1" t="str">
        <f t="shared" si="33"/>
        <v>&lt;50%</v>
      </c>
      <c r="M752">
        <v>4.3</v>
      </c>
      <c r="N752" s="2">
        <v>388</v>
      </c>
      <c r="O752" s="5">
        <f t="shared" si="34"/>
        <v>38412</v>
      </c>
      <c r="P752">
        <f>MAX(Table1[RATING COUNT])</f>
        <v>426973</v>
      </c>
    </row>
    <row r="753" spans="1:16">
      <c r="A753" t="s">
        <v>2290</v>
      </c>
      <c r="B753" t="s">
        <v>718</v>
      </c>
      <c r="D753" t="s">
        <v>1345</v>
      </c>
      <c r="E753" t="s">
        <v>1349</v>
      </c>
      <c r="F753" t="s">
        <v>1440</v>
      </c>
      <c r="H753" s="7">
        <v>1499</v>
      </c>
      <c r="I753" s="7">
        <v>2999</v>
      </c>
      <c r="J753" s="7" t="str">
        <f t="shared" si="35"/>
        <v>&gt;₹500</v>
      </c>
      <c r="K753" s="1">
        <v>0.5</v>
      </c>
      <c r="L753" s="1" t="str">
        <f t="shared" si="33"/>
        <v>50% or More</v>
      </c>
      <c r="M753">
        <v>4.5</v>
      </c>
      <c r="N753" s="2">
        <v>8656</v>
      </c>
      <c r="O753" s="5">
        <f t="shared" si="34"/>
        <v>25959344</v>
      </c>
      <c r="P753">
        <f>MAX(Table1[RATING COUNT])</f>
        <v>426973</v>
      </c>
    </row>
    <row r="754" spans="1:16">
      <c r="A754" t="s">
        <v>2291</v>
      </c>
      <c r="B754" t="s">
        <v>719</v>
      </c>
      <c r="D754" t="s">
        <v>1345</v>
      </c>
      <c r="E754" t="s">
        <v>1462</v>
      </c>
      <c r="F754" t="s">
        <v>1473</v>
      </c>
      <c r="H754" s="7">
        <v>1815</v>
      </c>
      <c r="I754" s="7">
        <v>3100</v>
      </c>
      <c r="J754" s="7" t="str">
        <f t="shared" si="35"/>
        <v>&gt;₹500</v>
      </c>
      <c r="K754" s="1">
        <v>0.41</v>
      </c>
      <c r="L754" s="1" t="str">
        <f t="shared" si="33"/>
        <v>&lt;50%</v>
      </c>
      <c r="M754">
        <v>4.5</v>
      </c>
      <c r="N754" s="2">
        <v>92925</v>
      </c>
      <c r="O754" s="5">
        <f t="shared" si="34"/>
        <v>288067500</v>
      </c>
      <c r="P754">
        <f>MAX(Table1[RATING COUNT])</f>
        <v>426973</v>
      </c>
    </row>
    <row r="755" spans="1:16">
      <c r="A755" t="s">
        <v>2292</v>
      </c>
      <c r="B755" t="s">
        <v>720</v>
      </c>
      <c r="D755" t="s">
        <v>1412</v>
      </c>
      <c r="E755" t="s">
        <v>1413</v>
      </c>
      <c r="F755" t="s">
        <v>1414</v>
      </c>
      <c r="G755" t="s">
        <v>1415</v>
      </c>
      <c r="H755" s="7">
        <v>67</v>
      </c>
      <c r="I755" s="7">
        <v>75</v>
      </c>
      <c r="J755" s="7" t="str">
        <f t="shared" si="35"/>
        <v>&lt;₹200</v>
      </c>
      <c r="K755" s="1">
        <v>0.11</v>
      </c>
      <c r="L755" s="1" t="str">
        <f t="shared" si="33"/>
        <v>&lt;50%</v>
      </c>
      <c r="M755">
        <v>4.0999999999999996</v>
      </c>
      <c r="N755" s="2">
        <v>1269</v>
      </c>
      <c r="O755" s="5">
        <f t="shared" si="34"/>
        <v>95175</v>
      </c>
      <c r="P755">
        <f>MAX(Table1[RATING COUNT])</f>
        <v>426973</v>
      </c>
    </row>
    <row r="756" spans="1:16">
      <c r="A756" t="s">
        <v>2293</v>
      </c>
      <c r="B756" t="s">
        <v>721</v>
      </c>
      <c r="D756" t="s">
        <v>1345</v>
      </c>
      <c r="E756" t="s">
        <v>1346</v>
      </c>
      <c r="F756" t="s">
        <v>1397</v>
      </c>
      <c r="G756" t="s">
        <v>1404</v>
      </c>
      <c r="H756" s="7">
        <v>1889</v>
      </c>
      <c r="I756" s="7">
        <v>2699</v>
      </c>
      <c r="J756" s="7" t="str">
        <f t="shared" si="35"/>
        <v>&gt;₹500</v>
      </c>
      <c r="K756" s="1">
        <v>0.3</v>
      </c>
      <c r="L756" s="1" t="str">
        <f t="shared" si="33"/>
        <v>&lt;50%</v>
      </c>
      <c r="M756">
        <v>4.3</v>
      </c>
      <c r="N756" s="2">
        <v>17394</v>
      </c>
      <c r="O756" s="5">
        <f t="shared" si="34"/>
        <v>46946406</v>
      </c>
      <c r="P756">
        <f>MAX(Table1[RATING COUNT])</f>
        <v>426973</v>
      </c>
    </row>
    <row r="757" spans="1:16">
      <c r="A757" t="s">
        <v>2294</v>
      </c>
      <c r="B757" t="s">
        <v>722</v>
      </c>
      <c r="D757" t="s">
        <v>1352</v>
      </c>
      <c r="E757" t="s">
        <v>1383</v>
      </c>
      <c r="F757" t="s">
        <v>1384</v>
      </c>
      <c r="G757" t="s">
        <v>1385</v>
      </c>
      <c r="H757" s="7">
        <v>499</v>
      </c>
      <c r="I757" s="7">
        <v>1499</v>
      </c>
      <c r="J757" s="7" t="str">
        <f t="shared" si="35"/>
        <v>&gt;₹500</v>
      </c>
      <c r="K757" s="1">
        <v>0.67</v>
      </c>
      <c r="L757" s="1" t="str">
        <f t="shared" si="33"/>
        <v>50% or More</v>
      </c>
      <c r="M757">
        <v>3.6</v>
      </c>
      <c r="N757" s="2">
        <v>9169</v>
      </c>
      <c r="O757" s="5">
        <f t="shared" si="34"/>
        <v>13744331</v>
      </c>
      <c r="P757">
        <f>MAX(Table1[RATING COUNT])</f>
        <v>426973</v>
      </c>
    </row>
    <row r="758" spans="1:16">
      <c r="A758" t="s">
        <v>2295</v>
      </c>
      <c r="B758" t="s">
        <v>723</v>
      </c>
      <c r="D758" t="s">
        <v>1345</v>
      </c>
      <c r="E758" t="s">
        <v>1346</v>
      </c>
      <c r="F758" t="s">
        <v>1401</v>
      </c>
      <c r="G758" t="s">
        <v>1432</v>
      </c>
      <c r="H758" s="7">
        <v>499</v>
      </c>
      <c r="I758" s="7">
        <v>999</v>
      </c>
      <c r="J758" s="7" t="str">
        <f t="shared" si="35"/>
        <v>&gt;₹500</v>
      </c>
      <c r="K758" s="1">
        <v>0.5</v>
      </c>
      <c r="L758" s="1" t="str">
        <f t="shared" si="33"/>
        <v>50% or More</v>
      </c>
      <c r="M758">
        <v>4.4000000000000004</v>
      </c>
      <c r="N758" s="2">
        <v>1030</v>
      </c>
      <c r="O758" s="5">
        <f t="shared" si="34"/>
        <v>1028970</v>
      </c>
      <c r="P758">
        <f>MAX(Table1[RATING COUNT])</f>
        <v>426973</v>
      </c>
    </row>
    <row r="759" spans="1:16">
      <c r="A759" t="s">
        <v>2296</v>
      </c>
      <c r="B759" t="s">
        <v>724</v>
      </c>
      <c r="D759" t="s">
        <v>1345</v>
      </c>
      <c r="E759" t="s">
        <v>1399</v>
      </c>
      <c r="F759" t="s">
        <v>1421</v>
      </c>
      <c r="H759" s="7">
        <v>5799</v>
      </c>
      <c r="I759" s="7">
        <v>7999</v>
      </c>
      <c r="J759" s="7" t="str">
        <f t="shared" si="35"/>
        <v>&gt;₹500</v>
      </c>
      <c r="K759" s="1">
        <v>0.28000000000000003</v>
      </c>
      <c r="L759" s="1" t="str">
        <f t="shared" si="33"/>
        <v>&lt;50%</v>
      </c>
      <c r="M759">
        <v>4.5</v>
      </c>
      <c r="N759" s="2">
        <v>50273</v>
      </c>
      <c r="O759" s="5">
        <f t="shared" si="34"/>
        <v>402133727</v>
      </c>
      <c r="P759">
        <f>MAX(Table1[RATING COUNT])</f>
        <v>426973</v>
      </c>
    </row>
    <row r="760" spans="1:16">
      <c r="A760" t="s">
        <v>2297</v>
      </c>
      <c r="B760" t="s">
        <v>725</v>
      </c>
      <c r="D760" t="s">
        <v>1352</v>
      </c>
      <c r="E760" t="s">
        <v>1360</v>
      </c>
      <c r="F760" t="s">
        <v>1370</v>
      </c>
      <c r="G760" t="s">
        <v>1474</v>
      </c>
      <c r="H760" s="7">
        <v>499</v>
      </c>
      <c r="I760" s="7">
        <v>799</v>
      </c>
      <c r="J760" s="7" t="str">
        <f t="shared" si="35"/>
        <v>&gt;₹500</v>
      </c>
      <c r="K760" s="1">
        <v>0.38</v>
      </c>
      <c r="L760" s="1" t="str">
        <f t="shared" si="33"/>
        <v>&lt;50%</v>
      </c>
      <c r="M760">
        <v>3.9</v>
      </c>
      <c r="N760" s="2">
        <v>6742</v>
      </c>
      <c r="O760" s="5">
        <f t="shared" si="34"/>
        <v>5386858</v>
      </c>
      <c r="P760">
        <f>MAX(Table1[RATING COUNT])</f>
        <v>426973</v>
      </c>
    </row>
    <row r="761" spans="1:16">
      <c r="A761" t="s">
        <v>2298</v>
      </c>
      <c r="B761" t="s">
        <v>726</v>
      </c>
      <c r="D761" t="s">
        <v>1345</v>
      </c>
      <c r="E761" t="s">
        <v>1346</v>
      </c>
      <c r="F761" t="s">
        <v>1401</v>
      </c>
      <c r="G761" t="s">
        <v>1403</v>
      </c>
      <c r="H761" s="7">
        <v>249</v>
      </c>
      <c r="I761" s="7">
        <v>600</v>
      </c>
      <c r="J761" s="7" t="str">
        <f t="shared" si="35"/>
        <v>&gt;₹500</v>
      </c>
      <c r="K761" s="1">
        <v>0.59</v>
      </c>
      <c r="L761" s="1" t="str">
        <f t="shared" si="33"/>
        <v>50% or More</v>
      </c>
      <c r="M761">
        <v>4</v>
      </c>
      <c r="N761" s="2">
        <v>1208</v>
      </c>
      <c r="O761" s="5">
        <f t="shared" si="34"/>
        <v>724800</v>
      </c>
      <c r="P761">
        <f>MAX(Table1[RATING COUNT])</f>
        <v>426973</v>
      </c>
    </row>
    <row r="762" spans="1:16">
      <c r="A762" t="s">
        <v>2299</v>
      </c>
      <c r="B762" t="s">
        <v>31</v>
      </c>
      <c r="D762" t="s">
        <v>1345</v>
      </c>
      <c r="E762" t="s">
        <v>1346</v>
      </c>
      <c r="F762" t="s">
        <v>1347</v>
      </c>
      <c r="G762" t="s">
        <v>1348</v>
      </c>
      <c r="H762" s="7">
        <v>179</v>
      </c>
      <c r="I762" s="7">
        <v>499</v>
      </c>
      <c r="J762" s="7" t="str">
        <f t="shared" si="35"/>
        <v>₹200–₹500</v>
      </c>
      <c r="K762" s="1">
        <v>0.64</v>
      </c>
      <c r="L762" s="1" t="str">
        <f t="shared" si="33"/>
        <v>50% or More</v>
      </c>
      <c r="M762">
        <v>4</v>
      </c>
      <c r="N762" s="2">
        <v>1933</v>
      </c>
      <c r="O762" s="5">
        <f t="shared" si="34"/>
        <v>964567</v>
      </c>
      <c r="P762">
        <f>MAX(Table1[RATING COUNT])</f>
        <v>426973</v>
      </c>
    </row>
    <row r="763" spans="1:16">
      <c r="A763" t="s">
        <v>2300</v>
      </c>
      <c r="B763" t="s">
        <v>727</v>
      </c>
      <c r="D763" t="s">
        <v>1345</v>
      </c>
      <c r="E763" t="s">
        <v>1399</v>
      </c>
      <c r="F763" t="s">
        <v>1421</v>
      </c>
      <c r="H763" s="7">
        <v>4449</v>
      </c>
      <c r="I763" s="7">
        <v>5734</v>
      </c>
      <c r="J763" s="7" t="str">
        <f t="shared" si="35"/>
        <v>&gt;₹500</v>
      </c>
      <c r="K763" s="1">
        <v>0.22</v>
      </c>
      <c r="L763" s="1" t="str">
        <f t="shared" si="33"/>
        <v>&lt;50%</v>
      </c>
      <c r="M763">
        <v>4.4000000000000004</v>
      </c>
      <c r="N763" s="2">
        <v>25006</v>
      </c>
      <c r="O763" s="5">
        <f t="shared" si="34"/>
        <v>143384404</v>
      </c>
      <c r="P763">
        <f>MAX(Table1[RATING COUNT])</f>
        <v>426973</v>
      </c>
    </row>
    <row r="764" spans="1:16">
      <c r="A764" t="s">
        <v>2301</v>
      </c>
      <c r="B764" t="s">
        <v>728</v>
      </c>
      <c r="D764" t="s">
        <v>1345</v>
      </c>
      <c r="E764" t="s">
        <v>1346</v>
      </c>
      <c r="F764" t="s">
        <v>1433</v>
      </c>
      <c r="G764" t="s">
        <v>1454</v>
      </c>
      <c r="H764" s="7">
        <v>299</v>
      </c>
      <c r="I764" s="7">
        <v>550</v>
      </c>
      <c r="J764" s="7" t="str">
        <f t="shared" si="35"/>
        <v>&gt;₹500</v>
      </c>
      <c r="K764" s="1">
        <v>0.46</v>
      </c>
      <c r="L764" s="1" t="str">
        <f t="shared" si="33"/>
        <v>&lt;50%</v>
      </c>
      <c r="M764">
        <v>4.5999999999999996</v>
      </c>
      <c r="N764" s="2">
        <v>33434</v>
      </c>
      <c r="O764" s="5">
        <f t="shared" si="34"/>
        <v>18388700</v>
      </c>
      <c r="P764">
        <f>MAX(Table1[RATING COUNT])</f>
        <v>426973</v>
      </c>
    </row>
    <row r="765" spans="1:16">
      <c r="A765" t="s">
        <v>2302</v>
      </c>
      <c r="B765" t="s">
        <v>729</v>
      </c>
      <c r="D765" t="s">
        <v>1345</v>
      </c>
      <c r="E765" t="s">
        <v>1346</v>
      </c>
      <c r="F765" t="s">
        <v>1401</v>
      </c>
      <c r="G765" t="s">
        <v>1402</v>
      </c>
      <c r="H765" s="7">
        <v>629</v>
      </c>
      <c r="I765" s="7">
        <v>1390</v>
      </c>
      <c r="J765" s="7" t="str">
        <f t="shared" si="35"/>
        <v>&gt;₹500</v>
      </c>
      <c r="K765" s="1">
        <v>0.55000000000000004</v>
      </c>
      <c r="L765" s="1" t="str">
        <f t="shared" si="33"/>
        <v>50% or More</v>
      </c>
      <c r="M765">
        <v>4.4000000000000004</v>
      </c>
      <c r="N765" s="2">
        <v>6301</v>
      </c>
      <c r="O765" s="5">
        <f t="shared" si="34"/>
        <v>8758390</v>
      </c>
      <c r="P765">
        <f>MAX(Table1[RATING COUNT])</f>
        <v>426973</v>
      </c>
    </row>
    <row r="766" spans="1:16">
      <c r="A766" t="s">
        <v>2303</v>
      </c>
      <c r="B766" t="s">
        <v>730</v>
      </c>
      <c r="D766" t="s">
        <v>1345</v>
      </c>
      <c r="E766" t="s">
        <v>1346</v>
      </c>
      <c r="F766" t="s">
        <v>1401</v>
      </c>
      <c r="G766" t="s">
        <v>1406</v>
      </c>
      <c r="H766" s="7">
        <v>2595</v>
      </c>
      <c r="I766" s="7">
        <v>3295</v>
      </c>
      <c r="J766" s="7" t="str">
        <f t="shared" si="35"/>
        <v>&gt;₹500</v>
      </c>
      <c r="K766" s="1">
        <v>0.21</v>
      </c>
      <c r="L766" s="1" t="str">
        <f t="shared" si="33"/>
        <v>&lt;50%</v>
      </c>
      <c r="M766">
        <v>4.4000000000000004</v>
      </c>
      <c r="N766" s="2">
        <v>22618</v>
      </c>
      <c r="O766" s="5">
        <f t="shared" si="34"/>
        <v>74526310</v>
      </c>
      <c r="P766">
        <f>MAX(Table1[RATING COUNT])</f>
        <v>426973</v>
      </c>
    </row>
    <row r="767" spans="1:16">
      <c r="A767" t="s">
        <v>2304</v>
      </c>
      <c r="B767" t="s">
        <v>731</v>
      </c>
      <c r="D767" t="s">
        <v>1345</v>
      </c>
      <c r="E767" t="s">
        <v>1349</v>
      </c>
      <c r="F767" t="s">
        <v>1440</v>
      </c>
      <c r="H767" s="7">
        <v>1799</v>
      </c>
      <c r="I767" s="7">
        <v>2911</v>
      </c>
      <c r="J767" s="7" t="str">
        <f t="shared" si="35"/>
        <v>&gt;₹500</v>
      </c>
      <c r="K767" s="1">
        <v>0.38</v>
      </c>
      <c r="L767" s="1" t="str">
        <f t="shared" si="33"/>
        <v>&lt;50%</v>
      </c>
      <c r="M767">
        <v>4.3</v>
      </c>
      <c r="N767" s="2">
        <v>20342</v>
      </c>
      <c r="O767" s="5">
        <f t="shared" si="34"/>
        <v>59215562</v>
      </c>
      <c r="P767">
        <f>MAX(Table1[RATING COUNT])</f>
        <v>426973</v>
      </c>
    </row>
    <row r="768" spans="1:16">
      <c r="A768" t="s">
        <v>2087</v>
      </c>
      <c r="B768" t="s">
        <v>732</v>
      </c>
      <c r="D768" t="s">
        <v>1412</v>
      </c>
      <c r="E768" t="s">
        <v>1413</v>
      </c>
      <c r="F768" t="s">
        <v>1414</v>
      </c>
      <c r="G768" t="s">
        <v>1415</v>
      </c>
      <c r="H768" s="7">
        <v>90</v>
      </c>
      <c r="I768" s="7">
        <v>175</v>
      </c>
      <c r="J768" s="7" t="str">
        <f t="shared" si="35"/>
        <v>&lt;₹200</v>
      </c>
      <c r="K768" s="1">
        <v>0.49</v>
      </c>
      <c r="L768" s="1" t="str">
        <f t="shared" si="33"/>
        <v>&lt;50%</v>
      </c>
      <c r="M768">
        <v>4.4000000000000004</v>
      </c>
      <c r="N768" s="2">
        <v>7429</v>
      </c>
      <c r="O768" s="5">
        <f t="shared" si="34"/>
        <v>1300075</v>
      </c>
      <c r="P768">
        <f>MAX(Table1[RATING COUNT])</f>
        <v>426973</v>
      </c>
    </row>
    <row r="769" spans="1:16">
      <c r="A769" t="s">
        <v>2305</v>
      </c>
      <c r="B769" t="s">
        <v>733</v>
      </c>
      <c r="D769" t="s">
        <v>1345</v>
      </c>
      <c r="E769" t="s">
        <v>1346</v>
      </c>
      <c r="F769" t="s">
        <v>1397</v>
      </c>
      <c r="G769" t="s">
        <v>1404</v>
      </c>
      <c r="H769" s="7">
        <v>599</v>
      </c>
      <c r="I769" s="7">
        <v>599</v>
      </c>
      <c r="J769" s="7" t="str">
        <f t="shared" si="35"/>
        <v>&gt;₹500</v>
      </c>
      <c r="K769" s="1">
        <v>0</v>
      </c>
      <c r="L769" s="1" t="str">
        <f t="shared" si="33"/>
        <v>&lt;50%</v>
      </c>
      <c r="M769">
        <v>4</v>
      </c>
      <c r="N769" s="2">
        <v>26423</v>
      </c>
      <c r="O769" s="5">
        <f t="shared" si="34"/>
        <v>15827377</v>
      </c>
      <c r="P769">
        <f>MAX(Table1[RATING COUNT])</f>
        <v>426973</v>
      </c>
    </row>
    <row r="770" spans="1:16">
      <c r="A770" t="s">
        <v>1637</v>
      </c>
      <c r="B770" t="s">
        <v>734</v>
      </c>
      <c r="D770" t="s">
        <v>1352</v>
      </c>
      <c r="E770" t="s">
        <v>1373</v>
      </c>
      <c r="F770" t="s">
        <v>1374</v>
      </c>
      <c r="H770" s="7">
        <v>1999</v>
      </c>
      <c r="I770" s="7">
        <v>7999</v>
      </c>
      <c r="J770" s="7" t="str">
        <f t="shared" si="35"/>
        <v>&gt;₹500</v>
      </c>
      <c r="K770" s="1">
        <v>0.75</v>
      </c>
      <c r="L770" s="1" t="str">
        <f t="shared" ref="L770:L833" si="36">IF(K770&gt;=50%,"50% or More","&lt;50%")</f>
        <v>50% or More</v>
      </c>
      <c r="M770">
        <v>4.2</v>
      </c>
      <c r="N770" s="2">
        <v>31305</v>
      </c>
      <c r="O770" s="5">
        <f t="shared" ref="O770:O833" si="37">I770*N770</f>
        <v>250408695</v>
      </c>
      <c r="P770">
        <f>MAX(Table1[RATING COUNT])</f>
        <v>426973</v>
      </c>
    </row>
    <row r="771" spans="1:16">
      <c r="A771" t="s">
        <v>2306</v>
      </c>
      <c r="B771" t="s">
        <v>735</v>
      </c>
      <c r="D771" t="s">
        <v>1345</v>
      </c>
      <c r="E771" t="s">
        <v>1349</v>
      </c>
      <c r="F771" t="s">
        <v>1475</v>
      </c>
      <c r="H771" s="7">
        <v>2099</v>
      </c>
      <c r="I771" s="7">
        <v>3250</v>
      </c>
      <c r="J771" s="7" t="str">
        <f t="shared" ref="J771:J834" si="38">IF(I771&lt;200, "&lt;₹200", IF(I771&lt;=500, "₹200–₹500", "&gt;₹500"))</f>
        <v>&gt;₹500</v>
      </c>
      <c r="K771" s="1">
        <v>0.35</v>
      </c>
      <c r="L771" s="1" t="str">
        <f t="shared" si="36"/>
        <v>&lt;50%</v>
      </c>
      <c r="M771">
        <v>3.8</v>
      </c>
      <c r="N771" s="2">
        <v>11213</v>
      </c>
      <c r="O771" s="5">
        <f t="shared" si="37"/>
        <v>36442250</v>
      </c>
      <c r="P771">
        <f>MAX(Table1[RATING COUNT])</f>
        <v>426973</v>
      </c>
    </row>
    <row r="772" spans="1:16">
      <c r="A772" t="s">
        <v>2307</v>
      </c>
      <c r="B772" t="s">
        <v>736</v>
      </c>
      <c r="D772" t="s">
        <v>1345</v>
      </c>
      <c r="E772" t="s">
        <v>1346</v>
      </c>
      <c r="F772" t="s">
        <v>1397</v>
      </c>
      <c r="G772" t="s">
        <v>1476</v>
      </c>
      <c r="H772" s="7">
        <v>179</v>
      </c>
      <c r="I772" s="7">
        <v>499</v>
      </c>
      <c r="J772" s="7" t="str">
        <f t="shared" si="38"/>
        <v>₹200–₹500</v>
      </c>
      <c r="K772" s="1">
        <v>0.64</v>
      </c>
      <c r="L772" s="1" t="str">
        <f t="shared" si="36"/>
        <v>50% or More</v>
      </c>
      <c r="M772">
        <v>4.0999999999999996</v>
      </c>
      <c r="N772" s="2">
        <v>10174</v>
      </c>
      <c r="O772" s="5">
        <f t="shared" si="37"/>
        <v>5076826</v>
      </c>
      <c r="P772">
        <f>MAX(Table1[RATING COUNT])</f>
        <v>426973</v>
      </c>
    </row>
    <row r="773" spans="1:16">
      <c r="A773" t="s">
        <v>1639</v>
      </c>
      <c r="B773" t="s">
        <v>737</v>
      </c>
      <c r="D773" t="s">
        <v>1345</v>
      </c>
      <c r="E773" t="s">
        <v>1346</v>
      </c>
      <c r="F773" t="s">
        <v>1401</v>
      </c>
      <c r="G773" t="s">
        <v>1420</v>
      </c>
      <c r="H773" s="7">
        <v>1345</v>
      </c>
      <c r="I773" s="7">
        <v>2295</v>
      </c>
      <c r="J773" s="7" t="str">
        <f t="shared" si="38"/>
        <v>&gt;₹500</v>
      </c>
      <c r="K773" s="1">
        <v>0.41</v>
      </c>
      <c r="L773" s="1" t="str">
        <f t="shared" si="36"/>
        <v>&lt;50%</v>
      </c>
      <c r="M773">
        <v>4.2</v>
      </c>
      <c r="N773" s="2">
        <v>17413</v>
      </c>
      <c r="O773" s="5">
        <f t="shared" si="37"/>
        <v>39962835</v>
      </c>
      <c r="P773">
        <f>MAX(Table1[RATING COUNT])</f>
        <v>426973</v>
      </c>
    </row>
    <row r="774" spans="1:16">
      <c r="A774" t="s">
        <v>2308</v>
      </c>
      <c r="B774" t="s">
        <v>738</v>
      </c>
      <c r="D774" t="s">
        <v>1352</v>
      </c>
      <c r="E774" t="s">
        <v>1422</v>
      </c>
      <c r="F774" t="s">
        <v>1354</v>
      </c>
      <c r="G774" t="s">
        <v>1424</v>
      </c>
      <c r="H774" s="7">
        <v>349</v>
      </c>
      <c r="I774" s="7">
        <v>995</v>
      </c>
      <c r="J774" s="7" t="str">
        <f t="shared" si="38"/>
        <v>&gt;₹500</v>
      </c>
      <c r="K774" s="1">
        <v>0.65</v>
      </c>
      <c r="L774" s="1" t="str">
        <f t="shared" si="36"/>
        <v>50% or More</v>
      </c>
      <c r="M774">
        <v>4.2</v>
      </c>
      <c r="N774" s="2">
        <v>6676</v>
      </c>
      <c r="O774" s="5">
        <f t="shared" si="37"/>
        <v>6642620</v>
      </c>
      <c r="P774">
        <f>MAX(Table1[RATING COUNT])</f>
        <v>426973</v>
      </c>
    </row>
    <row r="775" spans="1:16">
      <c r="A775" t="s">
        <v>2309</v>
      </c>
      <c r="B775" t="s">
        <v>739</v>
      </c>
      <c r="D775" t="s">
        <v>1345</v>
      </c>
      <c r="E775" t="s">
        <v>1346</v>
      </c>
      <c r="F775" t="s">
        <v>1347</v>
      </c>
      <c r="G775" t="s">
        <v>1348</v>
      </c>
      <c r="H775" s="7">
        <v>287</v>
      </c>
      <c r="I775" s="7">
        <v>499</v>
      </c>
      <c r="J775" s="7" t="str">
        <f t="shared" si="38"/>
        <v>₹200–₹500</v>
      </c>
      <c r="K775" s="1">
        <v>0.42</v>
      </c>
      <c r="L775" s="1" t="str">
        <f t="shared" si="36"/>
        <v>&lt;50%</v>
      </c>
      <c r="M775">
        <v>4.4000000000000004</v>
      </c>
      <c r="N775" s="2">
        <v>8076</v>
      </c>
      <c r="O775" s="5">
        <f t="shared" si="37"/>
        <v>4029924</v>
      </c>
      <c r="P775">
        <f>MAX(Table1[RATING COUNT])</f>
        <v>426973</v>
      </c>
    </row>
    <row r="776" spans="1:16">
      <c r="A776" t="s">
        <v>2310</v>
      </c>
      <c r="B776" t="s">
        <v>740</v>
      </c>
      <c r="D776" t="s">
        <v>1345</v>
      </c>
      <c r="E776" t="s">
        <v>1399</v>
      </c>
      <c r="F776" t="s">
        <v>1400</v>
      </c>
      <c r="H776" s="7">
        <v>349</v>
      </c>
      <c r="I776" s="7">
        <v>450</v>
      </c>
      <c r="J776" s="7" t="str">
        <f t="shared" si="38"/>
        <v>₹200–₹500</v>
      </c>
      <c r="K776" s="1">
        <v>0.22</v>
      </c>
      <c r="L776" s="1" t="str">
        <f t="shared" si="36"/>
        <v>&lt;50%</v>
      </c>
      <c r="M776">
        <v>4.0999999999999996</v>
      </c>
      <c r="N776" s="2">
        <v>18656</v>
      </c>
      <c r="O776" s="5">
        <f t="shared" si="37"/>
        <v>8395200</v>
      </c>
      <c r="P776">
        <f>MAX(Table1[RATING COUNT])</f>
        <v>426973</v>
      </c>
    </row>
    <row r="777" spans="1:16">
      <c r="A777" t="s">
        <v>2311</v>
      </c>
      <c r="B777" t="s">
        <v>741</v>
      </c>
      <c r="D777" t="s">
        <v>1352</v>
      </c>
      <c r="E777" t="s">
        <v>1410</v>
      </c>
      <c r="F777" t="s">
        <v>1411</v>
      </c>
      <c r="H777" s="7">
        <v>879</v>
      </c>
      <c r="I777" s="7">
        <v>1109</v>
      </c>
      <c r="J777" s="7" t="str">
        <f t="shared" si="38"/>
        <v>&gt;₹500</v>
      </c>
      <c r="K777" s="1">
        <v>0.21</v>
      </c>
      <c r="L777" s="1" t="str">
        <f t="shared" si="36"/>
        <v>&lt;50%</v>
      </c>
      <c r="M777">
        <v>4.4000000000000004</v>
      </c>
      <c r="N777" s="2">
        <v>31599</v>
      </c>
      <c r="O777" s="5">
        <f t="shared" si="37"/>
        <v>35043291</v>
      </c>
      <c r="P777">
        <f>MAX(Table1[RATING COUNT])</f>
        <v>426973</v>
      </c>
    </row>
    <row r="778" spans="1:16">
      <c r="A778" t="s">
        <v>2312</v>
      </c>
      <c r="B778" t="s">
        <v>742</v>
      </c>
      <c r="D778" t="s">
        <v>1352</v>
      </c>
      <c r="E778" t="s">
        <v>1410</v>
      </c>
      <c r="F778" t="s">
        <v>1443</v>
      </c>
      <c r="H778" s="7">
        <v>250</v>
      </c>
      <c r="I778" s="7">
        <v>250</v>
      </c>
      <c r="J778" s="7" t="str">
        <f t="shared" si="38"/>
        <v>₹200–₹500</v>
      </c>
      <c r="K778" s="1">
        <v>0</v>
      </c>
      <c r="L778" s="1" t="str">
        <f t="shared" si="36"/>
        <v>&lt;50%</v>
      </c>
      <c r="M778">
        <v>3.9</v>
      </c>
      <c r="N778" s="2">
        <v>13971</v>
      </c>
      <c r="O778" s="5">
        <f t="shared" si="37"/>
        <v>3492750</v>
      </c>
      <c r="P778">
        <f>MAX(Table1[RATING COUNT])</f>
        <v>426973</v>
      </c>
    </row>
    <row r="779" spans="1:16">
      <c r="A779" t="s">
        <v>2313</v>
      </c>
      <c r="B779" t="s">
        <v>743</v>
      </c>
      <c r="D779" t="s">
        <v>1352</v>
      </c>
      <c r="E779" t="s">
        <v>1383</v>
      </c>
      <c r="F779" t="s">
        <v>1384</v>
      </c>
      <c r="G779" t="s">
        <v>1385</v>
      </c>
      <c r="H779" s="7">
        <v>199</v>
      </c>
      <c r="I779" s="7">
        <v>499</v>
      </c>
      <c r="J779" s="7" t="str">
        <f t="shared" si="38"/>
        <v>₹200–₹500</v>
      </c>
      <c r="K779" s="1">
        <v>0.6</v>
      </c>
      <c r="L779" s="1" t="str">
        <f t="shared" si="36"/>
        <v>50% or More</v>
      </c>
      <c r="M779">
        <v>3.6</v>
      </c>
      <c r="N779" s="2">
        <v>2492</v>
      </c>
      <c r="O779" s="5">
        <f t="shared" si="37"/>
        <v>1243508</v>
      </c>
      <c r="P779">
        <f>MAX(Table1[RATING COUNT])</f>
        <v>426973</v>
      </c>
    </row>
    <row r="780" spans="1:16">
      <c r="A780" t="s">
        <v>2314</v>
      </c>
      <c r="B780" t="s">
        <v>37</v>
      </c>
      <c r="D780" t="s">
        <v>1345</v>
      </c>
      <c r="E780" t="s">
        <v>1346</v>
      </c>
      <c r="F780" t="s">
        <v>1347</v>
      </c>
      <c r="G780" t="s">
        <v>1348</v>
      </c>
      <c r="H780" s="7">
        <v>199</v>
      </c>
      <c r="I780" s="7">
        <v>999</v>
      </c>
      <c r="J780" s="7" t="str">
        <f t="shared" si="38"/>
        <v>&gt;₹500</v>
      </c>
      <c r="K780" s="1">
        <v>0.8</v>
      </c>
      <c r="L780" s="1" t="str">
        <f t="shared" si="36"/>
        <v>50% or More</v>
      </c>
      <c r="M780">
        <v>4</v>
      </c>
      <c r="N780" s="2">
        <v>575</v>
      </c>
      <c r="O780" s="5">
        <f t="shared" si="37"/>
        <v>574425</v>
      </c>
      <c r="P780">
        <f>MAX(Table1[RATING COUNT])</f>
        <v>426973</v>
      </c>
    </row>
    <row r="781" spans="1:16">
      <c r="A781" t="s">
        <v>2315</v>
      </c>
      <c r="B781" t="s">
        <v>744</v>
      </c>
      <c r="D781" t="s">
        <v>1345</v>
      </c>
      <c r="E781" t="s">
        <v>1346</v>
      </c>
      <c r="F781" t="s">
        <v>1397</v>
      </c>
      <c r="G781" t="s">
        <v>1476</v>
      </c>
      <c r="H781" s="7">
        <v>149</v>
      </c>
      <c r="I781" s="7">
        <v>999</v>
      </c>
      <c r="J781" s="7" t="str">
        <f t="shared" si="38"/>
        <v>&gt;₹500</v>
      </c>
      <c r="K781" s="1">
        <v>0.85</v>
      </c>
      <c r="L781" s="1" t="str">
        <f t="shared" si="36"/>
        <v>50% or More</v>
      </c>
      <c r="M781">
        <v>3.5</v>
      </c>
      <c r="N781" s="2">
        <v>2523</v>
      </c>
      <c r="O781" s="5">
        <f t="shared" si="37"/>
        <v>2520477</v>
      </c>
      <c r="P781">
        <f>MAX(Table1[RATING COUNT])</f>
        <v>426973</v>
      </c>
    </row>
    <row r="782" spans="1:16">
      <c r="A782" t="s">
        <v>2316</v>
      </c>
      <c r="B782" t="s">
        <v>745</v>
      </c>
      <c r="D782" t="s">
        <v>1345</v>
      </c>
      <c r="E782" t="s">
        <v>1346</v>
      </c>
      <c r="F782" t="s">
        <v>1401</v>
      </c>
      <c r="G782" t="s">
        <v>1403</v>
      </c>
      <c r="H782" s="7">
        <v>469</v>
      </c>
      <c r="I782" s="7">
        <v>1499</v>
      </c>
      <c r="J782" s="7" t="str">
        <f t="shared" si="38"/>
        <v>&gt;₹500</v>
      </c>
      <c r="K782" s="1">
        <v>0.69</v>
      </c>
      <c r="L782" s="1" t="str">
        <f t="shared" si="36"/>
        <v>50% or More</v>
      </c>
      <c r="M782">
        <v>4.0999999999999996</v>
      </c>
      <c r="N782" s="2">
        <v>352</v>
      </c>
      <c r="O782" s="5">
        <f t="shared" si="37"/>
        <v>527648</v>
      </c>
      <c r="P782">
        <f>MAX(Table1[RATING COUNT])</f>
        <v>426973</v>
      </c>
    </row>
    <row r="783" spans="1:16">
      <c r="A783" t="s">
        <v>2317</v>
      </c>
      <c r="B783" t="s">
        <v>746</v>
      </c>
      <c r="D783" t="s">
        <v>1345</v>
      </c>
      <c r="E783" t="s">
        <v>1346</v>
      </c>
      <c r="F783" t="s">
        <v>1456</v>
      </c>
      <c r="H783" s="7">
        <v>1187</v>
      </c>
      <c r="I783" s="7">
        <v>1929</v>
      </c>
      <c r="J783" s="7" t="str">
        <f t="shared" si="38"/>
        <v>&gt;₹500</v>
      </c>
      <c r="K783" s="1">
        <v>0.38</v>
      </c>
      <c r="L783" s="1" t="str">
        <f t="shared" si="36"/>
        <v>&lt;50%</v>
      </c>
      <c r="M783">
        <v>4.0999999999999996</v>
      </c>
      <c r="N783" s="2">
        <v>1662</v>
      </c>
      <c r="O783" s="5">
        <f t="shared" si="37"/>
        <v>3205998</v>
      </c>
      <c r="P783">
        <f>MAX(Table1[RATING COUNT])</f>
        <v>426973</v>
      </c>
    </row>
    <row r="784" spans="1:16">
      <c r="A784" t="s">
        <v>2318</v>
      </c>
      <c r="B784" t="s">
        <v>747</v>
      </c>
      <c r="D784" t="s">
        <v>1345</v>
      </c>
      <c r="E784" t="s">
        <v>1346</v>
      </c>
      <c r="F784" t="s">
        <v>1457</v>
      </c>
      <c r="G784" t="s">
        <v>1477</v>
      </c>
      <c r="H784" s="7">
        <v>849</v>
      </c>
      <c r="I784" s="7">
        <v>1499</v>
      </c>
      <c r="J784" s="7" t="str">
        <f t="shared" si="38"/>
        <v>&gt;₹500</v>
      </c>
      <c r="K784" s="1">
        <v>0.43</v>
      </c>
      <c r="L784" s="1" t="str">
        <f t="shared" si="36"/>
        <v>&lt;50%</v>
      </c>
      <c r="M784">
        <v>4</v>
      </c>
      <c r="N784" s="2">
        <v>7352</v>
      </c>
      <c r="O784" s="5">
        <f t="shared" si="37"/>
        <v>11020648</v>
      </c>
      <c r="P784">
        <f>MAX(Table1[RATING COUNT])</f>
        <v>426973</v>
      </c>
    </row>
    <row r="785" spans="1:16">
      <c r="A785" t="s">
        <v>2319</v>
      </c>
      <c r="B785" t="s">
        <v>748</v>
      </c>
      <c r="D785" t="s">
        <v>1345</v>
      </c>
      <c r="E785" t="s">
        <v>1346</v>
      </c>
      <c r="F785" t="s">
        <v>1401</v>
      </c>
      <c r="G785" t="s">
        <v>1402</v>
      </c>
      <c r="H785" s="7">
        <v>328</v>
      </c>
      <c r="I785" s="7">
        <v>399</v>
      </c>
      <c r="J785" s="7" t="str">
        <f t="shared" si="38"/>
        <v>₹200–₹500</v>
      </c>
      <c r="K785" s="1">
        <v>0.18</v>
      </c>
      <c r="L785" s="1" t="str">
        <f t="shared" si="36"/>
        <v>&lt;50%</v>
      </c>
      <c r="M785">
        <v>4.0999999999999996</v>
      </c>
      <c r="N785" s="2">
        <v>3441</v>
      </c>
      <c r="O785" s="5">
        <f t="shared" si="37"/>
        <v>1372959</v>
      </c>
      <c r="P785">
        <f>MAX(Table1[RATING COUNT])</f>
        <v>426973</v>
      </c>
    </row>
    <row r="786" spans="1:16">
      <c r="A786" t="s">
        <v>1638</v>
      </c>
      <c r="B786" t="s">
        <v>749</v>
      </c>
      <c r="D786" t="s">
        <v>1345</v>
      </c>
      <c r="E786" t="s">
        <v>1346</v>
      </c>
      <c r="F786" t="s">
        <v>1397</v>
      </c>
      <c r="G786" t="s">
        <v>1404</v>
      </c>
      <c r="H786" s="7">
        <v>269</v>
      </c>
      <c r="I786" s="7">
        <v>699</v>
      </c>
      <c r="J786" s="7" t="str">
        <f t="shared" si="38"/>
        <v>&gt;₹500</v>
      </c>
      <c r="K786" s="1">
        <v>0.62</v>
      </c>
      <c r="L786" s="1" t="str">
        <f t="shared" si="36"/>
        <v>50% or More</v>
      </c>
      <c r="M786">
        <v>4</v>
      </c>
      <c r="N786" s="2">
        <v>93</v>
      </c>
      <c r="O786" s="5">
        <f t="shared" si="37"/>
        <v>65007</v>
      </c>
      <c r="P786">
        <f>MAX(Table1[RATING COUNT])</f>
        <v>426973</v>
      </c>
    </row>
    <row r="787" spans="1:16">
      <c r="A787" t="s">
        <v>2320</v>
      </c>
      <c r="B787" t="s">
        <v>750</v>
      </c>
      <c r="D787" t="s">
        <v>1352</v>
      </c>
      <c r="E787" t="s">
        <v>1422</v>
      </c>
      <c r="F787" t="s">
        <v>1354</v>
      </c>
      <c r="G787" t="s">
        <v>1478</v>
      </c>
      <c r="H787" s="7">
        <v>299</v>
      </c>
      <c r="I787" s="7">
        <v>400</v>
      </c>
      <c r="J787" s="7" t="str">
        <f t="shared" si="38"/>
        <v>₹200–₹500</v>
      </c>
      <c r="K787" s="1">
        <v>0.25</v>
      </c>
      <c r="L787" s="1" t="str">
        <f t="shared" si="36"/>
        <v>&lt;50%</v>
      </c>
      <c r="M787">
        <v>3.8</v>
      </c>
      <c r="N787" s="2">
        <v>40895</v>
      </c>
      <c r="O787" s="5">
        <f t="shared" si="37"/>
        <v>16358000</v>
      </c>
      <c r="P787">
        <f>MAX(Table1[RATING COUNT])</f>
        <v>426973</v>
      </c>
    </row>
    <row r="788" spans="1:16">
      <c r="A788" t="s">
        <v>2321</v>
      </c>
      <c r="B788" t="s">
        <v>751</v>
      </c>
      <c r="D788" t="s">
        <v>1345</v>
      </c>
      <c r="E788" t="s">
        <v>1346</v>
      </c>
      <c r="F788" t="s">
        <v>1453</v>
      </c>
      <c r="G788" t="s">
        <v>1479</v>
      </c>
      <c r="H788" s="7">
        <v>549</v>
      </c>
      <c r="I788" s="7">
        <v>1499</v>
      </c>
      <c r="J788" s="7" t="str">
        <f t="shared" si="38"/>
        <v>&gt;₹500</v>
      </c>
      <c r="K788" s="1">
        <v>0.63</v>
      </c>
      <c r="L788" s="1" t="str">
        <f t="shared" si="36"/>
        <v>50% or More</v>
      </c>
      <c r="M788">
        <v>4.3</v>
      </c>
      <c r="N788" s="2">
        <v>11006</v>
      </c>
      <c r="O788" s="5">
        <f t="shared" si="37"/>
        <v>16497994</v>
      </c>
      <c r="P788">
        <f>MAX(Table1[RATING COUNT])</f>
        <v>426973</v>
      </c>
    </row>
    <row r="789" spans="1:16">
      <c r="A789" t="s">
        <v>2322</v>
      </c>
      <c r="B789" t="s">
        <v>752</v>
      </c>
      <c r="D789" t="s">
        <v>1412</v>
      </c>
      <c r="E789" t="s">
        <v>1413</v>
      </c>
      <c r="F789" t="s">
        <v>1414</v>
      </c>
      <c r="G789" t="s">
        <v>1415</v>
      </c>
      <c r="H789" s="7">
        <v>114</v>
      </c>
      <c r="I789" s="7">
        <v>120</v>
      </c>
      <c r="J789" s="7" t="str">
        <f t="shared" si="38"/>
        <v>&lt;₹200</v>
      </c>
      <c r="K789" s="1">
        <v>0.05</v>
      </c>
      <c r="L789" s="1" t="str">
        <f t="shared" si="36"/>
        <v>&lt;50%</v>
      </c>
      <c r="M789">
        <v>4.2</v>
      </c>
      <c r="N789" s="2">
        <v>8938</v>
      </c>
      <c r="O789" s="5">
        <f t="shared" si="37"/>
        <v>1072560</v>
      </c>
      <c r="P789">
        <f>MAX(Table1[RATING COUNT])</f>
        <v>426973</v>
      </c>
    </row>
    <row r="790" spans="1:16">
      <c r="A790" t="s">
        <v>2323</v>
      </c>
      <c r="B790" t="s">
        <v>753</v>
      </c>
      <c r="D790" t="s">
        <v>1412</v>
      </c>
      <c r="E790" t="s">
        <v>1413</v>
      </c>
      <c r="F790" t="s">
        <v>1414</v>
      </c>
      <c r="G790" t="s">
        <v>1415</v>
      </c>
      <c r="H790" s="7">
        <v>120</v>
      </c>
      <c r="I790" s="7">
        <v>120</v>
      </c>
      <c r="J790" s="7" t="str">
        <f t="shared" si="38"/>
        <v>&lt;₹200</v>
      </c>
      <c r="K790" s="1">
        <v>0</v>
      </c>
      <c r="L790" s="1" t="str">
        <f t="shared" si="36"/>
        <v>&lt;50%</v>
      </c>
      <c r="M790">
        <v>4.0999999999999996</v>
      </c>
      <c r="N790" s="2">
        <v>4308</v>
      </c>
      <c r="O790" s="5">
        <f t="shared" si="37"/>
        <v>516960</v>
      </c>
      <c r="P790">
        <f>MAX(Table1[RATING COUNT])</f>
        <v>426973</v>
      </c>
    </row>
    <row r="791" spans="1:16">
      <c r="A791" t="s">
        <v>2324</v>
      </c>
      <c r="B791" t="s">
        <v>40</v>
      </c>
      <c r="D791" t="s">
        <v>1345</v>
      </c>
      <c r="E791" t="s">
        <v>1346</v>
      </c>
      <c r="F791" t="s">
        <v>1347</v>
      </c>
      <c r="G791" t="s">
        <v>1348</v>
      </c>
      <c r="H791" s="7">
        <v>209</v>
      </c>
      <c r="I791" s="7">
        <v>695</v>
      </c>
      <c r="J791" s="7" t="str">
        <f t="shared" si="38"/>
        <v>&gt;₹500</v>
      </c>
      <c r="K791" s="1">
        <v>0.7</v>
      </c>
      <c r="L791" s="1" t="str">
        <f t="shared" si="36"/>
        <v>50% or More</v>
      </c>
      <c r="M791">
        <v>4.5</v>
      </c>
      <c r="N791" s="2">
        <v>107686</v>
      </c>
      <c r="O791" s="5">
        <f t="shared" si="37"/>
        <v>74841770</v>
      </c>
      <c r="P791">
        <f>MAX(Table1[RATING COUNT])</f>
        <v>426973</v>
      </c>
    </row>
    <row r="792" spans="1:16">
      <c r="A792" t="s">
        <v>2325</v>
      </c>
      <c r="B792" t="s">
        <v>754</v>
      </c>
      <c r="D792" t="s">
        <v>1345</v>
      </c>
      <c r="E792" t="s">
        <v>1346</v>
      </c>
      <c r="F792" t="s">
        <v>1401</v>
      </c>
      <c r="G792" t="s">
        <v>1402</v>
      </c>
      <c r="H792" s="7">
        <v>1490</v>
      </c>
      <c r="I792" s="7">
        <v>2295</v>
      </c>
      <c r="J792" s="7" t="str">
        <f t="shared" si="38"/>
        <v>&gt;₹500</v>
      </c>
      <c r="K792" s="1">
        <v>0.35</v>
      </c>
      <c r="L792" s="1" t="str">
        <f t="shared" si="36"/>
        <v>&lt;50%</v>
      </c>
      <c r="M792">
        <v>4.5999999999999996</v>
      </c>
      <c r="N792" s="2">
        <v>10652</v>
      </c>
      <c r="O792" s="5">
        <f t="shared" si="37"/>
        <v>24446340</v>
      </c>
      <c r="P792">
        <f>MAX(Table1[RATING COUNT])</f>
        <v>426973</v>
      </c>
    </row>
    <row r="793" spans="1:16">
      <c r="A793" t="s">
        <v>2326</v>
      </c>
      <c r="B793" t="s">
        <v>755</v>
      </c>
      <c r="D793" t="s">
        <v>1416</v>
      </c>
      <c r="E793" t="s">
        <v>1417</v>
      </c>
      <c r="F793" t="s">
        <v>1480</v>
      </c>
      <c r="G793" t="s">
        <v>1481</v>
      </c>
      <c r="H793" s="7">
        <v>99</v>
      </c>
      <c r="I793" s="7">
        <v>99</v>
      </c>
      <c r="J793" s="7" t="str">
        <f t="shared" si="38"/>
        <v>&lt;₹200</v>
      </c>
      <c r="K793" s="1">
        <v>0</v>
      </c>
      <c r="L793" s="1" t="str">
        <f t="shared" si="36"/>
        <v>&lt;50%</v>
      </c>
      <c r="M793">
        <v>4.3</v>
      </c>
      <c r="N793" s="2">
        <v>5036</v>
      </c>
      <c r="O793" s="5">
        <f t="shared" si="37"/>
        <v>498564</v>
      </c>
      <c r="P793">
        <f>MAX(Table1[RATING COUNT])</f>
        <v>426973</v>
      </c>
    </row>
    <row r="794" spans="1:16">
      <c r="A794" t="s">
        <v>2327</v>
      </c>
      <c r="B794" t="s">
        <v>756</v>
      </c>
      <c r="D794" t="s">
        <v>1345</v>
      </c>
      <c r="E794" t="s">
        <v>1346</v>
      </c>
      <c r="F794" t="s">
        <v>1401</v>
      </c>
      <c r="G794" t="s">
        <v>1402</v>
      </c>
      <c r="H794" s="7">
        <v>149</v>
      </c>
      <c r="I794" s="7">
        <v>249</v>
      </c>
      <c r="J794" s="7" t="str">
        <f t="shared" si="38"/>
        <v>₹200–₹500</v>
      </c>
      <c r="K794" s="1">
        <v>0.4</v>
      </c>
      <c r="L794" s="1" t="str">
        <f t="shared" si="36"/>
        <v>&lt;50%</v>
      </c>
      <c r="M794">
        <v>4</v>
      </c>
      <c r="N794" s="2">
        <v>5057</v>
      </c>
      <c r="O794" s="5">
        <f t="shared" si="37"/>
        <v>1259193</v>
      </c>
      <c r="P794">
        <f>MAX(Table1[RATING COUNT])</f>
        <v>426973</v>
      </c>
    </row>
    <row r="795" spans="1:16">
      <c r="A795" t="s">
        <v>2328</v>
      </c>
      <c r="B795" t="s">
        <v>757</v>
      </c>
      <c r="D795" t="s">
        <v>1345</v>
      </c>
      <c r="E795" t="s">
        <v>1346</v>
      </c>
      <c r="F795" t="s">
        <v>1433</v>
      </c>
      <c r="G795" t="s">
        <v>1434</v>
      </c>
      <c r="H795" s="7">
        <v>575</v>
      </c>
      <c r="I795" s="7">
        <v>2799</v>
      </c>
      <c r="J795" s="7" t="str">
        <f t="shared" si="38"/>
        <v>&gt;₹500</v>
      </c>
      <c r="K795" s="1">
        <v>0.79</v>
      </c>
      <c r="L795" s="1" t="str">
        <f t="shared" si="36"/>
        <v>50% or More</v>
      </c>
      <c r="M795">
        <v>4.2</v>
      </c>
      <c r="N795" s="2">
        <v>8537</v>
      </c>
      <c r="O795" s="5">
        <f t="shared" si="37"/>
        <v>23895063</v>
      </c>
      <c r="P795">
        <f>MAX(Table1[RATING COUNT])</f>
        <v>426973</v>
      </c>
    </row>
    <row r="796" spans="1:16">
      <c r="A796" t="s">
        <v>2329</v>
      </c>
      <c r="B796" t="s">
        <v>758</v>
      </c>
      <c r="D796" t="s">
        <v>1412</v>
      </c>
      <c r="E796" t="s">
        <v>1413</v>
      </c>
      <c r="F796" t="s">
        <v>1414</v>
      </c>
      <c r="G796" t="s">
        <v>1415</v>
      </c>
      <c r="H796" s="7">
        <v>178</v>
      </c>
      <c r="I796" s="7">
        <v>210</v>
      </c>
      <c r="J796" s="7" t="str">
        <f t="shared" si="38"/>
        <v>₹200–₹500</v>
      </c>
      <c r="K796" s="1">
        <v>0.15</v>
      </c>
      <c r="L796" s="1" t="str">
        <f t="shared" si="36"/>
        <v>&lt;50%</v>
      </c>
      <c r="M796">
        <v>4.3</v>
      </c>
      <c r="N796" s="2">
        <v>2450</v>
      </c>
      <c r="O796" s="5">
        <f t="shared" si="37"/>
        <v>514500</v>
      </c>
      <c r="P796">
        <f>MAX(Table1[RATING COUNT])</f>
        <v>426973</v>
      </c>
    </row>
    <row r="797" spans="1:16">
      <c r="A797" t="s">
        <v>2330</v>
      </c>
      <c r="B797" t="s">
        <v>759</v>
      </c>
      <c r="D797" t="s">
        <v>1352</v>
      </c>
      <c r="E797" t="s">
        <v>1383</v>
      </c>
      <c r="F797" t="s">
        <v>1384</v>
      </c>
      <c r="G797" t="s">
        <v>1385</v>
      </c>
      <c r="H797" s="7">
        <v>1599</v>
      </c>
      <c r="I797" s="7">
        <v>3490</v>
      </c>
      <c r="J797" s="7" t="str">
        <f t="shared" si="38"/>
        <v>&gt;₹500</v>
      </c>
      <c r="K797" s="1">
        <v>0.54</v>
      </c>
      <c r="L797" s="1" t="str">
        <f t="shared" si="36"/>
        <v>50% or More</v>
      </c>
      <c r="M797">
        <v>3.7</v>
      </c>
      <c r="N797" s="2">
        <v>676</v>
      </c>
      <c r="O797" s="5">
        <f t="shared" si="37"/>
        <v>2359240</v>
      </c>
      <c r="P797">
        <f>MAX(Table1[RATING COUNT])</f>
        <v>426973</v>
      </c>
    </row>
    <row r="798" spans="1:16">
      <c r="A798" t="s">
        <v>2331</v>
      </c>
      <c r="B798" t="s">
        <v>760</v>
      </c>
      <c r="D798" t="s">
        <v>1352</v>
      </c>
      <c r="E798" t="s">
        <v>1383</v>
      </c>
      <c r="F798" t="s">
        <v>1384</v>
      </c>
      <c r="G798" t="s">
        <v>1385</v>
      </c>
      <c r="H798" s="7">
        <v>499</v>
      </c>
      <c r="I798" s="7">
        <v>1299</v>
      </c>
      <c r="J798" s="7" t="str">
        <f t="shared" si="38"/>
        <v>&gt;₹500</v>
      </c>
      <c r="K798" s="1">
        <v>0.62</v>
      </c>
      <c r="L798" s="1" t="str">
        <f t="shared" si="36"/>
        <v>50% or More</v>
      </c>
      <c r="M798">
        <v>3.9</v>
      </c>
      <c r="N798" s="2">
        <v>1173</v>
      </c>
      <c r="O798" s="5">
        <f t="shared" si="37"/>
        <v>1523727</v>
      </c>
      <c r="P798">
        <f>MAX(Table1[RATING COUNT])</f>
        <v>426973</v>
      </c>
    </row>
    <row r="799" spans="1:16">
      <c r="A799" t="s">
        <v>2332</v>
      </c>
      <c r="B799" t="s">
        <v>761</v>
      </c>
      <c r="D799" t="s">
        <v>1345</v>
      </c>
      <c r="E799" t="s">
        <v>1346</v>
      </c>
      <c r="F799" t="s">
        <v>1401</v>
      </c>
      <c r="G799" t="s">
        <v>1432</v>
      </c>
      <c r="H799" s="7">
        <v>199</v>
      </c>
      <c r="I799" s="7">
        <v>499</v>
      </c>
      <c r="J799" s="7" t="str">
        <f t="shared" si="38"/>
        <v>₹200–₹500</v>
      </c>
      <c r="K799" s="1">
        <v>0.6</v>
      </c>
      <c r="L799" s="1" t="str">
        <f t="shared" si="36"/>
        <v>50% or More</v>
      </c>
      <c r="M799">
        <v>4.3</v>
      </c>
      <c r="N799" s="2">
        <v>9998</v>
      </c>
      <c r="O799" s="5">
        <f t="shared" si="37"/>
        <v>4989002</v>
      </c>
      <c r="P799">
        <f>MAX(Table1[RATING COUNT])</f>
        <v>426973</v>
      </c>
    </row>
    <row r="800" spans="1:16">
      <c r="A800" t="s">
        <v>2333</v>
      </c>
      <c r="B800" t="s">
        <v>762</v>
      </c>
      <c r="D800" t="s">
        <v>1352</v>
      </c>
      <c r="E800" t="s">
        <v>1373</v>
      </c>
      <c r="F800" t="s">
        <v>1374</v>
      </c>
      <c r="H800" s="7">
        <v>2499</v>
      </c>
      <c r="I800" s="7">
        <v>5999</v>
      </c>
      <c r="J800" s="7" t="str">
        <f t="shared" si="38"/>
        <v>&gt;₹500</v>
      </c>
      <c r="K800" s="1">
        <v>0.57999999999999996</v>
      </c>
      <c r="L800" s="1" t="str">
        <f t="shared" si="36"/>
        <v>50% or More</v>
      </c>
      <c r="M800">
        <v>4.0999999999999996</v>
      </c>
      <c r="N800" s="2">
        <v>5852</v>
      </c>
      <c r="O800" s="5">
        <f t="shared" si="37"/>
        <v>35106148</v>
      </c>
      <c r="P800">
        <f>MAX(Table1[RATING COUNT])</f>
        <v>426973</v>
      </c>
    </row>
    <row r="801" spans="1:16">
      <c r="A801" t="s">
        <v>2334</v>
      </c>
      <c r="B801" t="s">
        <v>763</v>
      </c>
      <c r="D801" t="s">
        <v>1345</v>
      </c>
      <c r="E801" t="s">
        <v>1462</v>
      </c>
      <c r="F801" t="s">
        <v>1482</v>
      </c>
      <c r="H801" s="7">
        <v>199</v>
      </c>
      <c r="I801" s="7">
        <v>999</v>
      </c>
      <c r="J801" s="7" t="str">
        <f t="shared" si="38"/>
        <v>&gt;₹500</v>
      </c>
      <c r="K801" s="1">
        <v>0.8</v>
      </c>
      <c r="L801" s="1" t="str">
        <f t="shared" si="36"/>
        <v>50% or More</v>
      </c>
      <c r="M801">
        <v>4.2</v>
      </c>
      <c r="N801" s="2">
        <v>362</v>
      </c>
      <c r="O801" s="5">
        <f t="shared" si="37"/>
        <v>361638</v>
      </c>
      <c r="P801">
        <f>MAX(Table1[RATING COUNT])</f>
        <v>426973</v>
      </c>
    </row>
    <row r="802" spans="1:16">
      <c r="A802" t="s">
        <v>2335</v>
      </c>
      <c r="B802" t="s">
        <v>764</v>
      </c>
      <c r="D802" t="s">
        <v>1352</v>
      </c>
      <c r="E802" t="s">
        <v>1354</v>
      </c>
      <c r="F802" t="s">
        <v>1380</v>
      </c>
      <c r="G802" t="s">
        <v>1381</v>
      </c>
      <c r="H802" s="7">
        <v>939</v>
      </c>
      <c r="I802" s="7">
        <v>1800</v>
      </c>
      <c r="J802" s="7" t="str">
        <f t="shared" si="38"/>
        <v>&gt;₹500</v>
      </c>
      <c r="K802" s="1">
        <v>0.48</v>
      </c>
      <c r="L802" s="1" t="str">
        <f t="shared" si="36"/>
        <v>&lt;50%</v>
      </c>
      <c r="M802">
        <v>4.5</v>
      </c>
      <c r="N802" s="2">
        <v>205052</v>
      </c>
      <c r="O802" s="5">
        <f t="shared" si="37"/>
        <v>369093600</v>
      </c>
      <c r="P802">
        <f>MAX(Table1[RATING COUNT])</f>
        <v>426973</v>
      </c>
    </row>
    <row r="803" spans="1:16">
      <c r="A803" t="s">
        <v>2336</v>
      </c>
      <c r="B803" t="s">
        <v>765</v>
      </c>
      <c r="D803" t="s">
        <v>1352</v>
      </c>
      <c r="E803" t="s">
        <v>1373</v>
      </c>
      <c r="F803" t="s">
        <v>1374</v>
      </c>
      <c r="H803" s="7">
        <v>2499</v>
      </c>
      <c r="I803" s="7">
        <v>9999</v>
      </c>
      <c r="J803" s="7" t="str">
        <f t="shared" si="38"/>
        <v>&gt;₹500</v>
      </c>
      <c r="K803" s="1">
        <v>0.75</v>
      </c>
      <c r="L803" s="1" t="str">
        <f t="shared" si="36"/>
        <v>50% or More</v>
      </c>
      <c r="M803">
        <v>4</v>
      </c>
      <c r="N803" s="2">
        <v>9090</v>
      </c>
      <c r="O803" s="5">
        <f t="shared" si="37"/>
        <v>90890910</v>
      </c>
      <c r="P803">
        <f>MAX(Table1[RATING COUNT])</f>
        <v>426973</v>
      </c>
    </row>
    <row r="804" spans="1:16">
      <c r="A804" t="s">
        <v>1640</v>
      </c>
      <c r="B804" t="s">
        <v>766</v>
      </c>
      <c r="D804" t="s">
        <v>1345</v>
      </c>
      <c r="E804" t="s">
        <v>1346</v>
      </c>
      <c r="F804" t="s">
        <v>1401</v>
      </c>
      <c r="G804" t="s">
        <v>1402</v>
      </c>
      <c r="H804" s="7">
        <v>1439</v>
      </c>
      <c r="I804" s="7">
        <v>2890</v>
      </c>
      <c r="J804" s="7" t="str">
        <f t="shared" si="38"/>
        <v>&gt;₹500</v>
      </c>
      <c r="K804" s="1">
        <v>0.5</v>
      </c>
      <c r="L804" s="1" t="str">
        <f t="shared" si="36"/>
        <v>50% or More</v>
      </c>
      <c r="M804">
        <v>4.5</v>
      </c>
      <c r="N804" s="2">
        <v>4099</v>
      </c>
      <c r="O804" s="5">
        <f t="shared" si="37"/>
        <v>11846110</v>
      </c>
      <c r="P804">
        <f>MAX(Table1[RATING COUNT])</f>
        <v>426973</v>
      </c>
    </row>
    <row r="805" spans="1:16">
      <c r="A805" t="s">
        <v>2337</v>
      </c>
      <c r="B805" t="s">
        <v>767</v>
      </c>
      <c r="D805" t="s">
        <v>1352</v>
      </c>
      <c r="E805" t="s">
        <v>1383</v>
      </c>
      <c r="F805" t="s">
        <v>1384</v>
      </c>
      <c r="G805" t="s">
        <v>1385</v>
      </c>
      <c r="H805" s="7">
        <v>1099</v>
      </c>
      <c r="I805" s="7">
        <v>5999</v>
      </c>
      <c r="J805" s="7" t="str">
        <f t="shared" si="38"/>
        <v>&gt;₹500</v>
      </c>
      <c r="K805" s="1">
        <v>0.82</v>
      </c>
      <c r="L805" s="1" t="str">
        <f t="shared" si="36"/>
        <v>50% or More</v>
      </c>
      <c r="M805">
        <v>3.5</v>
      </c>
      <c r="N805" s="2">
        <v>12966</v>
      </c>
      <c r="O805" s="5">
        <f t="shared" si="37"/>
        <v>77783034</v>
      </c>
      <c r="P805">
        <f>MAX(Table1[RATING COUNT])</f>
        <v>426973</v>
      </c>
    </row>
    <row r="806" spans="1:16">
      <c r="A806" t="s">
        <v>2338</v>
      </c>
      <c r="B806" t="s">
        <v>768</v>
      </c>
      <c r="D806" t="s">
        <v>1412</v>
      </c>
      <c r="E806" t="s">
        <v>1413</v>
      </c>
      <c r="F806" t="s">
        <v>1414</v>
      </c>
      <c r="G806" t="s">
        <v>1415</v>
      </c>
      <c r="H806" s="7">
        <v>157</v>
      </c>
      <c r="I806" s="7">
        <v>160</v>
      </c>
      <c r="J806" s="7" t="str">
        <f t="shared" si="38"/>
        <v>&lt;₹200</v>
      </c>
      <c r="K806" s="1">
        <v>0.02</v>
      </c>
      <c r="L806" s="1" t="str">
        <f t="shared" si="36"/>
        <v>&lt;50%</v>
      </c>
      <c r="M806">
        <v>4.5</v>
      </c>
      <c r="N806" s="2">
        <v>4428</v>
      </c>
      <c r="O806" s="5">
        <f t="shared" si="37"/>
        <v>708480</v>
      </c>
      <c r="P806">
        <f>MAX(Table1[RATING COUNT])</f>
        <v>426973</v>
      </c>
    </row>
    <row r="807" spans="1:16">
      <c r="A807" t="s">
        <v>2339</v>
      </c>
      <c r="B807" t="s">
        <v>769</v>
      </c>
      <c r="D807" t="s">
        <v>1345</v>
      </c>
      <c r="E807" t="s">
        <v>1346</v>
      </c>
      <c r="F807" t="s">
        <v>1401</v>
      </c>
      <c r="G807" t="s">
        <v>1432</v>
      </c>
      <c r="H807" s="7">
        <v>115</v>
      </c>
      <c r="I807" s="7">
        <v>999</v>
      </c>
      <c r="J807" s="7" t="str">
        <f t="shared" si="38"/>
        <v>&gt;₹500</v>
      </c>
      <c r="K807" s="1">
        <v>0.88</v>
      </c>
      <c r="L807" s="1" t="str">
        <f t="shared" si="36"/>
        <v>50% or More</v>
      </c>
      <c r="M807">
        <v>3.3</v>
      </c>
      <c r="N807" s="2">
        <v>5692</v>
      </c>
      <c r="O807" s="5">
        <f t="shared" si="37"/>
        <v>5686308</v>
      </c>
      <c r="P807">
        <f>MAX(Table1[RATING COUNT])</f>
        <v>426973</v>
      </c>
    </row>
    <row r="808" spans="1:16">
      <c r="A808" t="s">
        <v>2340</v>
      </c>
      <c r="B808" t="s">
        <v>770</v>
      </c>
      <c r="D808" t="s">
        <v>1345</v>
      </c>
      <c r="E808" t="s">
        <v>1346</v>
      </c>
      <c r="F808" t="s">
        <v>1401</v>
      </c>
      <c r="G808" t="s">
        <v>1403</v>
      </c>
      <c r="H808" s="7">
        <v>175</v>
      </c>
      <c r="I808" s="7">
        <v>499</v>
      </c>
      <c r="J808" s="7" t="str">
        <f t="shared" si="38"/>
        <v>₹200–₹500</v>
      </c>
      <c r="K808" s="1">
        <v>0.65</v>
      </c>
      <c r="L808" s="1" t="str">
        <f t="shared" si="36"/>
        <v>50% or More</v>
      </c>
      <c r="M808">
        <v>4.0999999999999996</v>
      </c>
      <c r="N808" s="2">
        <v>21</v>
      </c>
      <c r="O808" s="5">
        <f t="shared" si="37"/>
        <v>10479</v>
      </c>
      <c r="P808">
        <f>MAX(Table1[RATING COUNT])</f>
        <v>426973</v>
      </c>
    </row>
    <row r="809" spans="1:16">
      <c r="A809" t="s">
        <v>2341</v>
      </c>
      <c r="B809" t="s">
        <v>771</v>
      </c>
      <c r="D809" t="s">
        <v>1352</v>
      </c>
      <c r="E809" t="s">
        <v>1422</v>
      </c>
      <c r="F809" t="s">
        <v>1451</v>
      </c>
      <c r="G809" t="s">
        <v>1452</v>
      </c>
      <c r="H809" s="7">
        <v>1999</v>
      </c>
      <c r="I809" s="7">
        <v>4700</v>
      </c>
      <c r="J809" s="7" t="str">
        <f t="shared" si="38"/>
        <v>&gt;₹500</v>
      </c>
      <c r="K809" s="1">
        <v>0.56999999999999995</v>
      </c>
      <c r="L809" s="1" t="str">
        <f t="shared" si="36"/>
        <v>50% or More</v>
      </c>
      <c r="M809">
        <v>3.8</v>
      </c>
      <c r="N809" s="2">
        <v>1880</v>
      </c>
      <c r="O809" s="5">
        <f t="shared" si="37"/>
        <v>8836000</v>
      </c>
      <c r="P809">
        <f>MAX(Table1[RATING COUNT])</f>
        <v>426973</v>
      </c>
    </row>
    <row r="810" spans="1:16">
      <c r="A810" t="s">
        <v>2342</v>
      </c>
      <c r="B810" t="s">
        <v>772</v>
      </c>
      <c r="D810" t="s">
        <v>1345</v>
      </c>
      <c r="E810" t="s">
        <v>1429</v>
      </c>
      <c r="F810" t="s">
        <v>1483</v>
      </c>
      <c r="H810" s="7">
        <v>3999</v>
      </c>
      <c r="I810" s="7">
        <v>4332.96</v>
      </c>
      <c r="J810" s="7" t="str">
        <f t="shared" si="38"/>
        <v>&gt;₹500</v>
      </c>
      <c r="K810" s="1">
        <v>0.08</v>
      </c>
      <c r="L810" s="1" t="str">
        <f t="shared" si="36"/>
        <v>&lt;50%</v>
      </c>
      <c r="M810">
        <v>3.5</v>
      </c>
      <c r="N810" s="2">
        <v>21762</v>
      </c>
      <c r="O810" s="5">
        <f t="shared" si="37"/>
        <v>94293875.519999996</v>
      </c>
      <c r="P810">
        <f>MAX(Table1[RATING COUNT])</f>
        <v>426973</v>
      </c>
    </row>
    <row r="811" spans="1:16">
      <c r="A811" t="s">
        <v>2343</v>
      </c>
      <c r="B811" t="s">
        <v>773</v>
      </c>
      <c r="D811" t="s">
        <v>1345</v>
      </c>
      <c r="E811" t="s">
        <v>1349</v>
      </c>
      <c r="F811" t="s">
        <v>1440</v>
      </c>
      <c r="H811" s="7">
        <v>899</v>
      </c>
      <c r="I811" s="7">
        <v>1800</v>
      </c>
      <c r="J811" s="7" t="str">
        <f t="shared" si="38"/>
        <v>&gt;₹500</v>
      </c>
      <c r="K811" s="1">
        <v>0.5</v>
      </c>
      <c r="L811" s="1" t="str">
        <f t="shared" si="36"/>
        <v>50% or More</v>
      </c>
      <c r="M811">
        <v>4.0999999999999996</v>
      </c>
      <c r="N811" s="2">
        <v>22375</v>
      </c>
      <c r="O811" s="5">
        <f t="shared" si="37"/>
        <v>40275000</v>
      </c>
      <c r="P811">
        <f>MAX(Table1[RATING COUNT])</f>
        <v>426973</v>
      </c>
    </row>
    <row r="812" spans="1:16">
      <c r="A812" t="s">
        <v>2344</v>
      </c>
      <c r="B812" t="s">
        <v>774</v>
      </c>
      <c r="D812" t="s">
        <v>1345</v>
      </c>
      <c r="E812" t="s">
        <v>1346</v>
      </c>
      <c r="F812" t="s">
        <v>1401</v>
      </c>
      <c r="G812" t="s">
        <v>1432</v>
      </c>
      <c r="H812" s="7">
        <v>299</v>
      </c>
      <c r="I812" s="7">
        <v>990</v>
      </c>
      <c r="J812" s="7" t="str">
        <f t="shared" si="38"/>
        <v>&gt;₹500</v>
      </c>
      <c r="K812" s="1">
        <v>0.7</v>
      </c>
      <c r="L812" s="1" t="str">
        <f t="shared" si="36"/>
        <v>50% or More</v>
      </c>
      <c r="M812">
        <v>4.5</v>
      </c>
      <c r="N812" s="2">
        <v>2453</v>
      </c>
      <c r="O812" s="5">
        <f t="shared" si="37"/>
        <v>2428470</v>
      </c>
      <c r="P812">
        <f>MAX(Table1[RATING COUNT])</f>
        <v>426973</v>
      </c>
    </row>
    <row r="813" spans="1:16">
      <c r="A813" t="s">
        <v>2345</v>
      </c>
      <c r="B813" t="s">
        <v>775</v>
      </c>
      <c r="D813" t="s">
        <v>1345</v>
      </c>
      <c r="E813" t="s">
        <v>1346</v>
      </c>
      <c r="F813" t="s">
        <v>1401</v>
      </c>
      <c r="G813" t="s">
        <v>1403</v>
      </c>
      <c r="H813" s="7">
        <v>3303</v>
      </c>
      <c r="I813" s="7">
        <v>4699</v>
      </c>
      <c r="J813" s="7" t="str">
        <f t="shared" si="38"/>
        <v>&gt;₹500</v>
      </c>
      <c r="K813" s="1">
        <v>0.3</v>
      </c>
      <c r="L813" s="1" t="str">
        <f t="shared" si="36"/>
        <v>&lt;50%</v>
      </c>
      <c r="M813">
        <v>4.4000000000000004</v>
      </c>
      <c r="N813" s="2">
        <v>13544</v>
      </c>
      <c r="O813" s="5">
        <f t="shared" si="37"/>
        <v>63643256</v>
      </c>
      <c r="P813">
        <f>MAX(Table1[RATING COUNT])</f>
        <v>426973</v>
      </c>
    </row>
    <row r="814" spans="1:16">
      <c r="A814" t="s">
        <v>2346</v>
      </c>
      <c r="B814" t="s">
        <v>776</v>
      </c>
      <c r="D814" t="s">
        <v>1345</v>
      </c>
      <c r="E814" t="s">
        <v>1346</v>
      </c>
      <c r="F814" t="s">
        <v>1457</v>
      </c>
      <c r="G814" t="s">
        <v>1467</v>
      </c>
      <c r="H814" s="7">
        <v>1890</v>
      </c>
      <c r="I814" s="7">
        <v>5490</v>
      </c>
      <c r="J814" s="7" t="str">
        <f t="shared" si="38"/>
        <v>&gt;₹500</v>
      </c>
      <c r="K814" s="1">
        <v>0.66</v>
      </c>
      <c r="L814" s="1" t="str">
        <f t="shared" si="36"/>
        <v>50% or More</v>
      </c>
      <c r="M814">
        <v>4.0999999999999996</v>
      </c>
      <c r="N814" s="2">
        <v>10976</v>
      </c>
      <c r="O814" s="5">
        <f t="shared" si="37"/>
        <v>60258240</v>
      </c>
      <c r="P814">
        <f>MAX(Table1[RATING COUNT])</f>
        <v>426973</v>
      </c>
    </row>
    <row r="815" spans="1:16">
      <c r="A815" t="s">
        <v>2347</v>
      </c>
      <c r="B815" t="s">
        <v>777</v>
      </c>
      <c r="D815" t="s">
        <v>1412</v>
      </c>
      <c r="E815" t="s">
        <v>1413</v>
      </c>
      <c r="F815" t="s">
        <v>1414</v>
      </c>
      <c r="G815" t="s">
        <v>1415</v>
      </c>
      <c r="H815" s="7">
        <v>90</v>
      </c>
      <c r="I815" s="7">
        <v>100</v>
      </c>
      <c r="J815" s="7" t="str">
        <f t="shared" si="38"/>
        <v>&lt;₹200</v>
      </c>
      <c r="K815" s="1">
        <v>0.1</v>
      </c>
      <c r="L815" s="1" t="str">
        <f t="shared" si="36"/>
        <v>&lt;50%</v>
      </c>
      <c r="M815">
        <v>4.3</v>
      </c>
      <c r="N815" s="2">
        <v>3061</v>
      </c>
      <c r="O815" s="5">
        <f t="shared" si="37"/>
        <v>306100</v>
      </c>
      <c r="P815">
        <f>MAX(Table1[RATING COUNT])</f>
        <v>426973</v>
      </c>
    </row>
    <row r="816" spans="1:16">
      <c r="A816" t="s">
        <v>2348</v>
      </c>
      <c r="B816" t="s">
        <v>778</v>
      </c>
      <c r="D816" t="s">
        <v>1352</v>
      </c>
      <c r="E816" t="s">
        <v>1383</v>
      </c>
      <c r="F816" t="s">
        <v>1384</v>
      </c>
      <c r="G816" t="s">
        <v>1385</v>
      </c>
      <c r="H816" s="7">
        <v>1599</v>
      </c>
      <c r="I816" s="7">
        <v>2790</v>
      </c>
      <c r="J816" s="7" t="str">
        <f t="shared" si="38"/>
        <v>&gt;₹500</v>
      </c>
      <c r="K816" s="1">
        <v>0.43</v>
      </c>
      <c r="L816" s="1" t="str">
        <f t="shared" si="36"/>
        <v>&lt;50%</v>
      </c>
      <c r="M816">
        <v>3.6</v>
      </c>
      <c r="N816" s="2">
        <v>2272</v>
      </c>
      <c r="O816" s="5">
        <f t="shared" si="37"/>
        <v>6338880</v>
      </c>
      <c r="P816">
        <f>MAX(Table1[RATING COUNT])</f>
        <v>426973</v>
      </c>
    </row>
    <row r="817" spans="1:16">
      <c r="A817" t="s">
        <v>2349</v>
      </c>
      <c r="B817" t="s">
        <v>779</v>
      </c>
      <c r="D817" t="s">
        <v>1345</v>
      </c>
      <c r="E817" t="s">
        <v>1346</v>
      </c>
      <c r="F817" t="s">
        <v>1397</v>
      </c>
      <c r="G817" t="s">
        <v>1468</v>
      </c>
      <c r="H817" s="7">
        <v>599</v>
      </c>
      <c r="I817" s="7">
        <v>999</v>
      </c>
      <c r="J817" s="7" t="str">
        <f t="shared" si="38"/>
        <v>&gt;₹500</v>
      </c>
      <c r="K817" s="1">
        <v>0.4</v>
      </c>
      <c r="L817" s="1" t="str">
        <f t="shared" si="36"/>
        <v>&lt;50%</v>
      </c>
      <c r="M817">
        <v>4</v>
      </c>
      <c r="N817" s="2">
        <v>7601</v>
      </c>
      <c r="O817" s="5">
        <f t="shared" si="37"/>
        <v>7593399</v>
      </c>
      <c r="P817">
        <f>MAX(Table1[RATING COUNT])</f>
        <v>426973</v>
      </c>
    </row>
    <row r="818" spans="1:16">
      <c r="A818" t="s">
        <v>2350</v>
      </c>
      <c r="B818" t="s">
        <v>780</v>
      </c>
      <c r="D818" t="s">
        <v>1345</v>
      </c>
      <c r="E818" t="s">
        <v>1346</v>
      </c>
      <c r="F818" t="s">
        <v>1401</v>
      </c>
      <c r="G818" t="s">
        <v>1432</v>
      </c>
      <c r="H818" s="7">
        <v>425</v>
      </c>
      <c r="I818" s="7">
        <v>899</v>
      </c>
      <c r="J818" s="7" t="str">
        <f t="shared" si="38"/>
        <v>&gt;₹500</v>
      </c>
      <c r="K818" s="1">
        <v>0.53</v>
      </c>
      <c r="L818" s="1" t="str">
        <f t="shared" si="36"/>
        <v>50% or More</v>
      </c>
      <c r="M818">
        <v>4.5</v>
      </c>
      <c r="N818" s="2">
        <v>4219</v>
      </c>
      <c r="O818" s="5">
        <f t="shared" si="37"/>
        <v>3792881</v>
      </c>
      <c r="P818">
        <f>MAX(Table1[RATING COUNT])</f>
        <v>426973</v>
      </c>
    </row>
    <row r="819" spans="1:16">
      <c r="A819" t="s">
        <v>2351</v>
      </c>
      <c r="B819" t="s">
        <v>781</v>
      </c>
      <c r="D819" t="s">
        <v>1352</v>
      </c>
      <c r="E819" t="s">
        <v>1383</v>
      </c>
      <c r="F819" t="s">
        <v>1384</v>
      </c>
      <c r="G819" t="s">
        <v>1396</v>
      </c>
      <c r="H819" s="7">
        <v>1499</v>
      </c>
      <c r="I819" s="7">
        <v>3999</v>
      </c>
      <c r="J819" s="7" t="str">
        <f t="shared" si="38"/>
        <v>&gt;₹500</v>
      </c>
      <c r="K819" s="1">
        <v>0.63</v>
      </c>
      <c r="L819" s="1" t="str">
        <f t="shared" si="36"/>
        <v>50% or More</v>
      </c>
      <c r="M819">
        <v>4.2</v>
      </c>
      <c r="N819" s="2">
        <v>42775</v>
      </c>
      <c r="O819" s="5">
        <f t="shared" si="37"/>
        <v>171057225</v>
      </c>
      <c r="P819">
        <f>MAX(Table1[RATING COUNT])</f>
        <v>426973</v>
      </c>
    </row>
    <row r="820" spans="1:16">
      <c r="A820" t="s">
        <v>1641</v>
      </c>
      <c r="B820" t="s">
        <v>782</v>
      </c>
      <c r="D820" t="s">
        <v>1345</v>
      </c>
      <c r="E820" t="s">
        <v>1346</v>
      </c>
      <c r="F820" t="s">
        <v>1453</v>
      </c>
      <c r="G820" t="s">
        <v>1479</v>
      </c>
      <c r="H820" s="7">
        <v>549</v>
      </c>
      <c r="I820" s="7">
        <v>2499</v>
      </c>
      <c r="J820" s="7" t="str">
        <f t="shared" si="38"/>
        <v>&gt;₹500</v>
      </c>
      <c r="K820" s="1">
        <v>0.78</v>
      </c>
      <c r="L820" s="1" t="str">
        <f t="shared" si="36"/>
        <v>50% or More</v>
      </c>
      <c r="M820">
        <v>4.3</v>
      </c>
      <c r="N820" s="2">
        <v>5556</v>
      </c>
      <c r="O820" s="5">
        <f t="shared" si="37"/>
        <v>13884444</v>
      </c>
      <c r="P820">
        <f>MAX(Table1[RATING COUNT])</f>
        <v>426973</v>
      </c>
    </row>
    <row r="821" spans="1:16">
      <c r="A821" t="s">
        <v>2352</v>
      </c>
      <c r="B821" t="s">
        <v>783</v>
      </c>
      <c r="D821" t="s">
        <v>1345</v>
      </c>
      <c r="E821" t="s">
        <v>1346</v>
      </c>
      <c r="F821" t="s">
        <v>1401</v>
      </c>
      <c r="G821" t="s">
        <v>1402</v>
      </c>
      <c r="H821" s="7">
        <v>1295</v>
      </c>
      <c r="I821" s="7">
        <v>1645</v>
      </c>
      <c r="J821" s="7" t="str">
        <f t="shared" si="38"/>
        <v>&gt;₹500</v>
      </c>
      <c r="K821" s="1">
        <v>0.21</v>
      </c>
      <c r="L821" s="1" t="str">
        <f t="shared" si="36"/>
        <v>&lt;50%</v>
      </c>
      <c r="M821">
        <v>4.5999999999999996</v>
      </c>
      <c r="N821" s="2">
        <v>12375</v>
      </c>
      <c r="O821" s="5">
        <f t="shared" si="37"/>
        <v>20356875</v>
      </c>
      <c r="P821">
        <f>MAX(Table1[RATING COUNT])</f>
        <v>426973</v>
      </c>
    </row>
    <row r="822" spans="1:16">
      <c r="A822" t="s">
        <v>2353</v>
      </c>
      <c r="B822" t="s">
        <v>784</v>
      </c>
      <c r="D822" t="s">
        <v>1416</v>
      </c>
      <c r="E822" t="s">
        <v>1417</v>
      </c>
      <c r="F822" t="s">
        <v>1435</v>
      </c>
      <c r="G822" t="s">
        <v>1436</v>
      </c>
      <c r="H822" s="7">
        <v>310</v>
      </c>
      <c r="I822" s="7">
        <v>310</v>
      </c>
      <c r="J822" s="7" t="str">
        <f t="shared" si="38"/>
        <v>₹200–₹500</v>
      </c>
      <c r="K822" s="1">
        <v>0</v>
      </c>
      <c r="L822" s="1" t="str">
        <f t="shared" si="36"/>
        <v>&lt;50%</v>
      </c>
      <c r="M822">
        <v>4.5</v>
      </c>
      <c r="N822" s="2">
        <v>5882</v>
      </c>
      <c r="O822" s="5">
        <f t="shared" si="37"/>
        <v>1823420</v>
      </c>
      <c r="P822">
        <f>MAX(Table1[RATING COUNT])</f>
        <v>426973</v>
      </c>
    </row>
    <row r="823" spans="1:16">
      <c r="A823" t="s">
        <v>2354</v>
      </c>
      <c r="B823" t="s">
        <v>785</v>
      </c>
      <c r="D823" t="s">
        <v>1345</v>
      </c>
      <c r="E823" t="s">
        <v>1346</v>
      </c>
      <c r="F823" t="s">
        <v>1401</v>
      </c>
      <c r="G823" t="s">
        <v>1420</v>
      </c>
      <c r="H823" s="7">
        <v>1149</v>
      </c>
      <c r="I823" s="7">
        <v>1499</v>
      </c>
      <c r="J823" s="7" t="str">
        <f t="shared" si="38"/>
        <v>&gt;₹500</v>
      </c>
      <c r="K823" s="1">
        <v>0.23</v>
      </c>
      <c r="L823" s="1" t="str">
        <f t="shared" si="36"/>
        <v>&lt;50%</v>
      </c>
      <c r="M823">
        <v>4.0999999999999996</v>
      </c>
      <c r="N823" s="2">
        <v>10443</v>
      </c>
      <c r="O823" s="5">
        <f t="shared" si="37"/>
        <v>15654057</v>
      </c>
      <c r="P823">
        <f>MAX(Table1[RATING COUNT])</f>
        <v>426973</v>
      </c>
    </row>
    <row r="824" spans="1:16">
      <c r="A824" t="s">
        <v>2355</v>
      </c>
      <c r="B824" t="s">
        <v>786</v>
      </c>
      <c r="D824" t="s">
        <v>1345</v>
      </c>
      <c r="E824" t="s">
        <v>1346</v>
      </c>
      <c r="F824" t="s">
        <v>1397</v>
      </c>
      <c r="G824" t="s">
        <v>1404</v>
      </c>
      <c r="H824" s="7">
        <v>499</v>
      </c>
      <c r="I824" s="7">
        <v>1299</v>
      </c>
      <c r="J824" s="7" t="str">
        <f t="shared" si="38"/>
        <v>&gt;₹500</v>
      </c>
      <c r="K824" s="1">
        <v>0.62</v>
      </c>
      <c r="L824" s="1" t="str">
        <f t="shared" si="36"/>
        <v>50% or More</v>
      </c>
      <c r="M824">
        <v>4.5</v>
      </c>
      <c r="N824" s="2">
        <v>434</v>
      </c>
      <c r="O824" s="5">
        <f t="shared" si="37"/>
        <v>563766</v>
      </c>
      <c r="P824">
        <f>MAX(Table1[RATING COUNT])</f>
        <v>426973</v>
      </c>
    </row>
    <row r="825" spans="1:16">
      <c r="A825" t="s">
        <v>1642</v>
      </c>
      <c r="B825" t="s">
        <v>787</v>
      </c>
      <c r="D825" t="s">
        <v>1352</v>
      </c>
      <c r="E825" t="s">
        <v>1383</v>
      </c>
      <c r="F825" t="s">
        <v>1384</v>
      </c>
      <c r="G825" t="s">
        <v>1385</v>
      </c>
      <c r="H825" s="7">
        <v>999</v>
      </c>
      <c r="I825" s="7">
        <v>4199</v>
      </c>
      <c r="J825" s="7" t="str">
        <f t="shared" si="38"/>
        <v>&gt;₹500</v>
      </c>
      <c r="K825" s="1">
        <v>0.76</v>
      </c>
      <c r="L825" s="1" t="str">
        <f t="shared" si="36"/>
        <v>50% or More</v>
      </c>
      <c r="M825">
        <v>3.5</v>
      </c>
      <c r="N825" s="2">
        <v>1913</v>
      </c>
      <c r="O825" s="5">
        <f t="shared" si="37"/>
        <v>8032687</v>
      </c>
      <c r="P825">
        <f>MAX(Table1[RATING COUNT])</f>
        <v>426973</v>
      </c>
    </row>
    <row r="826" spans="1:16">
      <c r="A826" t="s">
        <v>2356</v>
      </c>
      <c r="B826" t="s">
        <v>788</v>
      </c>
      <c r="D826" t="s">
        <v>1345</v>
      </c>
      <c r="E826" t="s">
        <v>1462</v>
      </c>
      <c r="F826" t="s">
        <v>1473</v>
      </c>
      <c r="H826" s="7">
        <v>1709</v>
      </c>
      <c r="I826" s="7">
        <v>4000</v>
      </c>
      <c r="J826" s="7" t="str">
        <f t="shared" si="38"/>
        <v>&gt;₹500</v>
      </c>
      <c r="K826" s="1">
        <v>0.56999999999999995</v>
      </c>
      <c r="L826" s="1" t="str">
        <f t="shared" si="36"/>
        <v>50% or More</v>
      </c>
      <c r="M826">
        <v>4.4000000000000004</v>
      </c>
      <c r="N826" s="2">
        <v>3029</v>
      </c>
      <c r="O826" s="5">
        <f t="shared" si="37"/>
        <v>12116000</v>
      </c>
      <c r="P826">
        <f>MAX(Table1[RATING COUNT])</f>
        <v>426973</v>
      </c>
    </row>
    <row r="827" spans="1:16">
      <c r="A827" t="s">
        <v>2357</v>
      </c>
      <c r="B827" t="s">
        <v>789</v>
      </c>
      <c r="D827" t="s">
        <v>1412</v>
      </c>
      <c r="E827" t="s">
        <v>1413</v>
      </c>
      <c r="F827" t="s">
        <v>1414</v>
      </c>
      <c r="G827" t="s">
        <v>1415</v>
      </c>
      <c r="H827" s="7">
        <v>250</v>
      </c>
      <c r="I827" s="7">
        <v>250</v>
      </c>
      <c r="J827" s="7" t="str">
        <f t="shared" si="38"/>
        <v>₹200–₹500</v>
      </c>
      <c r="K827" s="1">
        <v>0</v>
      </c>
      <c r="L827" s="1" t="str">
        <f t="shared" si="36"/>
        <v>&lt;50%</v>
      </c>
      <c r="M827">
        <v>4.2</v>
      </c>
      <c r="N827" s="2">
        <v>2628</v>
      </c>
      <c r="O827" s="5">
        <f t="shared" si="37"/>
        <v>657000</v>
      </c>
      <c r="P827">
        <f>MAX(Table1[RATING COUNT])</f>
        <v>426973</v>
      </c>
    </row>
    <row r="828" spans="1:16">
      <c r="A828" t="s">
        <v>2358</v>
      </c>
      <c r="B828" t="s">
        <v>790</v>
      </c>
      <c r="D828" t="s">
        <v>1416</v>
      </c>
      <c r="E828" t="s">
        <v>1417</v>
      </c>
      <c r="F828" t="s">
        <v>1480</v>
      </c>
      <c r="G828" t="s">
        <v>1481</v>
      </c>
      <c r="H828" s="7">
        <v>90</v>
      </c>
      <c r="I828" s="7">
        <v>100</v>
      </c>
      <c r="J828" s="7" t="str">
        <f t="shared" si="38"/>
        <v>&lt;₹200</v>
      </c>
      <c r="K828" s="1">
        <v>0.1</v>
      </c>
      <c r="L828" s="1" t="str">
        <f t="shared" si="36"/>
        <v>&lt;50%</v>
      </c>
      <c r="M828">
        <v>4.4000000000000004</v>
      </c>
      <c r="N828" s="2">
        <v>10718</v>
      </c>
      <c r="O828" s="5">
        <f t="shared" si="37"/>
        <v>1071800</v>
      </c>
      <c r="P828">
        <f>MAX(Table1[RATING COUNT])</f>
        <v>426973</v>
      </c>
    </row>
    <row r="829" spans="1:16">
      <c r="A829" t="s">
        <v>2359</v>
      </c>
      <c r="B829" t="s">
        <v>791</v>
      </c>
      <c r="D829" t="s">
        <v>1352</v>
      </c>
      <c r="E829" t="s">
        <v>1375</v>
      </c>
      <c r="F829" t="s">
        <v>1376</v>
      </c>
      <c r="G829" t="s">
        <v>1394</v>
      </c>
      <c r="H829" s="7">
        <v>2025</v>
      </c>
      <c r="I829" s="7">
        <v>5999</v>
      </c>
      <c r="J829" s="7" t="str">
        <f t="shared" si="38"/>
        <v>&gt;₹500</v>
      </c>
      <c r="K829" s="1">
        <v>0.66</v>
      </c>
      <c r="L829" s="1" t="str">
        <f t="shared" si="36"/>
        <v>50% or More</v>
      </c>
      <c r="M829">
        <v>4.2</v>
      </c>
      <c r="N829" s="2">
        <v>6233</v>
      </c>
      <c r="O829" s="5">
        <f t="shared" si="37"/>
        <v>37391767</v>
      </c>
      <c r="P829">
        <f>MAX(Table1[RATING COUNT])</f>
        <v>426973</v>
      </c>
    </row>
    <row r="830" spans="1:16">
      <c r="A830" t="s">
        <v>2360</v>
      </c>
      <c r="B830" t="s">
        <v>792</v>
      </c>
      <c r="D830" t="s">
        <v>1345</v>
      </c>
      <c r="E830" t="s">
        <v>1346</v>
      </c>
      <c r="F830" t="s">
        <v>1433</v>
      </c>
      <c r="G830" t="s">
        <v>1434</v>
      </c>
      <c r="H830" s="7">
        <v>1495</v>
      </c>
      <c r="I830" s="7">
        <v>1995</v>
      </c>
      <c r="J830" s="7" t="str">
        <f t="shared" si="38"/>
        <v>&gt;₹500</v>
      </c>
      <c r="K830" s="1">
        <v>0.25</v>
      </c>
      <c r="L830" s="1" t="str">
        <f t="shared" si="36"/>
        <v>&lt;50%</v>
      </c>
      <c r="M830">
        <v>4.5</v>
      </c>
      <c r="N830" s="2">
        <v>10541</v>
      </c>
      <c r="O830" s="5">
        <f t="shared" si="37"/>
        <v>21029295</v>
      </c>
      <c r="P830">
        <f>MAX(Table1[RATING COUNT])</f>
        <v>426973</v>
      </c>
    </row>
    <row r="831" spans="1:16">
      <c r="A831" t="s">
        <v>2361</v>
      </c>
      <c r="B831" t="s">
        <v>793</v>
      </c>
      <c r="D831" t="s">
        <v>1352</v>
      </c>
      <c r="E831" t="s">
        <v>1360</v>
      </c>
      <c r="F831" t="s">
        <v>1370</v>
      </c>
      <c r="G831" t="s">
        <v>1442</v>
      </c>
      <c r="H831" s="7">
        <v>899</v>
      </c>
      <c r="I831" s="7">
        <v>1199</v>
      </c>
      <c r="J831" s="7" t="str">
        <f t="shared" si="38"/>
        <v>&gt;₹500</v>
      </c>
      <c r="K831" s="1">
        <v>0.25</v>
      </c>
      <c r="L831" s="1" t="str">
        <f t="shared" si="36"/>
        <v>&lt;50%</v>
      </c>
      <c r="M831">
        <v>3.8</v>
      </c>
      <c r="N831" s="2">
        <v>10751</v>
      </c>
      <c r="O831" s="5">
        <f t="shared" si="37"/>
        <v>12890449</v>
      </c>
      <c r="P831">
        <f>MAX(Table1[RATING COUNT])</f>
        <v>426973</v>
      </c>
    </row>
    <row r="832" spans="1:16">
      <c r="A832" t="s">
        <v>2362</v>
      </c>
      <c r="B832" t="s">
        <v>794</v>
      </c>
      <c r="D832" t="s">
        <v>1345</v>
      </c>
      <c r="E832" t="s">
        <v>1346</v>
      </c>
      <c r="F832" t="s">
        <v>1347</v>
      </c>
      <c r="G832" t="s">
        <v>1348</v>
      </c>
      <c r="H832" s="7">
        <v>349</v>
      </c>
      <c r="I832" s="7">
        <v>999</v>
      </c>
      <c r="J832" s="7" t="str">
        <f t="shared" si="38"/>
        <v>&gt;₹500</v>
      </c>
      <c r="K832" s="1">
        <v>0.65</v>
      </c>
      <c r="L832" s="1" t="str">
        <f t="shared" si="36"/>
        <v>50% or More</v>
      </c>
      <c r="M832">
        <v>3.9</v>
      </c>
      <c r="N832" s="2">
        <v>817</v>
      </c>
      <c r="O832" s="5">
        <f t="shared" si="37"/>
        <v>816183</v>
      </c>
      <c r="P832">
        <f>MAX(Table1[RATING COUNT])</f>
        <v>426973</v>
      </c>
    </row>
    <row r="833" spans="1:16">
      <c r="A833" t="s">
        <v>2363</v>
      </c>
      <c r="B833" t="s">
        <v>795</v>
      </c>
      <c r="D833" t="s">
        <v>1352</v>
      </c>
      <c r="E833" t="s">
        <v>1375</v>
      </c>
      <c r="F833" t="s">
        <v>1376</v>
      </c>
      <c r="G833" t="s">
        <v>1377</v>
      </c>
      <c r="H833" s="7">
        <v>900</v>
      </c>
      <c r="I833" s="7">
        <v>2499</v>
      </c>
      <c r="J833" s="7" t="str">
        <f t="shared" si="38"/>
        <v>&gt;₹500</v>
      </c>
      <c r="K833" s="1">
        <v>0.64</v>
      </c>
      <c r="L833" s="1" t="str">
        <f t="shared" si="36"/>
        <v>50% or More</v>
      </c>
      <c r="M833">
        <v>4</v>
      </c>
      <c r="N833" s="2">
        <v>36384</v>
      </c>
      <c r="O833" s="5">
        <f t="shared" si="37"/>
        <v>90923616</v>
      </c>
      <c r="P833">
        <f>MAX(Table1[RATING COUNT])</f>
        <v>426973</v>
      </c>
    </row>
    <row r="834" spans="1:16">
      <c r="A834" t="s">
        <v>2364</v>
      </c>
      <c r="B834" t="s">
        <v>796</v>
      </c>
      <c r="D834" t="s">
        <v>1352</v>
      </c>
      <c r="E834" t="s">
        <v>1422</v>
      </c>
      <c r="F834" t="s">
        <v>1451</v>
      </c>
      <c r="G834" t="s">
        <v>1452</v>
      </c>
      <c r="H834" s="7">
        <v>2490</v>
      </c>
      <c r="I834" s="7">
        <v>3990</v>
      </c>
      <c r="J834" s="7" t="str">
        <f t="shared" si="38"/>
        <v>&gt;₹500</v>
      </c>
      <c r="K834" s="1">
        <v>0.38</v>
      </c>
      <c r="L834" s="1" t="str">
        <f t="shared" ref="L834:L897" si="39">IF(K834&gt;=50%,"50% or More","&lt;50%")</f>
        <v>&lt;50%</v>
      </c>
      <c r="M834">
        <v>4.0999999999999996</v>
      </c>
      <c r="N834" s="2">
        <v>3606</v>
      </c>
      <c r="O834" s="5">
        <f t="shared" ref="O834:O897" si="40">I834*N834</f>
        <v>14387940</v>
      </c>
      <c r="P834">
        <f>MAX(Table1[RATING COUNT])</f>
        <v>426973</v>
      </c>
    </row>
    <row r="835" spans="1:16">
      <c r="A835" t="s">
        <v>1643</v>
      </c>
      <c r="B835" t="s">
        <v>797</v>
      </c>
      <c r="D835" t="s">
        <v>1352</v>
      </c>
      <c r="E835" t="s">
        <v>1410</v>
      </c>
      <c r="H835" s="7">
        <v>116</v>
      </c>
      <c r="I835" s="7">
        <v>200</v>
      </c>
      <c r="J835" s="7" t="str">
        <f t="shared" ref="J835:J898" si="41">IF(I835&lt;200, "&lt;₹200", IF(I835&lt;=500, "₹200–₹500", "&gt;₹500"))</f>
        <v>₹200–₹500</v>
      </c>
      <c r="K835" s="1">
        <v>0.42</v>
      </c>
      <c r="L835" s="1" t="str">
        <f t="shared" si="39"/>
        <v>&lt;50%</v>
      </c>
      <c r="M835">
        <v>4.4000000000000004</v>
      </c>
      <c r="N835" s="2">
        <v>357</v>
      </c>
      <c r="O835" s="5">
        <f t="shared" si="40"/>
        <v>71400</v>
      </c>
      <c r="P835">
        <f>MAX(Table1[RATING COUNT])</f>
        <v>426973</v>
      </c>
    </row>
    <row r="836" spans="1:16">
      <c r="A836" t="s">
        <v>2365</v>
      </c>
      <c r="B836" t="s">
        <v>798</v>
      </c>
      <c r="D836" t="s">
        <v>1416</v>
      </c>
      <c r="E836" t="s">
        <v>1417</v>
      </c>
      <c r="F836" t="s">
        <v>1435</v>
      </c>
      <c r="G836" t="s">
        <v>1436</v>
      </c>
      <c r="H836" s="7">
        <v>200</v>
      </c>
      <c r="I836" s="7">
        <v>230</v>
      </c>
      <c r="J836" s="7" t="str">
        <f t="shared" si="41"/>
        <v>₹200–₹500</v>
      </c>
      <c r="K836" s="1">
        <v>0.13</v>
      </c>
      <c r="L836" s="1" t="str">
        <f t="shared" si="39"/>
        <v>&lt;50%</v>
      </c>
      <c r="M836">
        <v>4.4000000000000004</v>
      </c>
      <c r="N836" s="2">
        <v>10170</v>
      </c>
      <c r="O836" s="5">
        <f t="shared" si="40"/>
        <v>2339100</v>
      </c>
      <c r="P836">
        <f>MAX(Table1[RATING COUNT])</f>
        <v>426973</v>
      </c>
    </row>
    <row r="837" spans="1:16">
      <c r="A837" t="s">
        <v>2366</v>
      </c>
      <c r="B837" t="s">
        <v>799</v>
      </c>
      <c r="D837" t="s">
        <v>1345</v>
      </c>
      <c r="E837" t="s">
        <v>1346</v>
      </c>
      <c r="F837" t="s">
        <v>1397</v>
      </c>
      <c r="G837" t="s">
        <v>1476</v>
      </c>
      <c r="H837" s="7">
        <v>1249</v>
      </c>
      <c r="I837" s="7">
        <v>2796</v>
      </c>
      <c r="J837" s="7" t="str">
        <f t="shared" si="41"/>
        <v>&gt;₹500</v>
      </c>
      <c r="K837" s="1">
        <v>0.55000000000000004</v>
      </c>
      <c r="L837" s="1" t="str">
        <f t="shared" si="39"/>
        <v>50% or More</v>
      </c>
      <c r="M837">
        <v>4.4000000000000004</v>
      </c>
      <c r="N837" s="2">
        <v>4598</v>
      </c>
      <c r="O837" s="5">
        <f t="shared" si="40"/>
        <v>12856008</v>
      </c>
      <c r="P837">
        <f>MAX(Table1[RATING COUNT])</f>
        <v>426973</v>
      </c>
    </row>
    <row r="838" spans="1:16">
      <c r="A838" t="s">
        <v>1644</v>
      </c>
      <c r="B838" t="s">
        <v>800</v>
      </c>
      <c r="D838" t="s">
        <v>1345</v>
      </c>
      <c r="E838" t="s">
        <v>1346</v>
      </c>
      <c r="F838" t="s">
        <v>1457</v>
      </c>
      <c r="G838" t="s">
        <v>1484</v>
      </c>
      <c r="H838" s="7">
        <v>649</v>
      </c>
      <c r="I838" s="7">
        <v>999</v>
      </c>
      <c r="J838" s="7" t="str">
        <f t="shared" si="41"/>
        <v>&gt;₹500</v>
      </c>
      <c r="K838" s="1">
        <v>0.35</v>
      </c>
      <c r="L838" s="1" t="str">
        <f t="shared" si="39"/>
        <v>&lt;50%</v>
      </c>
      <c r="M838">
        <v>3.5</v>
      </c>
      <c r="N838" s="2">
        <v>7222</v>
      </c>
      <c r="O838" s="5">
        <f t="shared" si="40"/>
        <v>7214778</v>
      </c>
      <c r="P838">
        <f>MAX(Table1[RATING COUNT])</f>
        <v>426973</v>
      </c>
    </row>
    <row r="839" spans="1:16">
      <c r="A839" t="s">
        <v>2367</v>
      </c>
      <c r="B839" t="s">
        <v>801</v>
      </c>
      <c r="D839" t="s">
        <v>1345</v>
      </c>
      <c r="E839" t="s">
        <v>1346</v>
      </c>
      <c r="F839" t="s">
        <v>1433</v>
      </c>
      <c r="G839" t="s">
        <v>1485</v>
      </c>
      <c r="H839" s="7">
        <v>2649</v>
      </c>
      <c r="I839" s="7">
        <v>3499</v>
      </c>
      <c r="J839" s="7" t="str">
        <f t="shared" si="41"/>
        <v>&gt;₹500</v>
      </c>
      <c r="K839" s="1">
        <v>0.24</v>
      </c>
      <c r="L839" s="1" t="str">
        <f t="shared" si="39"/>
        <v>&lt;50%</v>
      </c>
      <c r="M839">
        <v>4.5</v>
      </c>
      <c r="N839" s="2">
        <v>1271</v>
      </c>
      <c r="O839" s="5">
        <f t="shared" si="40"/>
        <v>4447229</v>
      </c>
      <c r="P839">
        <f>MAX(Table1[RATING COUNT])</f>
        <v>426973</v>
      </c>
    </row>
    <row r="840" spans="1:16">
      <c r="A840" t="s">
        <v>2368</v>
      </c>
      <c r="B840" t="s">
        <v>802</v>
      </c>
      <c r="D840" t="s">
        <v>1345</v>
      </c>
      <c r="E840" t="s">
        <v>1429</v>
      </c>
      <c r="F840" t="s">
        <v>1430</v>
      </c>
      <c r="G840" t="s">
        <v>1431</v>
      </c>
      <c r="H840" s="7">
        <v>596</v>
      </c>
      <c r="I840" s="7">
        <v>723</v>
      </c>
      <c r="J840" s="7" t="str">
        <f t="shared" si="41"/>
        <v>&gt;₹500</v>
      </c>
      <c r="K840" s="1">
        <v>0.18</v>
      </c>
      <c r="L840" s="1" t="str">
        <f t="shared" si="39"/>
        <v>&lt;50%</v>
      </c>
      <c r="M840">
        <v>4.4000000000000004</v>
      </c>
      <c r="N840" s="2">
        <v>3219</v>
      </c>
      <c r="O840" s="5">
        <f t="shared" si="40"/>
        <v>2327337</v>
      </c>
      <c r="P840">
        <f>MAX(Table1[RATING COUNT])</f>
        <v>426973</v>
      </c>
    </row>
    <row r="841" spans="1:16">
      <c r="A841" t="s">
        <v>1646</v>
      </c>
      <c r="B841" t="s">
        <v>803</v>
      </c>
      <c r="D841" t="s">
        <v>1352</v>
      </c>
      <c r="E841" t="s">
        <v>1373</v>
      </c>
      <c r="F841" t="s">
        <v>1374</v>
      </c>
      <c r="H841" s="7">
        <v>2499</v>
      </c>
      <c r="I841" s="7">
        <v>5999</v>
      </c>
      <c r="J841" s="7" t="str">
        <f t="shared" si="41"/>
        <v>&gt;₹500</v>
      </c>
      <c r="K841" s="1">
        <v>0.57999999999999996</v>
      </c>
      <c r="L841" s="1" t="str">
        <f t="shared" si="39"/>
        <v>50% or More</v>
      </c>
      <c r="M841">
        <v>4.0999999999999996</v>
      </c>
      <c r="N841" s="2">
        <v>38879</v>
      </c>
      <c r="O841" s="5">
        <f t="shared" si="40"/>
        <v>233235121</v>
      </c>
      <c r="P841">
        <f>MAX(Table1[RATING COUNT])</f>
        <v>426973</v>
      </c>
    </row>
    <row r="842" spans="1:16">
      <c r="A842" t="s">
        <v>1647</v>
      </c>
      <c r="B842" t="s">
        <v>804</v>
      </c>
      <c r="D842" t="s">
        <v>1352</v>
      </c>
      <c r="E842" t="s">
        <v>1360</v>
      </c>
      <c r="F842" t="s">
        <v>1370</v>
      </c>
      <c r="G842" t="s">
        <v>1486</v>
      </c>
      <c r="H842" s="7">
        <v>4999</v>
      </c>
      <c r="I842" s="7">
        <v>12499</v>
      </c>
      <c r="J842" s="7" t="str">
        <f t="shared" si="41"/>
        <v>&gt;₹500</v>
      </c>
      <c r="K842" s="1">
        <v>0.6</v>
      </c>
      <c r="L842" s="1" t="str">
        <f t="shared" si="39"/>
        <v>50% or More</v>
      </c>
      <c r="M842">
        <v>4.2</v>
      </c>
      <c r="N842" s="2">
        <v>4541</v>
      </c>
      <c r="O842" s="5">
        <f t="shared" si="40"/>
        <v>56757959</v>
      </c>
      <c r="P842">
        <f>MAX(Table1[RATING COUNT])</f>
        <v>426973</v>
      </c>
    </row>
    <row r="843" spans="1:16">
      <c r="A843" t="s">
        <v>2369</v>
      </c>
      <c r="B843" t="s">
        <v>805</v>
      </c>
      <c r="D843" t="s">
        <v>1352</v>
      </c>
      <c r="E843" t="s">
        <v>1383</v>
      </c>
      <c r="F843" t="s">
        <v>1384</v>
      </c>
      <c r="G843" t="s">
        <v>1385</v>
      </c>
      <c r="H843" s="7">
        <v>399</v>
      </c>
      <c r="I843" s="7">
        <v>1290</v>
      </c>
      <c r="J843" s="7" t="str">
        <f t="shared" si="41"/>
        <v>&gt;₹500</v>
      </c>
      <c r="K843" s="1">
        <v>0.69</v>
      </c>
      <c r="L843" s="1" t="str">
        <f t="shared" si="39"/>
        <v>50% or More</v>
      </c>
      <c r="M843">
        <v>4.2</v>
      </c>
      <c r="N843" s="2">
        <v>76042</v>
      </c>
      <c r="O843" s="5">
        <f t="shared" si="40"/>
        <v>98094180</v>
      </c>
      <c r="P843">
        <f>MAX(Table1[RATING COUNT])</f>
        <v>426973</v>
      </c>
    </row>
    <row r="844" spans="1:16">
      <c r="A844" t="s">
        <v>2370</v>
      </c>
      <c r="B844" t="s">
        <v>806</v>
      </c>
      <c r="D844" t="s">
        <v>1352</v>
      </c>
      <c r="E844" t="s">
        <v>1410</v>
      </c>
      <c r="H844" s="7">
        <v>116</v>
      </c>
      <c r="I844" s="7">
        <v>200</v>
      </c>
      <c r="J844" s="7" t="str">
        <f t="shared" si="41"/>
        <v>₹200–₹500</v>
      </c>
      <c r="K844" s="1">
        <v>0.42</v>
      </c>
      <c r="L844" s="1" t="str">
        <f t="shared" si="39"/>
        <v>&lt;50%</v>
      </c>
      <c r="M844">
        <v>4.3</v>
      </c>
      <c r="N844" s="2">
        <v>485</v>
      </c>
      <c r="O844" s="5">
        <f t="shared" si="40"/>
        <v>97000</v>
      </c>
      <c r="P844">
        <f>MAX(Table1[RATING COUNT])</f>
        <v>426973</v>
      </c>
    </row>
    <row r="845" spans="1:16">
      <c r="A845" t="s">
        <v>2371</v>
      </c>
      <c r="B845" t="s">
        <v>807</v>
      </c>
      <c r="D845" t="s">
        <v>1352</v>
      </c>
      <c r="E845" t="s">
        <v>1422</v>
      </c>
      <c r="F845" t="s">
        <v>1451</v>
      </c>
      <c r="G845" t="s">
        <v>1452</v>
      </c>
      <c r="H845" s="7">
        <v>4499</v>
      </c>
      <c r="I845" s="7">
        <v>5999</v>
      </c>
      <c r="J845" s="7" t="str">
        <f t="shared" si="41"/>
        <v>&gt;₹500</v>
      </c>
      <c r="K845" s="1">
        <v>0.25</v>
      </c>
      <c r="L845" s="1" t="str">
        <f t="shared" si="39"/>
        <v>&lt;50%</v>
      </c>
      <c r="M845">
        <v>4.3</v>
      </c>
      <c r="N845" s="2">
        <v>44696</v>
      </c>
      <c r="O845" s="5">
        <f t="shared" si="40"/>
        <v>268131304</v>
      </c>
      <c r="P845">
        <f>MAX(Table1[RATING COUNT])</f>
        <v>426973</v>
      </c>
    </row>
    <row r="846" spans="1:16">
      <c r="A846" t="s">
        <v>2372</v>
      </c>
      <c r="B846" t="s">
        <v>808</v>
      </c>
      <c r="D846" t="s">
        <v>1345</v>
      </c>
      <c r="E846" t="s">
        <v>1346</v>
      </c>
      <c r="F846" t="s">
        <v>1456</v>
      </c>
      <c r="H846" s="7">
        <v>330</v>
      </c>
      <c r="I846" s="7">
        <v>499</v>
      </c>
      <c r="J846" s="7" t="str">
        <f t="shared" si="41"/>
        <v>₹200–₹500</v>
      </c>
      <c r="K846" s="1">
        <v>0.34</v>
      </c>
      <c r="L846" s="1" t="str">
        <f t="shared" si="39"/>
        <v>&lt;50%</v>
      </c>
      <c r="M846">
        <v>3.7</v>
      </c>
      <c r="N846" s="2">
        <v>8566</v>
      </c>
      <c r="O846" s="5">
        <f t="shared" si="40"/>
        <v>4274434</v>
      </c>
      <c r="P846">
        <f>MAX(Table1[RATING COUNT])</f>
        <v>426973</v>
      </c>
    </row>
    <row r="847" spans="1:16">
      <c r="A847" t="s">
        <v>2373</v>
      </c>
      <c r="B847" t="s">
        <v>809</v>
      </c>
      <c r="D847" t="s">
        <v>1352</v>
      </c>
      <c r="E847" t="s">
        <v>1383</v>
      </c>
      <c r="F847" t="s">
        <v>1384</v>
      </c>
      <c r="G847" t="s">
        <v>1441</v>
      </c>
      <c r="H847" s="7">
        <v>649</v>
      </c>
      <c r="I847" s="7">
        <v>2499</v>
      </c>
      <c r="J847" s="7" t="str">
        <f t="shared" si="41"/>
        <v>&gt;₹500</v>
      </c>
      <c r="K847" s="1">
        <v>0.74</v>
      </c>
      <c r="L847" s="1" t="str">
        <f t="shared" si="39"/>
        <v>50% or More</v>
      </c>
      <c r="M847">
        <v>3.9</v>
      </c>
      <c r="N847" s="2">
        <v>13049</v>
      </c>
      <c r="O847" s="5">
        <f t="shared" si="40"/>
        <v>32609451</v>
      </c>
      <c r="P847">
        <f>MAX(Table1[RATING COUNT])</f>
        <v>426973</v>
      </c>
    </row>
    <row r="848" spans="1:16">
      <c r="A848" t="s">
        <v>2374</v>
      </c>
      <c r="B848" t="s">
        <v>810</v>
      </c>
      <c r="D848" t="s">
        <v>1345</v>
      </c>
      <c r="E848" t="s">
        <v>1346</v>
      </c>
      <c r="F848" t="s">
        <v>1453</v>
      </c>
      <c r="G848" t="s">
        <v>1393</v>
      </c>
      <c r="H848" s="7">
        <v>1234</v>
      </c>
      <c r="I848" s="7">
        <v>1599</v>
      </c>
      <c r="J848" s="7" t="str">
        <f t="shared" si="41"/>
        <v>&gt;₹500</v>
      </c>
      <c r="K848" s="1">
        <v>0.23</v>
      </c>
      <c r="L848" s="1" t="str">
        <f t="shared" si="39"/>
        <v>&lt;50%</v>
      </c>
      <c r="M848">
        <v>4.5</v>
      </c>
      <c r="N848" s="2">
        <v>16680</v>
      </c>
      <c r="O848" s="5">
        <f t="shared" si="40"/>
        <v>26671320</v>
      </c>
      <c r="P848">
        <f>MAX(Table1[RATING COUNT])</f>
        <v>426973</v>
      </c>
    </row>
    <row r="849" spans="1:16">
      <c r="A849" t="s">
        <v>2375</v>
      </c>
      <c r="B849" t="s">
        <v>502</v>
      </c>
      <c r="D849" t="s">
        <v>1352</v>
      </c>
      <c r="E849" t="s">
        <v>1383</v>
      </c>
      <c r="F849" t="s">
        <v>1384</v>
      </c>
      <c r="G849" t="s">
        <v>1396</v>
      </c>
      <c r="H849" s="7">
        <v>1399</v>
      </c>
      <c r="I849" s="7">
        <v>2990</v>
      </c>
      <c r="J849" s="7" t="str">
        <f t="shared" si="41"/>
        <v>&gt;₹500</v>
      </c>
      <c r="K849" s="1">
        <v>0.53</v>
      </c>
      <c r="L849" s="1" t="str">
        <f t="shared" si="39"/>
        <v>50% or More</v>
      </c>
      <c r="M849">
        <v>4.0999999999999996</v>
      </c>
      <c r="N849" s="2">
        <v>97174</v>
      </c>
      <c r="O849" s="5">
        <f t="shared" si="40"/>
        <v>290550260</v>
      </c>
      <c r="P849">
        <f>MAX(Table1[RATING COUNT])</f>
        <v>426973</v>
      </c>
    </row>
    <row r="850" spans="1:16">
      <c r="A850" t="s">
        <v>2376</v>
      </c>
      <c r="B850" t="s">
        <v>811</v>
      </c>
      <c r="D850" t="s">
        <v>1412</v>
      </c>
      <c r="E850" t="s">
        <v>1413</v>
      </c>
      <c r="F850" t="s">
        <v>1414</v>
      </c>
      <c r="G850" t="s">
        <v>1415</v>
      </c>
      <c r="H850" s="7">
        <v>272</v>
      </c>
      <c r="I850" s="7">
        <v>320</v>
      </c>
      <c r="J850" s="7" t="str">
        <f t="shared" si="41"/>
        <v>₹200–₹500</v>
      </c>
      <c r="K850" s="1">
        <v>0.15</v>
      </c>
      <c r="L850" s="1" t="str">
        <f t="shared" si="39"/>
        <v>&lt;50%</v>
      </c>
      <c r="M850">
        <v>4</v>
      </c>
      <c r="N850" s="2">
        <v>3686</v>
      </c>
      <c r="O850" s="5">
        <f t="shared" si="40"/>
        <v>1179520</v>
      </c>
      <c r="P850">
        <f>MAX(Table1[RATING COUNT])</f>
        <v>426973</v>
      </c>
    </row>
    <row r="851" spans="1:16">
      <c r="A851" t="s">
        <v>2377</v>
      </c>
      <c r="B851" t="s">
        <v>812</v>
      </c>
      <c r="D851" t="s">
        <v>1352</v>
      </c>
      <c r="E851" t="s">
        <v>1383</v>
      </c>
      <c r="F851" t="s">
        <v>1487</v>
      </c>
      <c r="H851" s="7">
        <v>99</v>
      </c>
      <c r="I851" s="7">
        <v>999</v>
      </c>
      <c r="J851" s="7" t="str">
        <f t="shared" si="41"/>
        <v>&gt;₹500</v>
      </c>
      <c r="K851" s="1">
        <v>0.9</v>
      </c>
      <c r="L851" s="1" t="str">
        <f t="shared" si="39"/>
        <v>50% or More</v>
      </c>
      <c r="M851">
        <v>3.8</v>
      </c>
      <c r="N851" s="2">
        <v>594</v>
      </c>
      <c r="O851" s="5">
        <f t="shared" si="40"/>
        <v>593406</v>
      </c>
      <c r="P851">
        <f>MAX(Table1[RATING COUNT])</f>
        <v>426973</v>
      </c>
    </row>
    <row r="852" spans="1:16">
      <c r="A852" t="s">
        <v>2378</v>
      </c>
      <c r="B852" t="s">
        <v>813</v>
      </c>
      <c r="D852" t="s">
        <v>1345</v>
      </c>
      <c r="E852" t="s">
        <v>1429</v>
      </c>
      <c r="F852" t="s">
        <v>1483</v>
      </c>
      <c r="G852" t="s">
        <v>1488</v>
      </c>
      <c r="H852" s="7">
        <v>3498</v>
      </c>
      <c r="I852" s="7">
        <v>3875</v>
      </c>
      <c r="J852" s="7" t="str">
        <f t="shared" si="41"/>
        <v>&gt;₹500</v>
      </c>
      <c r="K852" s="1">
        <v>0.1</v>
      </c>
      <c r="L852" s="1" t="str">
        <f t="shared" si="39"/>
        <v>&lt;50%</v>
      </c>
      <c r="M852">
        <v>3.4</v>
      </c>
      <c r="N852" s="2">
        <v>12185</v>
      </c>
      <c r="O852" s="5">
        <f t="shared" si="40"/>
        <v>47216875</v>
      </c>
      <c r="P852">
        <f>MAX(Table1[RATING COUNT])</f>
        <v>426973</v>
      </c>
    </row>
    <row r="853" spans="1:16">
      <c r="A853" t="s">
        <v>1649</v>
      </c>
      <c r="B853" t="s">
        <v>814</v>
      </c>
      <c r="D853" t="s">
        <v>1345</v>
      </c>
      <c r="E853" t="s">
        <v>1447</v>
      </c>
      <c r="H853" s="7">
        <v>10099</v>
      </c>
      <c r="I853" s="7">
        <v>19110</v>
      </c>
      <c r="J853" s="7" t="str">
        <f t="shared" si="41"/>
        <v>&gt;₹500</v>
      </c>
      <c r="K853" s="1">
        <v>0.47</v>
      </c>
      <c r="L853" s="1" t="str">
        <f t="shared" si="39"/>
        <v>&lt;50%</v>
      </c>
      <c r="M853">
        <v>4.3</v>
      </c>
      <c r="N853" s="2">
        <v>2623</v>
      </c>
      <c r="O853" s="5">
        <f t="shared" si="40"/>
        <v>50125530</v>
      </c>
      <c r="P853">
        <f>MAX(Table1[RATING COUNT])</f>
        <v>426973</v>
      </c>
    </row>
    <row r="854" spans="1:16">
      <c r="A854" t="s">
        <v>1650</v>
      </c>
      <c r="B854" t="s">
        <v>815</v>
      </c>
      <c r="D854" t="s">
        <v>1345</v>
      </c>
      <c r="E854" t="s">
        <v>1346</v>
      </c>
      <c r="F854" t="s">
        <v>1397</v>
      </c>
      <c r="G854" t="s">
        <v>1460</v>
      </c>
      <c r="H854" s="7">
        <v>449</v>
      </c>
      <c r="I854" s="7">
        <v>999</v>
      </c>
      <c r="J854" s="7" t="str">
        <f t="shared" si="41"/>
        <v>&gt;₹500</v>
      </c>
      <c r="K854" s="1">
        <v>0.55000000000000004</v>
      </c>
      <c r="L854" s="1" t="str">
        <f t="shared" si="39"/>
        <v>50% or More</v>
      </c>
      <c r="M854">
        <v>4.3</v>
      </c>
      <c r="N854" s="2">
        <v>9701</v>
      </c>
      <c r="O854" s="5">
        <f t="shared" si="40"/>
        <v>9691299</v>
      </c>
      <c r="P854">
        <f>MAX(Table1[RATING COUNT])</f>
        <v>426973</v>
      </c>
    </row>
    <row r="855" spans="1:16">
      <c r="A855" t="s">
        <v>2379</v>
      </c>
      <c r="B855" t="s">
        <v>816</v>
      </c>
      <c r="D855" t="s">
        <v>1489</v>
      </c>
      <c r="E855" t="s">
        <v>1490</v>
      </c>
      <c r="F855" t="s">
        <v>1491</v>
      </c>
      <c r="G855" t="s">
        <v>1492</v>
      </c>
      <c r="H855" s="7">
        <v>150</v>
      </c>
      <c r="I855" s="7">
        <v>150</v>
      </c>
      <c r="J855" s="7" t="str">
        <f t="shared" si="41"/>
        <v>&lt;₹200</v>
      </c>
      <c r="K855" s="1">
        <v>0</v>
      </c>
      <c r="L855" s="1" t="str">
        <f t="shared" si="39"/>
        <v>&lt;50%</v>
      </c>
      <c r="M855">
        <v>4.3</v>
      </c>
      <c r="N855" s="2">
        <v>15867</v>
      </c>
      <c r="O855" s="5">
        <f t="shared" si="40"/>
        <v>2380050</v>
      </c>
      <c r="P855">
        <f>MAX(Table1[RATING COUNT])</f>
        <v>426973</v>
      </c>
    </row>
    <row r="856" spans="1:16">
      <c r="A856" t="s">
        <v>2380</v>
      </c>
      <c r="B856" t="s">
        <v>817</v>
      </c>
      <c r="D856" t="s">
        <v>1345</v>
      </c>
      <c r="E856" t="s">
        <v>1349</v>
      </c>
      <c r="F856" t="s">
        <v>1440</v>
      </c>
      <c r="H856" s="7">
        <v>1199</v>
      </c>
      <c r="I856" s="7">
        <v>2999</v>
      </c>
      <c r="J856" s="7" t="str">
        <f t="shared" si="41"/>
        <v>&gt;₹500</v>
      </c>
      <c r="K856" s="1">
        <v>0.6</v>
      </c>
      <c r="L856" s="1" t="str">
        <f t="shared" si="39"/>
        <v>50% or More</v>
      </c>
      <c r="M856">
        <v>4.0999999999999996</v>
      </c>
      <c r="N856" s="2">
        <v>10725</v>
      </c>
      <c r="O856" s="5">
        <f t="shared" si="40"/>
        <v>32164275</v>
      </c>
      <c r="P856">
        <f>MAX(Table1[RATING COUNT])</f>
        <v>426973</v>
      </c>
    </row>
    <row r="857" spans="1:16">
      <c r="A857" t="s">
        <v>2381</v>
      </c>
      <c r="B857" t="s">
        <v>818</v>
      </c>
      <c r="D857" t="s">
        <v>1345</v>
      </c>
      <c r="E857" t="s">
        <v>1346</v>
      </c>
      <c r="F857" t="s">
        <v>1437</v>
      </c>
      <c r="H857" s="7">
        <v>397</v>
      </c>
      <c r="I857" s="7">
        <v>899</v>
      </c>
      <c r="J857" s="7" t="str">
        <f t="shared" si="41"/>
        <v>&gt;₹500</v>
      </c>
      <c r="K857" s="1">
        <v>0.56000000000000005</v>
      </c>
      <c r="L857" s="1" t="str">
        <f t="shared" si="39"/>
        <v>50% or More</v>
      </c>
      <c r="M857">
        <v>4</v>
      </c>
      <c r="N857" s="2">
        <v>3025</v>
      </c>
      <c r="O857" s="5">
        <f t="shared" si="40"/>
        <v>2719475</v>
      </c>
      <c r="P857">
        <f>MAX(Table1[RATING COUNT])</f>
        <v>426973</v>
      </c>
    </row>
    <row r="858" spans="1:16">
      <c r="A858" t="s">
        <v>2382</v>
      </c>
      <c r="B858" t="s">
        <v>819</v>
      </c>
      <c r="D858" t="s">
        <v>1345</v>
      </c>
      <c r="E858" t="s">
        <v>1346</v>
      </c>
      <c r="F858" t="s">
        <v>1433</v>
      </c>
      <c r="G858" t="s">
        <v>1454</v>
      </c>
      <c r="H858" s="7">
        <v>699</v>
      </c>
      <c r="I858" s="7">
        <v>1490</v>
      </c>
      <c r="J858" s="7" t="str">
        <f t="shared" si="41"/>
        <v>&gt;₹500</v>
      </c>
      <c r="K858" s="1">
        <v>0.53</v>
      </c>
      <c r="L858" s="1" t="str">
        <f t="shared" si="39"/>
        <v>50% or More</v>
      </c>
      <c r="M858">
        <v>4</v>
      </c>
      <c r="N858" s="2">
        <v>5736</v>
      </c>
      <c r="O858" s="5">
        <f t="shared" si="40"/>
        <v>8546640</v>
      </c>
      <c r="P858">
        <f>MAX(Table1[RATING COUNT])</f>
        <v>426973</v>
      </c>
    </row>
    <row r="859" spans="1:16">
      <c r="A859" t="s">
        <v>1655</v>
      </c>
      <c r="B859" t="s">
        <v>820</v>
      </c>
      <c r="D859" t="s">
        <v>1352</v>
      </c>
      <c r="E859" t="s">
        <v>1383</v>
      </c>
      <c r="F859" t="s">
        <v>1384</v>
      </c>
      <c r="G859" t="s">
        <v>1385</v>
      </c>
      <c r="H859" s="7">
        <v>1679</v>
      </c>
      <c r="I859" s="7">
        <v>1999</v>
      </c>
      <c r="J859" s="7" t="str">
        <f t="shared" si="41"/>
        <v>&gt;₹500</v>
      </c>
      <c r="K859" s="1">
        <v>0.16</v>
      </c>
      <c r="L859" s="1" t="str">
        <f t="shared" si="39"/>
        <v>&lt;50%</v>
      </c>
      <c r="M859">
        <v>4.0999999999999996</v>
      </c>
      <c r="N859" s="2">
        <v>72563</v>
      </c>
      <c r="O859" s="5">
        <f t="shared" si="40"/>
        <v>145053437</v>
      </c>
      <c r="P859">
        <f>MAX(Table1[RATING COUNT])</f>
        <v>426973</v>
      </c>
    </row>
    <row r="860" spans="1:16">
      <c r="A860" t="s">
        <v>2383</v>
      </c>
      <c r="B860" t="s">
        <v>821</v>
      </c>
      <c r="D860" t="s">
        <v>1345</v>
      </c>
      <c r="E860" t="s">
        <v>1346</v>
      </c>
      <c r="F860" t="s">
        <v>1401</v>
      </c>
      <c r="G860" t="s">
        <v>1403</v>
      </c>
      <c r="H860" s="7">
        <v>354</v>
      </c>
      <c r="I860" s="7">
        <v>1500</v>
      </c>
      <c r="J860" s="7" t="str">
        <f t="shared" si="41"/>
        <v>&gt;₹500</v>
      </c>
      <c r="K860" s="1">
        <v>0.76</v>
      </c>
      <c r="L860" s="1" t="str">
        <f t="shared" si="39"/>
        <v>50% or More</v>
      </c>
      <c r="M860">
        <v>4</v>
      </c>
      <c r="N860" s="2">
        <v>1026</v>
      </c>
      <c r="O860" s="5">
        <f t="shared" si="40"/>
        <v>1539000</v>
      </c>
      <c r="P860">
        <f>MAX(Table1[RATING COUNT])</f>
        <v>426973</v>
      </c>
    </row>
    <row r="861" spans="1:16">
      <c r="A861" t="s">
        <v>2384</v>
      </c>
      <c r="B861" t="s">
        <v>822</v>
      </c>
      <c r="D861" t="s">
        <v>1345</v>
      </c>
      <c r="E861" t="s">
        <v>1346</v>
      </c>
      <c r="F861" t="s">
        <v>1433</v>
      </c>
      <c r="G861" t="s">
        <v>1493</v>
      </c>
      <c r="H861" s="7">
        <v>1199</v>
      </c>
      <c r="I861" s="7">
        <v>5499</v>
      </c>
      <c r="J861" s="7" t="str">
        <f t="shared" si="41"/>
        <v>&gt;₹500</v>
      </c>
      <c r="K861" s="1">
        <v>0.78</v>
      </c>
      <c r="L861" s="1" t="str">
        <f t="shared" si="39"/>
        <v>50% or More</v>
      </c>
      <c r="M861">
        <v>3.8</v>
      </c>
      <c r="N861" s="2">
        <v>2043</v>
      </c>
      <c r="O861" s="5">
        <f t="shared" si="40"/>
        <v>11234457</v>
      </c>
      <c r="P861">
        <f>MAX(Table1[RATING COUNT])</f>
        <v>426973</v>
      </c>
    </row>
    <row r="862" spans="1:16">
      <c r="A862" t="s">
        <v>2385</v>
      </c>
      <c r="B862" t="s">
        <v>823</v>
      </c>
      <c r="D862" t="s">
        <v>1345</v>
      </c>
      <c r="E862" t="s">
        <v>1346</v>
      </c>
      <c r="F862" t="s">
        <v>1453</v>
      </c>
      <c r="G862" t="s">
        <v>1393</v>
      </c>
      <c r="H862" s="7">
        <v>379</v>
      </c>
      <c r="I862" s="7">
        <v>1499</v>
      </c>
      <c r="J862" s="7" t="str">
        <f t="shared" si="41"/>
        <v>&gt;₹500</v>
      </c>
      <c r="K862" s="1">
        <v>0.75</v>
      </c>
      <c r="L862" s="1" t="str">
        <f t="shared" si="39"/>
        <v>50% or More</v>
      </c>
      <c r="M862">
        <v>4.2</v>
      </c>
      <c r="N862" s="2">
        <v>4149</v>
      </c>
      <c r="O862" s="5">
        <f t="shared" si="40"/>
        <v>6219351</v>
      </c>
      <c r="P862">
        <f>MAX(Table1[RATING COUNT])</f>
        <v>426973</v>
      </c>
    </row>
    <row r="863" spans="1:16">
      <c r="A863" t="s">
        <v>2386</v>
      </c>
      <c r="B863" t="s">
        <v>824</v>
      </c>
      <c r="D863" t="s">
        <v>1345</v>
      </c>
      <c r="E863" t="s">
        <v>1399</v>
      </c>
      <c r="F863" t="s">
        <v>1421</v>
      </c>
      <c r="H863" s="7">
        <v>499</v>
      </c>
      <c r="I863" s="7">
        <v>775</v>
      </c>
      <c r="J863" s="7" t="str">
        <f t="shared" si="41"/>
        <v>&gt;₹500</v>
      </c>
      <c r="K863" s="1">
        <v>0.36</v>
      </c>
      <c r="L863" s="1" t="str">
        <f t="shared" si="39"/>
        <v>&lt;50%</v>
      </c>
      <c r="M863">
        <v>4.3</v>
      </c>
      <c r="N863" s="2">
        <v>74</v>
      </c>
      <c r="O863" s="5">
        <f t="shared" si="40"/>
        <v>57350</v>
      </c>
      <c r="P863">
        <f>MAX(Table1[RATING COUNT])</f>
        <v>426973</v>
      </c>
    </row>
    <row r="864" spans="1:16">
      <c r="A864" t="s">
        <v>2387</v>
      </c>
      <c r="B864" t="s">
        <v>825</v>
      </c>
      <c r="D864" t="s">
        <v>1345</v>
      </c>
      <c r="E864" t="s">
        <v>1399</v>
      </c>
      <c r="F864" t="s">
        <v>1494</v>
      </c>
      <c r="H864" s="7">
        <v>10389</v>
      </c>
      <c r="I864" s="7">
        <v>32000</v>
      </c>
      <c r="J864" s="7" t="str">
        <f t="shared" si="41"/>
        <v>&gt;₹500</v>
      </c>
      <c r="K864" s="1">
        <v>0.68</v>
      </c>
      <c r="L864" s="1" t="str">
        <f t="shared" si="39"/>
        <v>50% or More</v>
      </c>
      <c r="M864">
        <v>4.4000000000000004</v>
      </c>
      <c r="N864" s="2">
        <v>41398</v>
      </c>
      <c r="O864" s="5">
        <f t="shared" si="40"/>
        <v>1324736000</v>
      </c>
      <c r="P864">
        <f>MAX(Table1[RATING COUNT])</f>
        <v>426973</v>
      </c>
    </row>
    <row r="865" spans="1:16">
      <c r="A865" t="s">
        <v>2388</v>
      </c>
      <c r="B865" t="s">
        <v>826</v>
      </c>
      <c r="D865" t="s">
        <v>1345</v>
      </c>
      <c r="E865" t="s">
        <v>1346</v>
      </c>
      <c r="F865" t="s">
        <v>1457</v>
      </c>
      <c r="G865" t="s">
        <v>1477</v>
      </c>
      <c r="H865" s="7">
        <v>649</v>
      </c>
      <c r="I865" s="7">
        <v>1300</v>
      </c>
      <c r="J865" s="7" t="str">
        <f t="shared" si="41"/>
        <v>&gt;₹500</v>
      </c>
      <c r="K865" s="1">
        <v>0.5</v>
      </c>
      <c r="L865" s="1" t="str">
        <f t="shared" si="39"/>
        <v>50% or More</v>
      </c>
      <c r="M865">
        <v>4.0999999999999996</v>
      </c>
      <c r="N865" s="2">
        <v>5195</v>
      </c>
      <c r="O865" s="5">
        <f t="shared" si="40"/>
        <v>6753500</v>
      </c>
      <c r="P865">
        <f>MAX(Table1[RATING COUNT])</f>
        <v>426973</v>
      </c>
    </row>
    <row r="866" spans="1:16">
      <c r="A866" t="s">
        <v>2389</v>
      </c>
      <c r="B866" t="s">
        <v>827</v>
      </c>
      <c r="D866" t="s">
        <v>1345</v>
      </c>
      <c r="E866" t="s">
        <v>1349</v>
      </c>
      <c r="F866" t="s">
        <v>1350</v>
      </c>
      <c r="G866" t="s">
        <v>1495</v>
      </c>
      <c r="H866" s="7">
        <v>1199</v>
      </c>
      <c r="I866" s="7">
        <v>1999</v>
      </c>
      <c r="J866" s="7" t="str">
        <f t="shared" si="41"/>
        <v>&gt;₹500</v>
      </c>
      <c r="K866" s="1">
        <v>0.4</v>
      </c>
      <c r="L866" s="1" t="str">
        <f t="shared" si="39"/>
        <v>&lt;50%</v>
      </c>
      <c r="M866">
        <v>4.5</v>
      </c>
      <c r="N866" s="2">
        <v>22420</v>
      </c>
      <c r="O866" s="5">
        <f t="shared" si="40"/>
        <v>44817580</v>
      </c>
      <c r="P866">
        <f>MAX(Table1[RATING COUNT])</f>
        <v>426973</v>
      </c>
    </row>
    <row r="867" spans="1:16">
      <c r="A867" t="s">
        <v>2390</v>
      </c>
      <c r="B867" t="s">
        <v>828</v>
      </c>
      <c r="D867" t="s">
        <v>1352</v>
      </c>
      <c r="E867" t="s">
        <v>1383</v>
      </c>
      <c r="F867" t="s">
        <v>1384</v>
      </c>
      <c r="G867" t="s">
        <v>1385</v>
      </c>
      <c r="H867" s="7">
        <v>889</v>
      </c>
      <c r="I867" s="7">
        <v>1999</v>
      </c>
      <c r="J867" s="7" t="str">
        <f t="shared" si="41"/>
        <v>&gt;₹500</v>
      </c>
      <c r="K867" s="1">
        <v>0.56000000000000005</v>
      </c>
      <c r="L867" s="1" t="str">
        <f t="shared" si="39"/>
        <v>50% or More</v>
      </c>
      <c r="M867">
        <v>4.2</v>
      </c>
      <c r="N867" s="2">
        <v>2284</v>
      </c>
      <c r="O867" s="5">
        <f t="shared" si="40"/>
        <v>4565716</v>
      </c>
      <c r="P867">
        <f>MAX(Table1[RATING COUNT])</f>
        <v>426973</v>
      </c>
    </row>
    <row r="868" spans="1:16">
      <c r="A868" t="s">
        <v>2391</v>
      </c>
      <c r="B868" t="s">
        <v>829</v>
      </c>
      <c r="D868" t="s">
        <v>1345</v>
      </c>
      <c r="E868" t="s">
        <v>1346</v>
      </c>
      <c r="F868" t="s">
        <v>1401</v>
      </c>
      <c r="G868" t="s">
        <v>1420</v>
      </c>
      <c r="H868" s="7">
        <v>1409</v>
      </c>
      <c r="I868" s="7">
        <v>2199</v>
      </c>
      <c r="J868" s="7" t="str">
        <f t="shared" si="41"/>
        <v>&gt;₹500</v>
      </c>
      <c r="K868" s="1">
        <v>0.36</v>
      </c>
      <c r="L868" s="1" t="str">
        <f t="shared" si="39"/>
        <v>&lt;50%</v>
      </c>
      <c r="M868">
        <v>3.9</v>
      </c>
      <c r="N868" s="2">
        <v>427</v>
      </c>
      <c r="O868" s="5">
        <f t="shared" si="40"/>
        <v>938973</v>
      </c>
      <c r="P868">
        <f>MAX(Table1[RATING COUNT])</f>
        <v>426973</v>
      </c>
    </row>
    <row r="869" spans="1:16">
      <c r="A869" t="s">
        <v>2392</v>
      </c>
      <c r="B869" t="s">
        <v>830</v>
      </c>
      <c r="D869" t="s">
        <v>1345</v>
      </c>
      <c r="E869" t="s">
        <v>1429</v>
      </c>
      <c r="F869" t="s">
        <v>1430</v>
      </c>
      <c r="G869" t="s">
        <v>1496</v>
      </c>
      <c r="H869" s="7">
        <v>549</v>
      </c>
      <c r="I869" s="7">
        <v>1999</v>
      </c>
      <c r="J869" s="7" t="str">
        <f t="shared" si="41"/>
        <v>&gt;₹500</v>
      </c>
      <c r="K869" s="1">
        <v>0.73</v>
      </c>
      <c r="L869" s="1" t="str">
        <f t="shared" si="39"/>
        <v>50% or More</v>
      </c>
      <c r="M869">
        <v>4.3</v>
      </c>
      <c r="N869" s="2">
        <v>1367</v>
      </c>
      <c r="O869" s="5">
        <f t="shared" si="40"/>
        <v>2732633</v>
      </c>
      <c r="P869">
        <f>MAX(Table1[RATING COUNT])</f>
        <v>426973</v>
      </c>
    </row>
    <row r="870" spans="1:16">
      <c r="A870" t="s">
        <v>2393</v>
      </c>
      <c r="B870" t="s">
        <v>831</v>
      </c>
      <c r="D870" t="s">
        <v>1345</v>
      </c>
      <c r="E870" t="s">
        <v>1346</v>
      </c>
      <c r="F870" t="s">
        <v>1433</v>
      </c>
      <c r="G870" t="s">
        <v>1493</v>
      </c>
      <c r="H870" s="7">
        <v>749</v>
      </c>
      <c r="I870" s="7">
        <v>1799</v>
      </c>
      <c r="J870" s="7" t="str">
        <f t="shared" si="41"/>
        <v>&gt;₹500</v>
      </c>
      <c r="K870" s="1">
        <v>0.57999999999999996</v>
      </c>
      <c r="L870" s="1" t="str">
        <f t="shared" si="39"/>
        <v>50% or More</v>
      </c>
      <c r="M870">
        <v>4</v>
      </c>
      <c r="N870" s="2">
        <v>13199</v>
      </c>
      <c r="O870" s="5">
        <f t="shared" si="40"/>
        <v>23745001</v>
      </c>
      <c r="P870">
        <f>MAX(Table1[RATING COUNT])</f>
        <v>426973</v>
      </c>
    </row>
    <row r="871" spans="1:16">
      <c r="A871" t="s">
        <v>1653</v>
      </c>
      <c r="B871" t="s">
        <v>832</v>
      </c>
      <c r="D871" t="s">
        <v>1345</v>
      </c>
      <c r="E871" t="s">
        <v>1346</v>
      </c>
      <c r="F871" t="s">
        <v>1347</v>
      </c>
      <c r="G871" t="s">
        <v>1348</v>
      </c>
      <c r="H871" s="7">
        <v>379</v>
      </c>
      <c r="I871" s="7">
        <v>1099</v>
      </c>
      <c r="J871" s="7" t="str">
        <f t="shared" si="41"/>
        <v>&gt;₹500</v>
      </c>
      <c r="K871" s="1">
        <v>0.66</v>
      </c>
      <c r="L871" s="1" t="str">
        <f t="shared" si="39"/>
        <v>50% or More</v>
      </c>
      <c r="M871">
        <v>4.3</v>
      </c>
      <c r="N871" s="2">
        <v>2806</v>
      </c>
      <c r="O871" s="5">
        <f t="shared" si="40"/>
        <v>3083794</v>
      </c>
      <c r="P871">
        <f>MAX(Table1[RATING COUNT])</f>
        <v>426973</v>
      </c>
    </row>
    <row r="872" spans="1:16">
      <c r="A872" t="s">
        <v>2394</v>
      </c>
      <c r="B872" t="s">
        <v>833</v>
      </c>
      <c r="D872" t="s">
        <v>1352</v>
      </c>
      <c r="E872" t="s">
        <v>1373</v>
      </c>
      <c r="F872" t="s">
        <v>1374</v>
      </c>
      <c r="H872" s="7">
        <v>5998</v>
      </c>
      <c r="I872" s="7">
        <v>7999</v>
      </c>
      <c r="J872" s="7" t="str">
        <f t="shared" si="41"/>
        <v>&gt;₹500</v>
      </c>
      <c r="K872" s="1">
        <v>0.25</v>
      </c>
      <c r="L872" s="1" t="str">
        <f t="shared" si="39"/>
        <v>&lt;50%</v>
      </c>
      <c r="M872">
        <v>4.2</v>
      </c>
      <c r="N872" s="2">
        <v>30355</v>
      </c>
      <c r="O872" s="5">
        <f t="shared" si="40"/>
        <v>242809645</v>
      </c>
      <c r="P872">
        <f>MAX(Table1[RATING COUNT])</f>
        <v>426973</v>
      </c>
    </row>
    <row r="873" spans="1:16">
      <c r="A873" t="s">
        <v>2395</v>
      </c>
      <c r="B873" t="s">
        <v>834</v>
      </c>
      <c r="D873" t="s">
        <v>1345</v>
      </c>
      <c r="E873" t="s">
        <v>1346</v>
      </c>
      <c r="F873" t="s">
        <v>1397</v>
      </c>
      <c r="G873" t="s">
        <v>1460</v>
      </c>
      <c r="H873" s="7">
        <v>299</v>
      </c>
      <c r="I873" s="7">
        <v>1499</v>
      </c>
      <c r="J873" s="7" t="str">
        <f t="shared" si="41"/>
        <v>&gt;₹500</v>
      </c>
      <c r="K873" s="1">
        <v>0.8</v>
      </c>
      <c r="L873" s="1" t="str">
        <f t="shared" si="39"/>
        <v>50% or More</v>
      </c>
      <c r="M873">
        <v>4.2</v>
      </c>
      <c r="N873" s="2">
        <v>2868</v>
      </c>
      <c r="O873" s="5">
        <f t="shared" si="40"/>
        <v>4299132</v>
      </c>
      <c r="P873">
        <f>MAX(Table1[RATING COUNT])</f>
        <v>426973</v>
      </c>
    </row>
    <row r="874" spans="1:16">
      <c r="A874" t="s">
        <v>2396</v>
      </c>
      <c r="B874" t="s">
        <v>835</v>
      </c>
      <c r="D874" t="s">
        <v>1345</v>
      </c>
      <c r="E874" t="s">
        <v>1346</v>
      </c>
      <c r="F874" t="s">
        <v>1453</v>
      </c>
      <c r="G874" t="s">
        <v>1393</v>
      </c>
      <c r="H874" s="7">
        <v>379</v>
      </c>
      <c r="I874" s="7">
        <v>1499</v>
      </c>
      <c r="J874" s="7" t="str">
        <f t="shared" si="41"/>
        <v>&gt;₹500</v>
      </c>
      <c r="K874" s="1">
        <v>0.75</v>
      </c>
      <c r="L874" s="1" t="str">
        <f t="shared" si="39"/>
        <v>50% or More</v>
      </c>
      <c r="M874">
        <v>4.0999999999999996</v>
      </c>
      <c r="N874" s="2">
        <v>670</v>
      </c>
      <c r="O874" s="5">
        <f t="shared" si="40"/>
        <v>1004330</v>
      </c>
      <c r="P874">
        <f>MAX(Table1[RATING COUNT])</f>
        <v>426973</v>
      </c>
    </row>
    <row r="875" spans="1:16">
      <c r="A875" t="s">
        <v>2397</v>
      </c>
      <c r="B875" t="s">
        <v>836</v>
      </c>
      <c r="D875" t="s">
        <v>1412</v>
      </c>
      <c r="E875" t="s">
        <v>1413</v>
      </c>
      <c r="F875" t="s">
        <v>1414</v>
      </c>
      <c r="G875" t="s">
        <v>1415</v>
      </c>
      <c r="H875" s="7">
        <v>1399</v>
      </c>
      <c r="I875" s="7">
        <v>2999</v>
      </c>
      <c r="J875" s="7" t="str">
        <f t="shared" si="41"/>
        <v>&gt;₹500</v>
      </c>
      <c r="K875" s="1">
        <v>0.53</v>
      </c>
      <c r="L875" s="1" t="str">
        <f t="shared" si="39"/>
        <v>50% or More</v>
      </c>
      <c r="M875">
        <v>4.3</v>
      </c>
      <c r="N875" s="2">
        <v>3530</v>
      </c>
      <c r="O875" s="5">
        <f t="shared" si="40"/>
        <v>10586470</v>
      </c>
      <c r="P875">
        <f>MAX(Table1[RATING COUNT])</f>
        <v>426973</v>
      </c>
    </row>
    <row r="876" spans="1:16">
      <c r="A876" t="s">
        <v>2398</v>
      </c>
      <c r="B876" t="s">
        <v>837</v>
      </c>
      <c r="D876" t="s">
        <v>1352</v>
      </c>
      <c r="E876" t="s">
        <v>1422</v>
      </c>
      <c r="F876" t="s">
        <v>1354</v>
      </c>
      <c r="G876" t="s">
        <v>1497</v>
      </c>
      <c r="H876" s="7">
        <v>699</v>
      </c>
      <c r="I876" s="7">
        <v>1299</v>
      </c>
      <c r="J876" s="7" t="str">
        <f t="shared" si="41"/>
        <v>&gt;₹500</v>
      </c>
      <c r="K876" s="1">
        <v>0.46</v>
      </c>
      <c r="L876" s="1" t="str">
        <f t="shared" si="39"/>
        <v>&lt;50%</v>
      </c>
      <c r="M876">
        <v>4.3</v>
      </c>
      <c r="N876" s="2">
        <v>6183</v>
      </c>
      <c r="O876" s="5">
        <f t="shared" si="40"/>
        <v>8031717</v>
      </c>
      <c r="P876">
        <f>MAX(Table1[RATING COUNT])</f>
        <v>426973</v>
      </c>
    </row>
    <row r="877" spans="1:16">
      <c r="A877" t="s">
        <v>2399</v>
      </c>
      <c r="B877" t="s">
        <v>838</v>
      </c>
      <c r="D877" t="s">
        <v>1412</v>
      </c>
      <c r="E877" t="s">
        <v>1413</v>
      </c>
      <c r="F877" t="s">
        <v>1414</v>
      </c>
      <c r="G877" t="s">
        <v>1415</v>
      </c>
      <c r="H877" s="7">
        <v>300</v>
      </c>
      <c r="I877" s="7">
        <v>300</v>
      </c>
      <c r="J877" s="7" t="str">
        <f t="shared" si="41"/>
        <v>₹200–₹500</v>
      </c>
      <c r="K877" s="1">
        <v>0</v>
      </c>
      <c r="L877" s="1" t="str">
        <f t="shared" si="39"/>
        <v>&lt;50%</v>
      </c>
      <c r="M877">
        <v>4.2</v>
      </c>
      <c r="N877" s="2">
        <v>419</v>
      </c>
      <c r="O877" s="5">
        <f t="shared" si="40"/>
        <v>125700</v>
      </c>
      <c r="P877">
        <f>MAX(Table1[RATING COUNT])</f>
        <v>426973</v>
      </c>
    </row>
    <row r="878" spans="1:16">
      <c r="A878" t="s">
        <v>2400</v>
      </c>
      <c r="B878" t="s">
        <v>839</v>
      </c>
      <c r="D878" t="s">
        <v>1345</v>
      </c>
      <c r="E878" t="s">
        <v>1346</v>
      </c>
      <c r="F878" t="s">
        <v>1401</v>
      </c>
      <c r="G878" t="s">
        <v>1432</v>
      </c>
      <c r="H878" s="7">
        <v>999</v>
      </c>
      <c r="I878" s="7">
        <v>1995</v>
      </c>
      <c r="J878" s="7" t="str">
        <f t="shared" si="41"/>
        <v>&gt;₹500</v>
      </c>
      <c r="K878" s="1">
        <v>0.5</v>
      </c>
      <c r="L878" s="1" t="str">
        <f t="shared" si="39"/>
        <v>50% or More</v>
      </c>
      <c r="M878">
        <v>4.5</v>
      </c>
      <c r="N878" s="2">
        <v>7317</v>
      </c>
      <c r="O878" s="5">
        <f t="shared" si="40"/>
        <v>14597415</v>
      </c>
      <c r="P878">
        <f>MAX(Table1[RATING COUNT])</f>
        <v>426973</v>
      </c>
    </row>
    <row r="879" spans="1:16">
      <c r="A879" t="s">
        <v>2401</v>
      </c>
      <c r="B879" t="s">
        <v>840</v>
      </c>
      <c r="D879" t="s">
        <v>1412</v>
      </c>
      <c r="E879" t="s">
        <v>1425</v>
      </c>
      <c r="F879" t="s">
        <v>1426</v>
      </c>
      <c r="G879" t="s">
        <v>1498</v>
      </c>
      <c r="H879" s="7">
        <v>535</v>
      </c>
      <c r="I879" s="7">
        <v>535</v>
      </c>
      <c r="J879" s="7" t="str">
        <f t="shared" si="41"/>
        <v>&gt;₹500</v>
      </c>
      <c r="K879" s="1">
        <v>0</v>
      </c>
      <c r="L879" s="1" t="str">
        <f t="shared" si="39"/>
        <v>&lt;50%</v>
      </c>
      <c r="M879">
        <v>4.4000000000000004</v>
      </c>
      <c r="N879" s="2">
        <v>4426</v>
      </c>
      <c r="O879" s="5">
        <f t="shared" si="40"/>
        <v>2367910</v>
      </c>
      <c r="P879">
        <f>MAX(Table1[RATING COUNT])</f>
        <v>426973</v>
      </c>
    </row>
    <row r="880" spans="1:16">
      <c r="A880" t="s">
        <v>2402</v>
      </c>
      <c r="B880" t="s">
        <v>64</v>
      </c>
      <c r="D880" t="s">
        <v>1352</v>
      </c>
      <c r="E880" t="s">
        <v>1353</v>
      </c>
      <c r="F880" t="s">
        <v>1355</v>
      </c>
      <c r="G880" t="s">
        <v>1356</v>
      </c>
      <c r="H880" s="7">
        <v>13999</v>
      </c>
      <c r="I880" s="7">
        <v>24999</v>
      </c>
      <c r="J880" s="7" t="str">
        <f t="shared" si="41"/>
        <v>&gt;₹500</v>
      </c>
      <c r="K880" s="1">
        <v>0.44</v>
      </c>
      <c r="L880" s="1" t="str">
        <f t="shared" si="39"/>
        <v>&lt;50%</v>
      </c>
      <c r="M880">
        <v>4.2</v>
      </c>
      <c r="N880" s="2">
        <v>45237</v>
      </c>
      <c r="O880" s="5">
        <f t="shared" si="40"/>
        <v>1130879763</v>
      </c>
      <c r="P880">
        <f>MAX(Table1[RATING COUNT])</f>
        <v>426973</v>
      </c>
    </row>
    <row r="881" spans="1:16">
      <c r="A881" t="s">
        <v>2403</v>
      </c>
      <c r="B881" t="s">
        <v>841</v>
      </c>
      <c r="D881" t="s">
        <v>1345</v>
      </c>
      <c r="E881" t="s">
        <v>1346</v>
      </c>
      <c r="F881" t="s">
        <v>1397</v>
      </c>
      <c r="G881" t="s">
        <v>1460</v>
      </c>
      <c r="H881" s="7">
        <v>269</v>
      </c>
      <c r="I881" s="7">
        <v>1099</v>
      </c>
      <c r="J881" s="7" t="str">
        <f t="shared" si="41"/>
        <v>&gt;₹500</v>
      </c>
      <c r="K881" s="1">
        <v>0.76</v>
      </c>
      <c r="L881" s="1" t="str">
        <f t="shared" si="39"/>
        <v>50% or More</v>
      </c>
      <c r="M881">
        <v>4.0999999999999996</v>
      </c>
      <c r="N881" s="2">
        <v>1092</v>
      </c>
      <c r="O881" s="5">
        <f t="shared" si="40"/>
        <v>1200108</v>
      </c>
      <c r="P881">
        <f>MAX(Table1[RATING COUNT])</f>
        <v>426973</v>
      </c>
    </row>
    <row r="882" spans="1:16">
      <c r="A882" t="s">
        <v>2404</v>
      </c>
      <c r="B882" t="s">
        <v>842</v>
      </c>
      <c r="D882" t="s">
        <v>1412</v>
      </c>
      <c r="E882" t="s">
        <v>1413</v>
      </c>
      <c r="F882" t="s">
        <v>1414</v>
      </c>
      <c r="G882" t="s">
        <v>1415</v>
      </c>
      <c r="H882" s="7">
        <v>341</v>
      </c>
      <c r="I882" s="7">
        <v>450</v>
      </c>
      <c r="J882" s="7" t="str">
        <f t="shared" si="41"/>
        <v>₹200–₹500</v>
      </c>
      <c r="K882" s="1">
        <v>0.24</v>
      </c>
      <c r="L882" s="1" t="str">
        <f t="shared" si="39"/>
        <v>&lt;50%</v>
      </c>
      <c r="M882">
        <v>4.3</v>
      </c>
      <c r="N882" s="2">
        <v>2493</v>
      </c>
      <c r="O882" s="5">
        <f t="shared" si="40"/>
        <v>1121850</v>
      </c>
      <c r="P882">
        <f>MAX(Table1[RATING COUNT])</f>
        <v>426973</v>
      </c>
    </row>
    <row r="883" spans="1:16">
      <c r="A883" t="s">
        <v>1656</v>
      </c>
      <c r="B883" t="s">
        <v>843</v>
      </c>
      <c r="D883" t="s">
        <v>1345</v>
      </c>
      <c r="E883" t="s">
        <v>1349</v>
      </c>
      <c r="F883" t="s">
        <v>1440</v>
      </c>
      <c r="H883" s="7">
        <v>2499</v>
      </c>
      <c r="I883" s="7">
        <v>3999</v>
      </c>
      <c r="J883" s="7" t="str">
        <f t="shared" si="41"/>
        <v>&gt;₹500</v>
      </c>
      <c r="K883" s="1">
        <v>0.38</v>
      </c>
      <c r="L883" s="1" t="str">
        <f t="shared" si="39"/>
        <v>&lt;50%</v>
      </c>
      <c r="M883">
        <v>4.4000000000000004</v>
      </c>
      <c r="N883" s="2">
        <v>12679</v>
      </c>
      <c r="O883" s="5">
        <f t="shared" si="40"/>
        <v>50703321</v>
      </c>
      <c r="P883">
        <f>MAX(Table1[RATING COUNT])</f>
        <v>426973</v>
      </c>
    </row>
    <row r="884" spans="1:16">
      <c r="A884" t="s">
        <v>2405</v>
      </c>
      <c r="B884" t="s">
        <v>844</v>
      </c>
      <c r="D884" t="s">
        <v>1345</v>
      </c>
      <c r="E884" t="s">
        <v>1429</v>
      </c>
      <c r="F884" t="s">
        <v>1483</v>
      </c>
      <c r="H884" s="7">
        <v>5899</v>
      </c>
      <c r="I884" s="7">
        <v>7005</v>
      </c>
      <c r="J884" s="7" t="str">
        <f t="shared" si="41"/>
        <v>&gt;₹500</v>
      </c>
      <c r="K884" s="1">
        <v>0.16</v>
      </c>
      <c r="L884" s="1" t="str">
        <f t="shared" si="39"/>
        <v>&lt;50%</v>
      </c>
      <c r="M884">
        <v>3.6</v>
      </c>
      <c r="N884" s="2">
        <v>4199</v>
      </c>
      <c r="O884" s="5">
        <f t="shared" si="40"/>
        <v>29413995</v>
      </c>
      <c r="P884">
        <f>MAX(Table1[RATING COUNT])</f>
        <v>426973</v>
      </c>
    </row>
    <row r="885" spans="1:16">
      <c r="A885" t="s">
        <v>2406</v>
      </c>
      <c r="B885" t="s">
        <v>520</v>
      </c>
      <c r="D885" t="s">
        <v>1352</v>
      </c>
      <c r="E885" t="s">
        <v>1375</v>
      </c>
      <c r="F885" t="s">
        <v>1376</v>
      </c>
      <c r="G885" t="s">
        <v>1377</v>
      </c>
      <c r="H885" s="7">
        <v>699</v>
      </c>
      <c r="I885" s="7">
        <v>1199</v>
      </c>
      <c r="J885" s="7" t="str">
        <f t="shared" si="41"/>
        <v>&gt;₹500</v>
      </c>
      <c r="K885" s="1">
        <v>0.42</v>
      </c>
      <c r="L885" s="1" t="str">
        <f t="shared" si="39"/>
        <v>&lt;50%</v>
      </c>
      <c r="M885">
        <v>4</v>
      </c>
      <c r="N885" s="2">
        <v>14403</v>
      </c>
      <c r="O885" s="5">
        <f t="shared" si="40"/>
        <v>17269197</v>
      </c>
      <c r="P885">
        <f>MAX(Table1[RATING COUNT])</f>
        <v>426973</v>
      </c>
    </row>
    <row r="886" spans="1:16">
      <c r="A886" t="s">
        <v>2407</v>
      </c>
      <c r="B886" t="s">
        <v>845</v>
      </c>
      <c r="D886" t="s">
        <v>1345</v>
      </c>
      <c r="E886" t="s">
        <v>1349</v>
      </c>
      <c r="F886" t="s">
        <v>1440</v>
      </c>
      <c r="H886" s="7">
        <v>1565</v>
      </c>
      <c r="I886" s="7">
        <v>2999</v>
      </c>
      <c r="J886" s="7" t="str">
        <f t="shared" si="41"/>
        <v>&gt;₹500</v>
      </c>
      <c r="K886" s="1">
        <v>0.48</v>
      </c>
      <c r="L886" s="1" t="str">
        <f t="shared" si="39"/>
        <v>&lt;50%</v>
      </c>
      <c r="M886">
        <v>4</v>
      </c>
      <c r="N886" s="2">
        <v>11113</v>
      </c>
      <c r="O886" s="5">
        <f t="shared" si="40"/>
        <v>33327887</v>
      </c>
      <c r="P886">
        <f>MAX(Table1[RATING COUNT])</f>
        <v>426973</v>
      </c>
    </row>
    <row r="887" spans="1:16">
      <c r="A887" t="s">
        <v>1659</v>
      </c>
      <c r="B887" t="s">
        <v>846</v>
      </c>
      <c r="D887" t="s">
        <v>1352</v>
      </c>
      <c r="E887" t="s">
        <v>1422</v>
      </c>
      <c r="F887" t="s">
        <v>1354</v>
      </c>
      <c r="G887" t="s">
        <v>1424</v>
      </c>
      <c r="H887" s="7">
        <v>326</v>
      </c>
      <c r="I887" s="7">
        <v>799</v>
      </c>
      <c r="J887" s="7" t="str">
        <f t="shared" si="41"/>
        <v>&gt;₹500</v>
      </c>
      <c r="K887" s="1">
        <v>0.59</v>
      </c>
      <c r="L887" s="1" t="str">
        <f t="shared" si="39"/>
        <v>50% or More</v>
      </c>
      <c r="M887">
        <v>4.4000000000000004</v>
      </c>
      <c r="N887" s="2">
        <v>10773</v>
      </c>
      <c r="O887" s="5">
        <f t="shared" si="40"/>
        <v>8607627</v>
      </c>
      <c r="P887">
        <f>MAX(Table1[RATING COUNT])</f>
        <v>426973</v>
      </c>
    </row>
    <row r="888" spans="1:16">
      <c r="A888" t="s">
        <v>2408</v>
      </c>
      <c r="B888" t="s">
        <v>847</v>
      </c>
      <c r="D888" t="s">
        <v>1345</v>
      </c>
      <c r="E888" t="s">
        <v>1399</v>
      </c>
      <c r="F888" t="s">
        <v>1421</v>
      </c>
      <c r="H888" s="7">
        <v>657</v>
      </c>
      <c r="I888" s="7">
        <v>999</v>
      </c>
      <c r="J888" s="7" t="str">
        <f t="shared" si="41"/>
        <v>&gt;₹500</v>
      </c>
      <c r="K888" s="1">
        <v>0.34</v>
      </c>
      <c r="L888" s="1" t="str">
        <f t="shared" si="39"/>
        <v>&lt;50%</v>
      </c>
      <c r="M888">
        <v>4.3</v>
      </c>
      <c r="N888" s="2">
        <v>13944</v>
      </c>
      <c r="O888" s="5">
        <f t="shared" si="40"/>
        <v>13930056</v>
      </c>
      <c r="P888">
        <f>MAX(Table1[RATING COUNT])</f>
        <v>426973</v>
      </c>
    </row>
    <row r="889" spans="1:16">
      <c r="A889" t="s">
        <v>2409</v>
      </c>
      <c r="B889" t="s">
        <v>848</v>
      </c>
      <c r="D889" t="s">
        <v>1345</v>
      </c>
      <c r="E889" t="s">
        <v>1346</v>
      </c>
      <c r="F889" t="s">
        <v>1433</v>
      </c>
      <c r="G889" t="s">
        <v>1434</v>
      </c>
      <c r="H889" s="7">
        <v>1995</v>
      </c>
      <c r="I889" s="7">
        <v>2895</v>
      </c>
      <c r="J889" s="7" t="str">
        <f t="shared" si="41"/>
        <v>&gt;₹500</v>
      </c>
      <c r="K889" s="1">
        <v>0.31</v>
      </c>
      <c r="L889" s="1" t="str">
        <f t="shared" si="39"/>
        <v>&lt;50%</v>
      </c>
      <c r="M889">
        <v>4.5999999999999996</v>
      </c>
      <c r="N889" s="2">
        <v>10760</v>
      </c>
      <c r="O889" s="5">
        <f t="shared" si="40"/>
        <v>31150200</v>
      </c>
      <c r="P889">
        <f>MAX(Table1[RATING COUNT])</f>
        <v>426973</v>
      </c>
    </row>
    <row r="890" spans="1:16">
      <c r="A890" t="s">
        <v>2127</v>
      </c>
      <c r="B890" t="s">
        <v>849</v>
      </c>
      <c r="D890" t="s">
        <v>1352</v>
      </c>
      <c r="E890" t="s">
        <v>1410</v>
      </c>
      <c r="H890" s="7">
        <v>1500</v>
      </c>
      <c r="I890" s="7">
        <v>1500</v>
      </c>
      <c r="J890" s="7" t="str">
        <f t="shared" si="41"/>
        <v>&gt;₹500</v>
      </c>
      <c r="K890" s="1">
        <v>0</v>
      </c>
      <c r="L890" s="1" t="str">
        <f t="shared" si="39"/>
        <v>&lt;50%</v>
      </c>
      <c r="M890">
        <v>4.4000000000000004</v>
      </c>
      <c r="N890" s="2">
        <v>25996</v>
      </c>
      <c r="O890" s="5">
        <f t="shared" si="40"/>
        <v>38994000</v>
      </c>
      <c r="P890">
        <f>MAX(Table1[RATING COUNT])</f>
        <v>426973</v>
      </c>
    </row>
    <row r="891" spans="1:16">
      <c r="A891" t="s">
        <v>2410</v>
      </c>
      <c r="B891" t="s">
        <v>850</v>
      </c>
      <c r="D891" t="s">
        <v>1345</v>
      </c>
      <c r="E891" t="s">
        <v>1346</v>
      </c>
      <c r="F891" t="s">
        <v>1401</v>
      </c>
      <c r="G891" t="s">
        <v>1406</v>
      </c>
      <c r="H891" s="7">
        <v>2640</v>
      </c>
      <c r="I891" s="7">
        <v>3195</v>
      </c>
      <c r="J891" s="7" t="str">
        <f t="shared" si="41"/>
        <v>&gt;₹500</v>
      </c>
      <c r="K891" s="1">
        <v>0.17</v>
      </c>
      <c r="L891" s="1" t="str">
        <f t="shared" si="39"/>
        <v>&lt;50%</v>
      </c>
      <c r="M891">
        <v>4.5</v>
      </c>
      <c r="N891" s="2">
        <v>16146</v>
      </c>
      <c r="O891" s="5">
        <f t="shared" si="40"/>
        <v>51586470</v>
      </c>
      <c r="P891">
        <f>MAX(Table1[RATING COUNT])</f>
        <v>426973</v>
      </c>
    </row>
    <row r="892" spans="1:16">
      <c r="A892" t="s">
        <v>2411</v>
      </c>
      <c r="B892" t="s">
        <v>851</v>
      </c>
      <c r="D892" t="s">
        <v>1345</v>
      </c>
      <c r="E892" t="s">
        <v>1429</v>
      </c>
      <c r="F892" t="s">
        <v>1483</v>
      </c>
      <c r="H892" s="7">
        <v>5299</v>
      </c>
      <c r="I892" s="7">
        <v>6355</v>
      </c>
      <c r="J892" s="7" t="str">
        <f t="shared" si="41"/>
        <v>&gt;₹500</v>
      </c>
      <c r="K892" s="1">
        <v>0.17</v>
      </c>
      <c r="L892" s="1" t="str">
        <f t="shared" si="39"/>
        <v>&lt;50%</v>
      </c>
      <c r="M892">
        <v>3.9</v>
      </c>
      <c r="N892" s="2">
        <v>8280</v>
      </c>
      <c r="O892" s="5">
        <f t="shared" si="40"/>
        <v>52619400</v>
      </c>
      <c r="P892">
        <f>MAX(Table1[RATING COUNT])</f>
        <v>426973</v>
      </c>
    </row>
    <row r="893" spans="1:16">
      <c r="A893" t="s">
        <v>2412</v>
      </c>
      <c r="B893" t="s">
        <v>852</v>
      </c>
      <c r="D893" t="s">
        <v>1345</v>
      </c>
      <c r="E893" t="s">
        <v>1346</v>
      </c>
      <c r="F893" t="s">
        <v>1433</v>
      </c>
      <c r="G893" t="s">
        <v>1493</v>
      </c>
      <c r="H893" s="7">
        <v>1990</v>
      </c>
      <c r="I893" s="7">
        <v>2999</v>
      </c>
      <c r="J893" s="7" t="str">
        <f t="shared" si="41"/>
        <v>&gt;₹500</v>
      </c>
      <c r="K893" s="1">
        <v>0.34</v>
      </c>
      <c r="L893" s="1" t="str">
        <f t="shared" si="39"/>
        <v>&lt;50%</v>
      </c>
      <c r="M893">
        <v>4.3</v>
      </c>
      <c r="N893" s="2">
        <v>14237</v>
      </c>
      <c r="O893" s="5">
        <f t="shared" si="40"/>
        <v>42696763</v>
      </c>
      <c r="P893">
        <f>MAX(Table1[RATING COUNT])</f>
        <v>426973</v>
      </c>
    </row>
    <row r="894" spans="1:16">
      <c r="A894" t="s">
        <v>2413</v>
      </c>
      <c r="B894" t="s">
        <v>853</v>
      </c>
      <c r="D894" t="s">
        <v>1352</v>
      </c>
      <c r="E894" t="s">
        <v>1499</v>
      </c>
      <c r="F894" t="s">
        <v>1500</v>
      </c>
      <c r="H894" s="7">
        <v>1289</v>
      </c>
      <c r="I894" s="7">
        <v>1499</v>
      </c>
      <c r="J894" s="7" t="str">
        <f t="shared" si="41"/>
        <v>&gt;₹500</v>
      </c>
      <c r="K894" s="1">
        <v>0.14000000000000001</v>
      </c>
      <c r="L894" s="1" t="str">
        <f t="shared" si="39"/>
        <v>&lt;50%</v>
      </c>
      <c r="M894">
        <v>4.5</v>
      </c>
      <c r="N894" s="2">
        <v>20668</v>
      </c>
      <c r="O894" s="5">
        <f t="shared" si="40"/>
        <v>30981332</v>
      </c>
      <c r="P894">
        <f>MAX(Table1[RATING COUNT])</f>
        <v>426973</v>
      </c>
    </row>
    <row r="895" spans="1:16">
      <c r="A895" t="s">
        <v>2414</v>
      </c>
      <c r="B895" t="s">
        <v>854</v>
      </c>
      <c r="D895" t="s">
        <v>1412</v>
      </c>
      <c r="E895" t="s">
        <v>1413</v>
      </c>
      <c r="F895" t="s">
        <v>1414</v>
      </c>
      <c r="G895" t="s">
        <v>1415</v>
      </c>
      <c r="H895" s="7">
        <v>165</v>
      </c>
      <c r="I895" s="7">
        <v>165</v>
      </c>
      <c r="J895" s="7" t="str">
        <f t="shared" si="41"/>
        <v>&lt;₹200</v>
      </c>
      <c r="K895" s="1">
        <v>0</v>
      </c>
      <c r="L895" s="1" t="str">
        <f t="shared" si="39"/>
        <v>&lt;50%</v>
      </c>
      <c r="M895">
        <v>4.5</v>
      </c>
      <c r="N895" s="2">
        <v>1674</v>
      </c>
      <c r="O895" s="5">
        <f t="shared" si="40"/>
        <v>276210</v>
      </c>
      <c r="P895">
        <f>MAX(Table1[RATING COUNT])</f>
        <v>426973</v>
      </c>
    </row>
    <row r="896" spans="1:16">
      <c r="A896" t="s">
        <v>1660</v>
      </c>
      <c r="B896" t="s">
        <v>855</v>
      </c>
      <c r="D896" t="s">
        <v>1345</v>
      </c>
      <c r="E896" t="s">
        <v>1346</v>
      </c>
      <c r="F896" t="s">
        <v>1397</v>
      </c>
      <c r="G896" t="s">
        <v>1476</v>
      </c>
      <c r="H896" s="7">
        <v>1699</v>
      </c>
      <c r="I896" s="7">
        <v>3499</v>
      </c>
      <c r="J896" s="7" t="str">
        <f t="shared" si="41"/>
        <v>&gt;₹500</v>
      </c>
      <c r="K896" s="1">
        <v>0.51</v>
      </c>
      <c r="L896" s="1" t="str">
        <f t="shared" si="39"/>
        <v>50% or More</v>
      </c>
      <c r="M896">
        <v>3.6</v>
      </c>
      <c r="N896" s="2">
        <v>7689</v>
      </c>
      <c r="O896" s="5">
        <f t="shared" si="40"/>
        <v>26903811</v>
      </c>
      <c r="P896">
        <f>MAX(Table1[RATING COUNT])</f>
        <v>426973</v>
      </c>
    </row>
    <row r="897" spans="1:16">
      <c r="A897" t="s">
        <v>2415</v>
      </c>
      <c r="B897" t="s">
        <v>856</v>
      </c>
      <c r="D897" t="s">
        <v>1352</v>
      </c>
      <c r="E897" t="s">
        <v>1422</v>
      </c>
      <c r="F897" t="s">
        <v>1451</v>
      </c>
      <c r="G897" t="s">
        <v>1452</v>
      </c>
      <c r="H897" s="7">
        <v>2299</v>
      </c>
      <c r="I897" s="7">
        <v>7500</v>
      </c>
      <c r="J897" s="7" t="str">
        <f t="shared" si="41"/>
        <v>&gt;₹500</v>
      </c>
      <c r="K897" s="1">
        <v>0.69</v>
      </c>
      <c r="L897" s="1" t="str">
        <f t="shared" si="39"/>
        <v>50% or More</v>
      </c>
      <c r="M897">
        <v>4.0999999999999996</v>
      </c>
      <c r="N897" s="2">
        <v>5554</v>
      </c>
      <c r="O897" s="5">
        <f t="shared" si="40"/>
        <v>41655000</v>
      </c>
      <c r="P897">
        <f>MAX(Table1[RATING COUNT])</f>
        <v>426973</v>
      </c>
    </row>
    <row r="898" spans="1:16">
      <c r="A898" t="s">
        <v>2416</v>
      </c>
      <c r="B898" t="s">
        <v>857</v>
      </c>
      <c r="D898" t="s">
        <v>1345</v>
      </c>
      <c r="E898" t="s">
        <v>1346</v>
      </c>
      <c r="F898" t="s">
        <v>1448</v>
      </c>
      <c r="G898" t="s">
        <v>1449</v>
      </c>
      <c r="H898" s="7">
        <v>39</v>
      </c>
      <c r="I898" s="7">
        <v>39</v>
      </c>
      <c r="J898" s="7" t="str">
        <f t="shared" si="41"/>
        <v>&lt;₹200</v>
      </c>
      <c r="K898" s="1">
        <v>0</v>
      </c>
      <c r="L898" s="1" t="str">
        <f t="shared" ref="L898:L961" si="42">IF(K898&gt;=50%,"50% or More","&lt;50%")</f>
        <v>&lt;50%</v>
      </c>
      <c r="M898">
        <v>3.8</v>
      </c>
      <c r="N898" s="2">
        <v>3344</v>
      </c>
      <c r="O898" s="5">
        <f t="shared" ref="O898:O961" si="43">I898*N898</f>
        <v>130416</v>
      </c>
      <c r="P898">
        <f>MAX(Table1[RATING COUNT])</f>
        <v>426973</v>
      </c>
    </row>
    <row r="899" spans="1:16">
      <c r="A899" t="s">
        <v>2417</v>
      </c>
      <c r="B899" t="s">
        <v>858</v>
      </c>
      <c r="D899" t="s">
        <v>1345</v>
      </c>
      <c r="E899" t="s">
        <v>1501</v>
      </c>
      <c r="H899" s="7">
        <v>26999</v>
      </c>
      <c r="I899" s="7">
        <v>37999</v>
      </c>
      <c r="J899" s="7" t="str">
        <f t="shared" ref="J899:J962" si="44">IF(I899&lt;200, "&lt;₹200", IF(I899&lt;=500, "₹200–₹500", "&gt;₹500"))</f>
        <v>&gt;₹500</v>
      </c>
      <c r="K899" s="1">
        <v>0.28999999999999998</v>
      </c>
      <c r="L899" s="1" t="str">
        <f t="shared" si="42"/>
        <v>&lt;50%</v>
      </c>
      <c r="M899">
        <v>4.5999999999999996</v>
      </c>
      <c r="N899" s="2">
        <v>2886</v>
      </c>
      <c r="O899" s="5">
        <f t="shared" si="43"/>
        <v>109665114</v>
      </c>
      <c r="P899">
        <f>MAX(Table1[RATING COUNT])</f>
        <v>426973</v>
      </c>
    </row>
    <row r="900" spans="1:16">
      <c r="A900" t="s">
        <v>1662</v>
      </c>
      <c r="B900" t="s">
        <v>859</v>
      </c>
      <c r="D900" t="s">
        <v>1352</v>
      </c>
      <c r="E900" t="s">
        <v>1383</v>
      </c>
      <c r="F900" t="s">
        <v>1384</v>
      </c>
      <c r="G900" t="s">
        <v>1385</v>
      </c>
      <c r="H900" s="7">
        <v>1490</v>
      </c>
      <c r="I900" s="7">
        <v>1990</v>
      </c>
      <c r="J900" s="7" t="str">
        <f t="shared" si="44"/>
        <v>&gt;₹500</v>
      </c>
      <c r="K900" s="1">
        <v>0.25</v>
      </c>
      <c r="L900" s="1" t="str">
        <f t="shared" si="42"/>
        <v>&lt;50%</v>
      </c>
      <c r="M900">
        <v>4.0999999999999996</v>
      </c>
      <c r="N900" s="2">
        <v>98250</v>
      </c>
      <c r="O900" s="5">
        <f t="shared" si="43"/>
        <v>195517500</v>
      </c>
      <c r="P900">
        <f>MAX(Table1[RATING COUNT])</f>
        <v>426973</v>
      </c>
    </row>
    <row r="901" spans="1:16">
      <c r="A901" t="s">
        <v>2418</v>
      </c>
      <c r="B901" t="s">
        <v>860</v>
      </c>
      <c r="D901" t="s">
        <v>1345</v>
      </c>
      <c r="E901" t="s">
        <v>1346</v>
      </c>
      <c r="F901" t="s">
        <v>1397</v>
      </c>
      <c r="G901" t="s">
        <v>1404</v>
      </c>
      <c r="H901" s="7">
        <v>398</v>
      </c>
      <c r="I901" s="7">
        <v>1949</v>
      </c>
      <c r="J901" s="7" t="str">
        <f t="shared" si="44"/>
        <v>&gt;₹500</v>
      </c>
      <c r="K901" s="1">
        <v>0.8</v>
      </c>
      <c r="L901" s="1" t="str">
        <f t="shared" si="42"/>
        <v>50% or More</v>
      </c>
      <c r="M901">
        <v>4</v>
      </c>
      <c r="N901" s="2">
        <v>75</v>
      </c>
      <c r="O901" s="5">
        <f t="shared" si="43"/>
        <v>146175</v>
      </c>
      <c r="P901">
        <f>MAX(Table1[RATING COUNT])</f>
        <v>426973</v>
      </c>
    </row>
    <row r="902" spans="1:16">
      <c r="A902" t="s">
        <v>2419</v>
      </c>
      <c r="B902" t="s">
        <v>861</v>
      </c>
      <c r="D902" t="s">
        <v>1345</v>
      </c>
      <c r="E902" t="s">
        <v>1346</v>
      </c>
      <c r="F902" t="s">
        <v>1397</v>
      </c>
      <c r="G902" t="s">
        <v>1476</v>
      </c>
      <c r="H902" s="7">
        <v>770</v>
      </c>
      <c r="I902" s="7">
        <v>1547</v>
      </c>
      <c r="J902" s="7" t="str">
        <f t="shared" si="44"/>
        <v>&gt;₹500</v>
      </c>
      <c r="K902" s="1">
        <v>0.5</v>
      </c>
      <c r="L902" s="1" t="str">
        <f t="shared" si="42"/>
        <v>50% or More</v>
      </c>
      <c r="M902">
        <v>4.3</v>
      </c>
      <c r="N902" s="2">
        <v>2585</v>
      </c>
      <c r="O902" s="5">
        <f t="shared" si="43"/>
        <v>3998995</v>
      </c>
      <c r="P902">
        <f>MAX(Table1[RATING COUNT])</f>
        <v>426973</v>
      </c>
    </row>
    <row r="903" spans="1:16">
      <c r="A903" t="s">
        <v>2420</v>
      </c>
      <c r="B903" t="s">
        <v>862</v>
      </c>
      <c r="D903" t="s">
        <v>1352</v>
      </c>
      <c r="E903" t="s">
        <v>1375</v>
      </c>
      <c r="F903" t="s">
        <v>1376</v>
      </c>
      <c r="G903" t="s">
        <v>1389</v>
      </c>
      <c r="H903" s="7">
        <v>279</v>
      </c>
      <c r="I903" s="7">
        <v>1299</v>
      </c>
      <c r="J903" s="7" t="str">
        <f t="shared" si="44"/>
        <v>&gt;₹500</v>
      </c>
      <c r="K903" s="1">
        <v>0.79</v>
      </c>
      <c r="L903" s="1" t="str">
        <f t="shared" si="42"/>
        <v>50% or More</v>
      </c>
      <c r="M903">
        <v>4</v>
      </c>
      <c r="N903" s="2">
        <v>5072</v>
      </c>
      <c r="O903" s="5">
        <f t="shared" si="43"/>
        <v>6588528</v>
      </c>
      <c r="P903">
        <f>MAX(Table1[RATING COUNT])</f>
        <v>426973</v>
      </c>
    </row>
    <row r="904" spans="1:16">
      <c r="A904" t="s">
        <v>2421</v>
      </c>
      <c r="B904" t="s">
        <v>863</v>
      </c>
      <c r="D904" t="s">
        <v>1469</v>
      </c>
      <c r="E904" t="s">
        <v>1470</v>
      </c>
      <c r="F904" t="s">
        <v>1502</v>
      </c>
      <c r="H904" s="7">
        <v>249</v>
      </c>
      <c r="I904" s="7">
        <v>599</v>
      </c>
      <c r="J904" s="7" t="str">
        <f t="shared" si="44"/>
        <v>&gt;₹500</v>
      </c>
      <c r="K904" s="1">
        <v>0.57999999999999996</v>
      </c>
      <c r="L904" s="1" t="str">
        <f t="shared" si="42"/>
        <v>50% or More</v>
      </c>
      <c r="M904">
        <v>4.5</v>
      </c>
      <c r="N904" s="2">
        <v>5985</v>
      </c>
      <c r="O904" s="5">
        <f t="shared" si="43"/>
        <v>3585015</v>
      </c>
      <c r="P904">
        <f>MAX(Table1[RATING COUNT])</f>
        <v>426973</v>
      </c>
    </row>
    <row r="905" spans="1:16">
      <c r="A905" t="s">
        <v>2422</v>
      </c>
      <c r="B905" t="s">
        <v>864</v>
      </c>
      <c r="D905" t="s">
        <v>1416</v>
      </c>
      <c r="E905" t="s">
        <v>1417</v>
      </c>
      <c r="F905" t="s">
        <v>1435</v>
      </c>
      <c r="H905" s="7">
        <v>230</v>
      </c>
      <c r="I905" s="7">
        <v>230</v>
      </c>
      <c r="J905" s="7" t="str">
        <f t="shared" si="44"/>
        <v>₹200–₹500</v>
      </c>
      <c r="K905" s="1">
        <v>0</v>
      </c>
      <c r="L905" s="1" t="str">
        <f t="shared" si="42"/>
        <v>&lt;50%</v>
      </c>
      <c r="M905">
        <v>4.5</v>
      </c>
      <c r="N905" s="2">
        <v>9427</v>
      </c>
      <c r="O905" s="5">
        <f t="shared" si="43"/>
        <v>2168210</v>
      </c>
      <c r="P905">
        <f>MAX(Table1[RATING COUNT])</f>
        <v>426973</v>
      </c>
    </row>
    <row r="906" spans="1:16">
      <c r="A906" t="s">
        <v>2423</v>
      </c>
      <c r="B906" t="s">
        <v>865</v>
      </c>
      <c r="D906" t="s">
        <v>1345</v>
      </c>
      <c r="E906" t="s">
        <v>1346</v>
      </c>
      <c r="F906" t="s">
        <v>1433</v>
      </c>
      <c r="G906" t="s">
        <v>1434</v>
      </c>
      <c r="H906" s="7">
        <v>599</v>
      </c>
      <c r="I906" s="7">
        <v>700</v>
      </c>
      <c r="J906" s="7" t="str">
        <f t="shared" si="44"/>
        <v>&gt;₹500</v>
      </c>
      <c r="K906" s="1">
        <v>0.14000000000000001</v>
      </c>
      <c r="L906" s="1" t="str">
        <f t="shared" si="42"/>
        <v>&lt;50%</v>
      </c>
      <c r="M906">
        <v>4.3</v>
      </c>
      <c r="N906" s="2">
        <v>2301</v>
      </c>
      <c r="O906" s="5">
        <f t="shared" si="43"/>
        <v>1610700</v>
      </c>
      <c r="P906">
        <f>MAX(Table1[RATING COUNT])</f>
        <v>426973</v>
      </c>
    </row>
    <row r="907" spans="1:16">
      <c r="A907" t="s">
        <v>2424</v>
      </c>
      <c r="B907" t="s">
        <v>866</v>
      </c>
      <c r="D907" t="s">
        <v>1345</v>
      </c>
      <c r="E907" t="s">
        <v>1429</v>
      </c>
      <c r="F907" t="s">
        <v>1430</v>
      </c>
      <c r="G907" t="s">
        <v>1503</v>
      </c>
      <c r="H907" s="7">
        <v>598</v>
      </c>
      <c r="I907" s="7">
        <v>1150</v>
      </c>
      <c r="J907" s="7" t="str">
        <f t="shared" si="44"/>
        <v>&gt;₹500</v>
      </c>
      <c r="K907" s="1">
        <v>0.48</v>
      </c>
      <c r="L907" s="1" t="str">
        <f t="shared" si="42"/>
        <v>&lt;50%</v>
      </c>
      <c r="M907">
        <v>4.0999999999999996</v>
      </c>
      <c r="N907" s="2">
        <v>2535</v>
      </c>
      <c r="O907" s="5">
        <f t="shared" si="43"/>
        <v>2915250</v>
      </c>
      <c r="P907">
        <f>MAX(Table1[RATING COUNT])</f>
        <v>426973</v>
      </c>
    </row>
    <row r="908" spans="1:16">
      <c r="A908" t="s">
        <v>2425</v>
      </c>
      <c r="B908" t="s">
        <v>867</v>
      </c>
      <c r="D908" t="s">
        <v>1345</v>
      </c>
      <c r="E908" t="s">
        <v>1346</v>
      </c>
      <c r="F908" t="s">
        <v>1453</v>
      </c>
      <c r="G908" t="s">
        <v>1393</v>
      </c>
      <c r="H908" s="7">
        <v>399</v>
      </c>
      <c r="I908" s="7">
        <v>1499</v>
      </c>
      <c r="J908" s="7" t="str">
        <f t="shared" si="44"/>
        <v>&gt;₹500</v>
      </c>
      <c r="K908" s="1">
        <v>0.73</v>
      </c>
      <c r="L908" s="1" t="str">
        <f t="shared" si="42"/>
        <v>50% or More</v>
      </c>
      <c r="M908">
        <v>4</v>
      </c>
      <c r="N908" s="2">
        <v>691</v>
      </c>
      <c r="O908" s="5">
        <f t="shared" si="43"/>
        <v>1035809</v>
      </c>
      <c r="P908">
        <f>MAX(Table1[RATING COUNT])</f>
        <v>426973</v>
      </c>
    </row>
    <row r="909" spans="1:16">
      <c r="A909" t="s">
        <v>2426</v>
      </c>
      <c r="B909" t="s">
        <v>868</v>
      </c>
      <c r="D909" t="s">
        <v>1345</v>
      </c>
      <c r="E909" t="s">
        <v>1346</v>
      </c>
      <c r="F909" t="s">
        <v>1397</v>
      </c>
      <c r="G909" t="s">
        <v>1404</v>
      </c>
      <c r="H909" s="7">
        <v>499</v>
      </c>
      <c r="I909" s="7">
        <v>1299</v>
      </c>
      <c r="J909" s="7" t="str">
        <f t="shared" si="44"/>
        <v>&gt;₹500</v>
      </c>
      <c r="K909" s="1">
        <v>0.62</v>
      </c>
      <c r="L909" s="1" t="str">
        <f t="shared" si="42"/>
        <v>50% or More</v>
      </c>
      <c r="M909">
        <v>4.0999999999999996</v>
      </c>
      <c r="N909" s="2">
        <v>2740</v>
      </c>
      <c r="O909" s="5">
        <f t="shared" si="43"/>
        <v>3559260</v>
      </c>
      <c r="P909">
        <f>MAX(Table1[RATING COUNT])</f>
        <v>426973</v>
      </c>
    </row>
    <row r="910" spans="1:16">
      <c r="A910" t="s">
        <v>1664</v>
      </c>
      <c r="B910" t="s">
        <v>869</v>
      </c>
      <c r="D910" t="s">
        <v>1345</v>
      </c>
      <c r="E910" t="s">
        <v>1346</v>
      </c>
      <c r="F910" t="s">
        <v>1401</v>
      </c>
      <c r="G910" t="s">
        <v>1402</v>
      </c>
      <c r="H910" s="7">
        <v>579</v>
      </c>
      <c r="I910" s="7">
        <v>1090</v>
      </c>
      <c r="J910" s="7" t="str">
        <f t="shared" si="44"/>
        <v>&gt;₹500</v>
      </c>
      <c r="K910" s="1">
        <v>0.47</v>
      </c>
      <c r="L910" s="1" t="str">
        <f t="shared" si="42"/>
        <v>&lt;50%</v>
      </c>
      <c r="M910">
        <v>4.4000000000000004</v>
      </c>
      <c r="N910" s="2">
        <v>3482</v>
      </c>
      <c r="O910" s="5">
        <f t="shared" si="43"/>
        <v>3795380</v>
      </c>
      <c r="P910">
        <f>MAX(Table1[RATING COUNT])</f>
        <v>426973</v>
      </c>
    </row>
    <row r="911" spans="1:16">
      <c r="A911" t="s">
        <v>2427</v>
      </c>
      <c r="B911" t="s">
        <v>870</v>
      </c>
      <c r="D911" t="s">
        <v>1412</v>
      </c>
      <c r="E911" t="s">
        <v>1413</v>
      </c>
      <c r="F911" t="s">
        <v>1414</v>
      </c>
      <c r="G911" t="s">
        <v>1415</v>
      </c>
      <c r="H911" s="7">
        <v>90</v>
      </c>
      <c r="I911" s="7">
        <v>100</v>
      </c>
      <c r="J911" s="7" t="str">
        <f t="shared" si="44"/>
        <v>&lt;₹200</v>
      </c>
      <c r="K911" s="1">
        <v>0.1</v>
      </c>
      <c r="L911" s="1" t="str">
        <f t="shared" si="42"/>
        <v>&lt;50%</v>
      </c>
      <c r="M911">
        <v>4.0999999999999996</v>
      </c>
      <c r="N911" s="2">
        <v>6199</v>
      </c>
      <c r="O911" s="5">
        <f t="shared" si="43"/>
        <v>619900</v>
      </c>
      <c r="P911">
        <f>MAX(Table1[RATING COUNT])</f>
        <v>426973</v>
      </c>
    </row>
    <row r="912" spans="1:16">
      <c r="A912" t="s">
        <v>2428</v>
      </c>
      <c r="B912" t="s">
        <v>871</v>
      </c>
      <c r="D912" t="s">
        <v>1345</v>
      </c>
      <c r="E912" t="s">
        <v>1346</v>
      </c>
      <c r="F912" t="s">
        <v>1397</v>
      </c>
      <c r="G912" t="s">
        <v>1404</v>
      </c>
      <c r="H912" s="7">
        <v>899</v>
      </c>
      <c r="I912" s="7">
        <v>1999</v>
      </c>
      <c r="J912" s="7" t="str">
        <f t="shared" si="44"/>
        <v>&gt;₹500</v>
      </c>
      <c r="K912" s="1">
        <v>0.55000000000000004</v>
      </c>
      <c r="L912" s="1" t="str">
        <f t="shared" si="42"/>
        <v>50% or More</v>
      </c>
      <c r="M912">
        <v>4.4000000000000004</v>
      </c>
      <c r="N912" s="2">
        <v>1667</v>
      </c>
      <c r="O912" s="5">
        <f t="shared" si="43"/>
        <v>3332333</v>
      </c>
      <c r="P912">
        <f>MAX(Table1[RATING COUNT])</f>
        <v>426973</v>
      </c>
    </row>
    <row r="913" spans="1:16">
      <c r="A913" t="s">
        <v>2429</v>
      </c>
      <c r="B913" t="s">
        <v>872</v>
      </c>
      <c r="D913" t="s">
        <v>1345</v>
      </c>
      <c r="E913" t="s">
        <v>1346</v>
      </c>
      <c r="F913" t="s">
        <v>1433</v>
      </c>
      <c r="G913" t="s">
        <v>1485</v>
      </c>
      <c r="H913" s="7">
        <v>1149</v>
      </c>
      <c r="I913" s="7">
        <v>1800</v>
      </c>
      <c r="J913" s="7" t="str">
        <f t="shared" si="44"/>
        <v>&gt;₹500</v>
      </c>
      <c r="K913" s="1">
        <v>0.36</v>
      </c>
      <c r="L913" s="1" t="str">
        <f t="shared" si="42"/>
        <v>&lt;50%</v>
      </c>
      <c r="M913">
        <v>4.3</v>
      </c>
      <c r="N913" s="2">
        <v>4723</v>
      </c>
      <c r="O913" s="5">
        <f t="shared" si="43"/>
        <v>8501400</v>
      </c>
      <c r="P913">
        <f>MAX(Table1[RATING COUNT])</f>
        <v>426973</v>
      </c>
    </row>
    <row r="914" spans="1:16">
      <c r="A914" t="s">
        <v>2430</v>
      </c>
      <c r="B914" t="s">
        <v>873</v>
      </c>
      <c r="D914" t="s">
        <v>1345</v>
      </c>
      <c r="E914" t="s">
        <v>1346</v>
      </c>
      <c r="F914" t="s">
        <v>1397</v>
      </c>
      <c r="G914" t="s">
        <v>1460</v>
      </c>
      <c r="H914" s="7">
        <v>249</v>
      </c>
      <c r="I914" s="7">
        <v>499</v>
      </c>
      <c r="J914" s="7" t="str">
        <f t="shared" si="44"/>
        <v>₹200–₹500</v>
      </c>
      <c r="K914" s="1">
        <v>0.5</v>
      </c>
      <c r="L914" s="1" t="str">
        <f t="shared" si="42"/>
        <v>50% or More</v>
      </c>
      <c r="M914">
        <v>4.2</v>
      </c>
      <c r="N914" s="2">
        <v>22860</v>
      </c>
      <c r="O914" s="5">
        <f t="shared" si="43"/>
        <v>11407140</v>
      </c>
      <c r="P914">
        <f>MAX(Table1[RATING COUNT])</f>
        <v>426973</v>
      </c>
    </row>
    <row r="915" spans="1:16">
      <c r="A915" t="s">
        <v>2431</v>
      </c>
      <c r="B915" t="s">
        <v>874</v>
      </c>
      <c r="D915" t="s">
        <v>1345</v>
      </c>
      <c r="E915" t="s">
        <v>1346</v>
      </c>
      <c r="F915" t="s">
        <v>1448</v>
      </c>
      <c r="G915" t="s">
        <v>1449</v>
      </c>
      <c r="H915" s="7">
        <v>39</v>
      </c>
      <c r="I915" s="7">
        <v>39</v>
      </c>
      <c r="J915" s="7" t="str">
        <f t="shared" si="44"/>
        <v>&lt;₹200</v>
      </c>
      <c r="K915" s="1">
        <v>0</v>
      </c>
      <c r="L915" s="1" t="str">
        <f t="shared" si="42"/>
        <v>&lt;50%</v>
      </c>
      <c r="M915">
        <v>3.6</v>
      </c>
      <c r="N915" s="2">
        <v>13572</v>
      </c>
      <c r="O915" s="5">
        <f t="shared" si="43"/>
        <v>529308</v>
      </c>
      <c r="P915">
        <f>MAX(Table1[RATING COUNT])</f>
        <v>426973</v>
      </c>
    </row>
    <row r="916" spans="1:16">
      <c r="A916" t="s">
        <v>2432</v>
      </c>
      <c r="B916" t="s">
        <v>875</v>
      </c>
      <c r="D916" t="s">
        <v>1345</v>
      </c>
      <c r="E916" t="s">
        <v>1349</v>
      </c>
      <c r="F916" t="s">
        <v>1428</v>
      </c>
      <c r="H916" s="7">
        <v>1599</v>
      </c>
      <c r="I916" s="7">
        <v>3599</v>
      </c>
      <c r="J916" s="7" t="str">
        <f t="shared" si="44"/>
        <v>&gt;₹500</v>
      </c>
      <c r="K916" s="1">
        <v>0.56000000000000005</v>
      </c>
      <c r="L916" s="1" t="str">
        <f t="shared" si="42"/>
        <v>50% or More</v>
      </c>
      <c r="M916">
        <v>4.2</v>
      </c>
      <c r="N916" s="2">
        <v>16182</v>
      </c>
      <c r="O916" s="5">
        <f t="shared" si="43"/>
        <v>58239018</v>
      </c>
      <c r="P916">
        <f>MAX(Table1[RATING COUNT])</f>
        <v>426973</v>
      </c>
    </row>
    <row r="917" spans="1:16">
      <c r="A917" t="s">
        <v>2433</v>
      </c>
      <c r="B917" t="s">
        <v>876</v>
      </c>
      <c r="D917" t="s">
        <v>1352</v>
      </c>
      <c r="E917" t="s">
        <v>1360</v>
      </c>
      <c r="F917" t="s">
        <v>1370</v>
      </c>
      <c r="G917" t="s">
        <v>1442</v>
      </c>
      <c r="H917" s="7">
        <v>1199</v>
      </c>
      <c r="I917" s="7">
        <v>3990</v>
      </c>
      <c r="J917" s="7" t="str">
        <f t="shared" si="44"/>
        <v>&gt;₹500</v>
      </c>
      <c r="K917" s="1">
        <v>0.7</v>
      </c>
      <c r="L917" s="1" t="str">
        <f t="shared" si="42"/>
        <v>50% or More</v>
      </c>
      <c r="M917">
        <v>4.2</v>
      </c>
      <c r="N917" s="2">
        <v>2908</v>
      </c>
      <c r="O917" s="5">
        <f t="shared" si="43"/>
        <v>11602920</v>
      </c>
      <c r="P917">
        <f>MAX(Table1[RATING COUNT])</f>
        <v>426973</v>
      </c>
    </row>
    <row r="918" spans="1:16">
      <c r="A918" t="s">
        <v>2434</v>
      </c>
      <c r="B918" t="s">
        <v>877</v>
      </c>
      <c r="D918" t="s">
        <v>1345</v>
      </c>
      <c r="E918" t="s">
        <v>1346</v>
      </c>
      <c r="F918" t="s">
        <v>1401</v>
      </c>
      <c r="G918" t="s">
        <v>1402</v>
      </c>
      <c r="H918" s="7">
        <v>1099</v>
      </c>
      <c r="I918" s="7">
        <v>1499</v>
      </c>
      <c r="J918" s="7" t="str">
        <f t="shared" si="44"/>
        <v>&gt;₹500</v>
      </c>
      <c r="K918" s="1">
        <v>0.27</v>
      </c>
      <c r="L918" s="1" t="str">
        <f t="shared" si="42"/>
        <v>&lt;50%</v>
      </c>
      <c r="M918">
        <v>4.2</v>
      </c>
      <c r="N918" s="2">
        <v>2375</v>
      </c>
      <c r="O918" s="5">
        <f t="shared" si="43"/>
        <v>3560125</v>
      </c>
      <c r="P918">
        <f>MAX(Table1[RATING COUNT])</f>
        <v>426973</v>
      </c>
    </row>
    <row r="919" spans="1:16">
      <c r="A919" t="s">
        <v>2435</v>
      </c>
      <c r="B919" t="s">
        <v>878</v>
      </c>
      <c r="D919" t="s">
        <v>1412</v>
      </c>
      <c r="E919" t="s">
        <v>1413</v>
      </c>
      <c r="F919" t="s">
        <v>1414</v>
      </c>
      <c r="G919" t="s">
        <v>1415</v>
      </c>
      <c r="H919" s="7">
        <v>120</v>
      </c>
      <c r="I919" s="7">
        <v>120</v>
      </c>
      <c r="J919" s="7" t="str">
        <f t="shared" si="44"/>
        <v>&lt;₹200</v>
      </c>
      <c r="K919" s="1">
        <v>0</v>
      </c>
      <c r="L919" s="1" t="str">
        <f t="shared" si="42"/>
        <v>&lt;50%</v>
      </c>
      <c r="M919">
        <v>4.5</v>
      </c>
      <c r="N919" s="2">
        <v>4951</v>
      </c>
      <c r="O919" s="5">
        <f t="shared" si="43"/>
        <v>594120</v>
      </c>
      <c r="P919">
        <f>MAX(Table1[RATING COUNT])</f>
        <v>426973</v>
      </c>
    </row>
    <row r="920" spans="1:16">
      <c r="A920" t="s">
        <v>2124</v>
      </c>
      <c r="B920" t="s">
        <v>879</v>
      </c>
      <c r="D920" t="s">
        <v>1345</v>
      </c>
      <c r="E920" t="s">
        <v>1346</v>
      </c>
      <c r="F920" t="s">
        <v>1433</v>
      </c>
      <c r="G920" t="s">
        <v>1485</v>
      </c>
      <c r="H920" s="7">
        <v>1519</v>
      </c>
      <c r="I920" s="7">
        <v>3499</v>
      </c>
      <c r="J920" s="7" t="str">
        <f t="shared" si="44"/>
        <v>&gt;₹500</v>
      </c>
      <c r="K920" s="1">
        <v>0.56999999999999995</v>
      </c>
      <c r="L920" s="1" t="str">
        <f t="shared" si="42"/>
        <v>50% or More</v>
      </c>
      <c r="M920">
        <v>4.3</v>
      </c>
      <c r="N920" s="2">
        <v>408</v>
      </c>
      <c r="O920" s="5">
        <f t="shared" si="43"/>
        <v>1427592</v>
      </c>
      <c r="P920">
        <f>MAX(Table1[RATING COUNT])</f>
        <v>426973</v>
      </c>
    </row>
    <row r="921" spans="1:16">
      <c r="A921" t="s">
        <v>2436</v>
      </c>
      <c r="B921" t="s">
        <v>880</v>
      </c>
      <c r="D921" t="s">
        <v>1412</v>
      </c>
      <c r="E921" t="s">
        <v>1413</v>
      </c>
      <c r="F921" t="s">
        <v>1414</v>
      </c>
      <c r="G921" t="s">
        <v>1415</v>
      </c>
      <c r="H921" s="7">
        <v>420</v>
      </c>
      <c r="I921" s="7">
        <v>420</v>
      </c>
      <c r="J921" s="7" t="str">
        <f t="shared" si="44"/>
        <v>₹200–₹500</v>
      </c>
      <c r="K921" s="1">
        <v>0</v>
      </c>
      <c r="L921" s="1" t="str">
        <f t="shared" si="42"/>
        <v>&lt;50%</v>
      </c>
      <c r="M921">
        <v>4.2</v>
      </c>
      <c r="N921" s="2">
        <v>1926</v>
      </c>
      <c r="O921" s="5">
        <f t="shared" si="43"/>
        <v>808920</v>
      </c>
      <c r="P921">
        <f>MAX(Table1[RATING COUNT])</f>
        <v>426973</v>
      </c>
    </row>
    <row r="922" spans="1:16">
      <c r="A922" t="s">
        <v>2437</v>
      </c>
      <c r="B922" t="s">
        <v>881</v>
      </c>
      <c r="D922" t="s">
        <v>1412</v>
      </c>
      <c r="E922" t="s">
        <v>1413</v>
      </c>
      <c r="F922" t="s">
        <v>1414</v>
      </c>
      <c r="G922" t="s">
        <v>1415</v>
      </c>
      <c r="H922" s="7">
        <v>225</v>
      </c>
      <c r="I922" s="7">
        <v>225</v>
      </c>
      <c r="J922" s="7" t="str">
        <f t="shared" si="44"/>
        <v>₹200–₹500</v>
      </c>
      <c r="K922" s="1">
        <v>0</v>
      </c>
      <c r="L922" s="1" t="str">
        <f t="shared" si="42"/>
        <v>&lt;50%</v>
      </c>
      <c r="M922">
        <v>4.0999999999999996</v>
      </c>
      <c r="N922" s="2">
        <v>4798</v>
      </c>
      <c r="O922" s="5">
        <f t="shared" si="43"/>
        <v>1079550</v>
      </c>
      <c r="P922">
        <f>MAX(Table1[RATING COUNT])</f>
        <v>426973</v>
      </c>
    </row>
    <row r="923" spans="1:16">
      <c r="A923" t="s">
        <v>2438</v>
      </c>
      <c r="B923" t="s">
        <v>882</v>
      </c>
      <c r="D923" t="s">
        <v>1345</v>
      </c>
      <c r="E923" t="s">
        <v>1346</v>
      </c>
      <c r="F923" t="s">
        <v>1504</v>
      </c>
      <c r="G923" t="s">
        <v>1505</v>
      </c>
      <c r="H923" s="7">
        <v>199</v>
      </c>
      <c r="I923" s="7">
        <v>799</v>
      </c>
      <c r="J923" s="7" t="str">
        <f t="shared" si="44"/>
        <v>&gt;₹500</v>
      </c>
      <c r="K923" s="1">
        <v>0.75</v>
      </c>
      <c r="L923" s="1" t="str">
        <f t="shared" si="42"/>
        <v>50% or More</v>
      </c>
      <c r="M923">
        <v>4.0999999999999996</v>
      </c>
      <c r="N923" s="2">
        <v>7333</v>
      </c>
      <c r="O923" s="5">
        <f t="shared" si="43"/>
        <v>5859067</v>
      </c>
      <c r="P923">
        <f>MAX(Table1[RATING COUNT])</f>
        <v>426973</v>
      </c>
    </row>
    <row r="924" spans="1:16">
      <c r="A924" t="s">
        <v>2439</v>
      </c>
      <c r="B924" t="s">
        <v>883</v>
      </c>
      <c r="D924" t="s">
        <v>1345</v>
      </c>
      <c r="E924" t="s">
        <v>1429</v>
      </c>
      <c r="F924" t="s">
        <v>1483</v>
      </c>
      <c r="G924" t="s">
        <v>1488</v>
      </c>
      <c r="H924" s="7">
        <v>8349</v>
      </c>
      <c r="I924" s="7">
        <v>9625</v>
      </c>
      <c r="J924" s="7" t="str">
        <f t="shared" si="44"/>
        <v>&gt;₹500</v>
      </c>
      <c r="K924" s="1">
        <v>0.13</v>
      </c>
      <c r="L924" s="1" t="str">
        <f t="shared" si="42"/>
        <v>&lt;50%</v>
      </c>
      <c r="M924">
        <v>3.8</v>
      </c>
      <c r="N924" s="2">
        <v>3652</v>
      </c>
      <c r="O924" s="5">
        <f t="shared" si="43"/>
        <v>35150500</v>
      </c>
      <c r="P924">
        <f>MAX(Table1[RATING COUNT])</f>
        <v>426973</v>
      </c>
    </row>
    <row r="925" spans="1:16">
      <c r="A925" t="s">
        <v>2440</v>
      </c>
      <c r="B925" t="s">
        <v>884</v>
      </c>
      <c r="D925" t="s">
        <v>1345</v>
      </c>
      <c r="E925" t="s">
        <v>1462</v>
      </c>
      <c r="F925" t="s">
        <v>1473</v>
      </c>
      <c r="H925" s="7">
        <v>3307</v>
      </c>
      <c r="I925" s="7">
        <v>6100</v>
      </c>
      <c r="J925" s="7" t="str">
        <f t="shared" si="44"/>
        <v>&gt;₹500</v>
      </c>
      <c r="K925" s="1">
        <v>0.46</v>
      </c>
      <c r="L925" s="1" t="str">
        <f t="shared" si="42"/>
        <v>&lt;50%</v>
      </c>
      <c r="M925">
        <v>4.3</v>
      </c>
      <c r="N925" s="2">
        <v>2515</v>
      </c>
      <c r="O925" s="5">
        <f t="shared" si="43"/>
        <v>15341500</v>
      </c>
      <c r="P925">
        <f>MAX(Table1[RATING COUNT])</f>
        <v>426973</v>
      </c>
    </row>
    <row r="926" spans="1:16">
      <c r="A926" t="s">
        <v>2441</v>
      </c>
      <c r="B926" t="s">
        <v>885</v>
      </c>
      <c r="D926" t="s">
        <v>1345</v>
      </c>
      <c r="E926" t="s">
        <v>1399</v>
      </c>
      <c r="F926" t="s">
        <v>1400</v>
      </c>
      <c r="H926" s="7">
        <v>449</v>
      </c>
      <c r="I926" s="7">
        <v>1300</v>
      </c>
      <c r="J926" s="7" t="str">
        <f t="shared" si="44"/>
        <v>&gt;₹500</v>
      </c>
      <c r="K926" s="1">
        <v>0.65</v>
      </c>
      <c r="L926" s="1" t="str">
        <f t="shared" si="42"/>
        <v>50% or More</v>
      </c>
      <c r="M926">
        <v>4.2</v>
      </c>
      <c r="N926" s="2">
        <v>4959</v>
      </c>
      <c r="O926" s="5">
        <f t="shared" si="43"/>
        <v>6446700</v>
      </c>
      <c r="P926">
        <f>MAX(Table1[RATING COUNT])</f>
        <v>426973</v>
      </c>
    </row>
    <row r="927" spans="1:16">
      <c r="A927" t="s">
        <v>1668</v>
      </c>
      <c r="B927" t="s">
        <v>886</v>
      </c>
      <c r="D927" t="s">
        <v>1352</v>
      </c>
      <c r="E927" t="s">
        <v>1410</v>
      </c>
      <c r="F927" t="s">
        <v>1411</v>
      </c>
      <c r="H927" s="7">
        <v>380</v>
      </c>
      <c r="I927" s="7">
        <v>400</v>
      </c>
      <c r="J927" s="7" t="str">
        <f t="shared" si="44"/>
        <v>₹200–₹500</v>
      </c>
      <c r="K927" s="1">
        <v>0.05</v>
      </c>
      <c r="L927" s="1" t="str">
        <f t="shared" si="42"/>
        <v>&lt;50%</v>
      </c>
      <c r="M927">
        <v>4.4000000000000004</v>
      </c>
      <c r="N927" s="2">
        <v>2111</v>
      </c>
      <c r="O927" s="5">
        <f t="shared" si="43"/>
        <v>844400</v>
      </c>
      <c r="P927">
        <f>MAX(Table1[RATING COUNT])</f>
        <v>426973</v>
      </c>
    </row>
    <row r="928" spans="1:16">
      <c r="A928" t="s">
        <v>2442</v>
      </c>
      <c r="B928" t="s">
        <v>887</v>
      </c>
      <c r="D928" t="s">
        <v>1345</v>
      </c>
      <c r="E928" t="s">
        <v>1346</v>
      </c>
      <c r="F928" t="s">
        <v>1401</v>
      </c>
      <c r="G928" t="s">
        <v>1403</v>
      </c>
      <c r="H928" s="7">
        <v>499</v>
      </c>
      <c r="I928" s="7">
        <v>1399</v>
      </c>
      <c r="J928" s="7" t="str">
        <f t="shared" si="44"/>
        <v>&gt;₹500</v>
      </c>
      <c r="K928" s="1">
        <v>0.64</v>
      </c>
      <c r="L928" s="1" t="str">
        <f t="shared" si="42"/>
        <v>50% or More</v>
      </c>
      <c r="M928">
        <v>3.9</v>
      </c>
      <c r="N928" s="2">
        <v>1462</v>
      </c>
      <c r="O928" s="5">
        <f t="shared" si="43"/>
        <v>2045338</v>
      </c>
      <c r="P928">
        <f>MAX(Table1[RATING COUNT])</f>
        <v>426973</v>
      </c>
    </row>
    <row r="929" spans="1:16">
      <c r="A929" t="s">
        <v>2443</v>
      </c>
      <c r="B929" t="s">
        <v>888</v>
      </c>
      <c r="D929" t="s">
        <v>1345</v>
      </c>
      <c r="E929" t="s">
        <v>1506</v>
      </c>
      <c r="F929" t="s">
        <v>1507</v>
      </c>
      <c r="H929" s="7">
        <v>37247</v>
      </c>
      <c r="I929" s="7">
        <v>59890</v>
      </c>
      <c r="J929" s="7" t="str">
        <f t="shared" si="44"/>
        <v>&gt;₹500</v>
      </c>
      <c r="K929" s="1">
        <v>0.38</v>
      </c>
      <c r="L929" s="1" t="str">
        <f t="shared" si="42"/>
        <v>&lt;50%</v>
      </c>
      <c r="M929">
        <v>4</v>
      </c>
      <c r="N929" s="2">
        <v>323</v>
      </c>
      <c r="O929" s="5">
        <f t="shared" si="43"/>
        <v>19344470</v>
      </c>
      <c r="P929">
        <f>MAX(Table1[RATING COUNT])</f>
        <v>426973</v>
      </c>
    </row>
    <row r="930" spans="1:16">
      <c r="A930" t="s">
        <v>1669</v>
      </c>
      <c r="B930" t="s">
        <v>889</v>
      </c>
      <c r="D930" t="s">
        <v>1352</v>
      </c>
      <c r="E930" t="s">
        <v>1383</v>
      </c>
      <c r="F930" t="s">
        <v>1384</v>
      </c>
      <c r="G930" t="s">
        <v>1396</v>
      </c>
      <c r="H930" s="7">
        <v>849</v>
      </c>
      <c r="I930" s="7">
        <v>2490</v>
      </c>
      <c r="J930" s="7" t="str">
        <f t="shared" si="44"/>
        <v>&gt;₹500</v>
      </c>
      <c r="K930" s="1">
        <v>0.66</v>
      </c>
      <c r="L930" s="1" t="str">
        <f t="shared" si="42"/>
        <v>50% or More</v>
      </c>
      <c r="M930">
        <v>4.2</v>
      </c>
      <c r="N930" s="2">
        <v>91188</v>
      </c>
      <c r="O930" s="5">
        <f t="shared" si="43"/>
        <v>227058120</v>
      </c>
      <c r="P930">
        <f>MAX(Table1[RATING COUNT])</f>
        <v>426973</v>
      </c>
    </row>
    <row r="931" spans="1:16">
      <c r="A931" t="s">
        <v>2444</v>
      </c>
      <c r="B931" t="s">
        <v>890</v>
      </c>
      <c r="D931" t="s">
        <v>1352</v>
      </c>
      <c r="E931" t="s">
        <v>1360</v>
      </c>
      <c r="F931" t="s">
        <v>1370</v>
      </c>
      <c r="G931" t="s">
        <v>1459</v>
      </c>
      <c r="H931" s="7">
        <v>799</v>
      </c>
      <c r="I931" s="7">
        <v>1999</v>
      </c>
      <c r="J931" s="7" t="str">
        <f t="shared" si="44"/>
        <v>&gt;₹500</v>
      </c>
      <c r="K931" s="1">
        <v>0.6</v>
      </c>
      <c r="L931" s="1" t="str">
        <f t="shared" si="42"/>
        <v>50% or More</v>
      </c>
      <c r="M931">
        <v>3.7</v>
      </c>
      <c r="N931" s="2">
        <v>418</v>
      </c>
      <c r="O931" s="5">
        <f t="shared" si="43"/>
        <v>835582</v>
      </c>
      <c r="P931">
        <f>MAX(Table1[RATING COUNT])</f>
        <v>426973</v>
      </c>
    </row>
    <row r="932" spans="1:16">
      <c r="A932" t="s">
        <v>2445</v>
      </c>
      <c r="B932" t="s">
        <v>891</v>
      </c>
      <c r="D932" t="s">
        <v>1345</v>
      </c>
      <c r="E932" t="s">
        <v>1346</v>
      </c>
      <c r="F932" t="s">
        <v>1448</v>
      </c>
      <c r="G932" t="s">
        <v>1449</v>
      </c>
      <c r="H932" s="7">
        <v>298</v>
      </c>
      <c r="I932" s="7">
        <v>999</v>
      </c>
      <c r="J932" s="7" t="str">
        <f t="shared" si="44"/>
        <v>&gt;₹500</v>
      </c>
      <c r="K932" s="1">
        <v>0.7</v>
      </c>
      <c r="L932" s="1" t="str">
        <f t="shared" si="42"/>
        <v>50% or More</v>
      </c>
      <c r="M932">
        <v>4.3</v>
      </c>
      <c r="N932" s="2">
        <v>1552</v>
      </c>
      <c r="O932" s="5">
        <f t="shared" si="43"/>
        <v>1550448</v>
      </c>
      <c r="P932">
        <f>MAX(Table1[RATING COUNT])</f>
        <v>426973</v>
      </c>
    </row>
    <row r="933" spans="1:16">
      <c r="A933" t="s">
        <v>2446</v>
      </c>
      <c r="B933" t="s">
        <v>892</v>
      </c>
      <c r="D933" t="s">
        <v>1352</v>
      </c>
      <c r="E933" t="s">
        <v>1360</v>
      </c>
      <c r="F933" t="s">
        <v>1370</v>
      </c>
      <c r="G933" t="s">
        <v>1459</v>
      </c>
      <c r="H933" s="7">
        <v>1499</v>
      </c>
      <c r="I933" s="7">
        <v>2999</v>
      </c>
      <c r="J933" s="7" t="str">
        <f t="shared" si="44"/>
        <v>&gt;₹500</v>
      </c>
      <c r="K933" s="1">
        <v>0.5</v>
      </c>
      <c r="L933" s="1" t="str">
        <f t="shared" si="42"/>
        <v>50% or More</v>
      </c>
      <c r="M933">
        <v>4.0999999999999996</v>
      </c>
      <c r="N933" s="2">
        <v>25262</v>
      </c>
      <c r="O933" s="5">
        <f t="shared" si="43"/>
        <v>75760738</v>
      </c>
      <c r="P933">
        <f>MAX(Table1[RATING COUNT])</f>
        <v>426973</v>
      </c>
    </row>
    <row r="934" spans="1:16">
      <c r="A934" t="s">
        <v>2447</v>
      </c>
      <c r="B934" t="s">
        <v>893</v>
      </c>
      <c r="D934" t="s">
        <v>1416</v>
      </c>
      <c r="E934" t="s">
        <v>1508</v>
      </c>
      <c r="F934" t="s">
        <v>1509</v>
      </c>
      <c r="G934" t="s">
        <v>1510</v>
      </c>
      <c r="H934" s="7">
        <v>649</v>
      </c>
      <c r="I934" s="7">
        <v>1245</v>
      </c>
      <c r="J934" s="7" t="str">
        <f t="shared" si="44"/>
        <v>&gt;₹500</v>
      </c>
      <c r="K934" s="1">
        <v>0.48</v>
      </c>
      <c r="L934" s="1" t="str">
        <f t="shared" si="42"/>
        <v>&lt;50%</v>
      </c>
      <c r="M934">
        <v>3.9</v>
      </c>
      <c r="N934" s="2">
        <v>123365</v>
      </c>
      <c r="O934" s="5">
        <f t="shared" si="43"/>
        <v>153589425</v>
      </c>
      <c r="P934">
        <f>MAX(Table1[RATING COUNT])</f>
        <v>426973</v>
      </c>
    </row>
    <row r="935" spans="1:16">
      <c r="A935" t="s">
        <v>2448</v>
      </c>
      <c r="B935" t="s">
        <v>894</v>
      </c>
      <c r="D935" t="s">
        <v>1416</v>
      </c>
      <c r="E935" t="s">
        <v>1511</v>
      </c>
      <c r="F935" t="s">
        <v>1512</v>
      </c>
      <c r="G935" t="s">
        <v>1513</v>
      </c>
      <c r="H935" s="7">
        <v>1199</v>
      </c>
      <c r="I935" s="7">
        <v>1695</v>
      </c>
      <c r="J935" s="7" t="str">
        <f t="shared" si="44"/>
        <v>&gt;₹500</v>
      </c>
      <c r="K935" s="1">
        <v>0.28999999999999998</v>
      </c>
      <c r="L935" s="1" t="str">
        <f t="shared" si="42"/>
        <v>&lt;50%</v>
      </c>
      <c r="M935">
        <v>3.6</v>
      </c>
      <c r="N935" s="2">
        <v>13300</v>
      </c>
      <c r="O935" s="5">
        <f t="shared" si="43"/>
        <v>22543500</v>
      </c>
      <c r="P935">
        <f>MAX(Table1[RATING COUNT])</f>
        <v>426973</v>
      </c>
    </row>
    <row r="936" spans="1:16">
      <c r="A936" t="s">
        <v>2449</v>
      </c>
      <c r="B936" t="s">
        <v>895</v>
      </c>
      <c r="D936" t="s">
        <v>1416</v>
      </c>
      <c r="E936" t="s">
        <v>1511</v>
      </c>
      <c r="F936" t="s">
        <v>1512</v>
      </c>
      <c r="G936" t="s">
        <v>1514</v>
      </c>
      <c r="H936" s="7">
        <v>1199</v>
      </c>
      <c r="I936" s="7">
        <v>2000</v>
      </c>
      <c r="J936" s="7" t="str">
        <f t="shared" si="44"/>
        <v>&gt;₹500</v>
      </c>
      <c r="K936" s="1">
        <v>0.4</v>
      </c>
      <c r="L936" s="1" t="str">
        <f t="shared" si="42"/>
        <v>&lt;50%</v>
      </c>
      <c r="M936">
        <v>4</v>
      </c>
      <c r="N936" s="2">
        <v>18543</v>
      </c>
      <c r="O936" s="5">
        <f t="shared" si="43"/>
        <v>37086000</v>
      </c>
      <c r="P936">
        <f>MAX(Table1[RATING COUNT])</f>
        <v>426973</v>
      </c>
    </row>
    <row r="937" spans="1:16">
      <c r="A937" t="s">
        <v>2450</v>
      </c>
      <c r="B937" t="s">
        <v>896</v>
      </c>
      <c r="D937" t="s">
        <v>1416</v>
      </c>
      <c r="E937" t="s">
        <v>1508</v>
      </c>
      <c r="F937" t="s">
        <v>1515</v>
      </c>
      <c r="G937" t="s">
        <v>1516</v>
      </c>
      <c r="H937" s="7">
        <v>455</v>
      </c>
      <c r="I937" s="7">
        <v>999</v>
      </c>
      <c r="J937" s="7" t="str">
        <f t="shared" si="44"/>
        <v>&gt;₹500</v>
      </c>
      <c r="K937" s="1">
        <v>0.54</v>
      </c>
      <c r="L937" s="1" t="str">
        <f t="shared" si="42"/>
        <v>50% or More</v>
      </c>
      <c r="M937">
        <v>4.0999999999999996</v>
      </c>
      <c r="N937" s="2">
        <v>3578</v>
      </c>
      <c r="O937" s="5">
        <f t="shared" si="43"/>
        <v>3574422</v>
      </c>
      <c r="P937">
        <f>MAX(Table1[RATING COUNT])</f>
        <v>426973</v>
      </c>
    </row>
    <row r="938" spans="1:16">
      <c r="A938" t="s">
        <v>2451</v>
      </c>
      <c r="B938" t="s">
        <v>897</v>
      </c>
      <c r="D938" t="s">
        <v>1416</v>
      </c>
      <c r="E938" t="s">
        <v>1508</v>
      </c>
      <c r="F938" t="s">
        <v>1509</v>
      </c>
      <c r="G938" t="s">
        <v>1517</v>
      </c>
      <c r="H938" s="7">
        <v>199</v>
      </c>
      <c r="I938" s="7">
        <v>1999</v>
      </c>
      <c r="J938" s="7" t="str">
        <f t="shared" si="44"/>
        <v>&gt;₹500</v>
      </c>
      <c r="K938" s="1">
        <v>0.9</v>
      </c>
      <c r="L938" s="1" t="str">
        <f t="shared" si="42"/>
        <v>50% or More</v>
      </c>
      <c r="M938">
        <v>3.7</v>
      </c>
      <c r="N938" s="2">
        <v>2031</v>
      </c>
      <c r="O938" s="5">
        <f t="shared" si="43"/>
        <v>4059969</v>
      </c>
      <c r="P938">
        <f>MAX(Table1[RATING COUNT])</f>
        <v>426973</v>
      </c>
    </row>
    <row r="939" spans="1:16">
      <c r="A939" t="s">
        <v>2452</v>
      </c>
      <c r="B939" t="s">
        <v>898</v>
      </c>
      <c r="D939" t="s">
        <v>1416</v>
      </c>
      <c r="E939" t="s">
        <v>1508</v>
      </c>
      <c r="F939" t="s">
        <v>1509</v>
      </c>
      <c r="G939" t="s">
        <v>1517</v>
      </c>
      <c r="H939" s="7">
        <v>293</v>
      </c>
      <c r="I939" s="7">
        <v>499</v>
      </c>
      <c r="J939" s="7" t="str">
        <f t="shared" si="44"/>
        <v>₹200–₹500</v>
      </c>
      <c r="K939" s="1">
        <v>0.41</v>
      </c>
      <c r="L939" s="1" t="str">
        <f t="shared" si="42"/>
        <v>&lt;50%</v>
      </c>
      <c r="M939">
        <v>3.9</v>
      </c>
      <c r="N939" s="2">
        <v>44994</v>
      </c>
      <c r="O939" s="5">
        <f t="shared" si="43"/>
        <v>22452006</v>
      </c>
      <c r="P939">
        <f>MAX(Table1[RATING COUNT])</f>
        <v>426973</v>
      </c>
    </row>
    <row r="940" spans="1:16">
      <c r="A940" t="s">
        <v>1672</v>
      </c>
      <c r="B940" t="s">
        <v>899</v>
      </c>
      <c r="D940" t="s">
        <v>1416</v>
      </c>
      <c r="E940" t="s">
        <v>1518</v>
      </c>
      <c r="F940" t="s">
        <v>1519</v>
      </c>
      <c r="G940" t="s">
        <v>1520</v>
      </c>
      <c r="H940" s="7">
        <v>199</v>
      </c>
      <c r="I940" s="7">
        <v>495</v>
      </c>
      <c r="J940" s="7" t="str">
        <f t="shared" si="44"/>
        <v>₹200–₹500</v>
      </c>
      <c r="K940" s="1">
        <v>0.6</v>
      </c>
      <c r="L940" s="1" t="str">
        <f t="shared" si="42"/>
        <v>50% or More</v>
      </c>
      <c r="M940">
        <v>4.0999999999999996</v>
      </c>
      <c r="N940" s="2">
        <v>270563</v>
      </c>
      <c r="O940" s="5">
        <f t="shared" si="43"/>
        <v>133928685</v>
      </c>
      <c r="P940">
        <f>MAX(Table1[RATING COUNT])</f>
        <v>426973</v>
      </c>
    </row>
    <row r="941" spans="1:16">
      <c r="A941" t="s">
        <v>2453</v>
      </c>
      <c r="B941" t="s">
        <v>900</v>
      </c>
      <c r="D941" t="s">
        <v>1416</v>
      </c>
      <c r="E941" t="s">
        <v>1508</v>
      </c>
      <c r="F941" t="s">
        <v>1509</v>
      </c>
      <c r="G941" t="s">
        <v>1510</v>
      </c>
      <c r="H941" s="7">
        <v>749</v>
      </c>
      <c r="I941" s="7">
        <v>1245</v>
      </c>
      <c r="J941" s="7" t="str">
        <f t="shared" si="44"/>
        <v>&gt;₹500</v>
      </c>
      <c r="K941" s="1">
        <v>0.4</v>
      </c>
      <c r="L941" s="1" t="str">
        <f t="shared" si="42"/>
        <v>&lt;50%</v>
      </c>
      <c r="M941">
        <v>3.9</v>
      </c>
      <c r="N941" s="2">
        <v>31783</v>
      </c>
      <c r="O941" s="5">
        <f t="shared" si="43"/>
        <v>39569835</v>
      </c>
      <c r="P941">
        <f>MAX(Table1[RATING COUNT])</f>
        <v>426973</v>
      </c>
    </row>
    <row r="942" spans="1:16">
      <c r="A942" t="s">
        <v>2454</v>
      </c>
      <c r="B942" t="s">
        <v>901</v>
      </c>
      <c r="D942" t="s">
        <v>1416</v>
      </c>
      <c r="E942" t="s">
        <v>1511</v>
      </c>
      <c r="F942" t="s">
        <v>1512</v>
      </c>
      <c r="G942" t="s">
        <v>1513</v>
      </c>
      <c r="H942" s="7">
        <v>1399</v>
      </c>
      <c r="I942" s="7">
        <v>1549</v>
      </c>
      <c r="J942" s="7" t="str">
        <f t="shared" si="44"/>
        <v>&gt;₹500</v>
      </c>
      <c r="K942" s="1">
        <v>0.1</v>
      </c>
      <c r="L942" s="1" t="str">
        <f t="shared" si="42"/>
        <v>&lt;50%</v>
      </c>
      <c r="M942">
        <v>3.9</v>
      </c>
      <c r="N942" s="2">
        <v>2602</v>
      </c>
      <c r="O942" s="5">
        <f t="shared" si="43"/>
        <v>4030498</v>
      </c>
      <c r="P942">
        <f>MAX(Table1[RATING COUNT])</f>
        <v>426973</v>
      </c>
    </row>
    <row r="943" spans="1:16">
      <c r="A943" t="s">
        <v>2455</v>
      </c>
      <c r="B943" t="s">
        <v>902</v>
      </c>
      <c r="D943" t="s">
        <v>1416</v>
      </c>
      <c r="E943" t="s">
        <v>1508</v>
      </c>
      <c r="F943" t="s">
        <v>1509</v>
      </c>
      <c r="G943" t="s">
        <v>1510</v>
      </c>
      <c r="H943" s="7">
        <v>749</v>
      </c>
      <c r="I943" s="7">
        <v>1445</v>
      </c>
      <c r="J943" s="7" t="str">
        <f t="shared" si="44"/>
        <v>&gt;₹500</v>
      </c>
      <c r="K943" s="1">
        <v>0.48</v>
      </c>
      <c r="L943" s="1" t="str">
        <f t="shared" si="42"/>
        <v>&lt;50%</v>
      </c>
      <c r="M943">
        <v>3.9</v>
      </c>
      <c r="N943" s="2">
        <v>63350</v>
      </c>
      <c r="O943" s="5">
        <f t="shared" si="43"/>
        <v>91540750</v>
      </c>
      <c r="P943">
        <f>MAX(Table1[RATING COUNT])</f>
        <v>426973</v>
      </c>
    </row>
    <row r="944" spans="1:16">
      <c r="A944" t="s">
        <v>2456</v>
      </c>
      <c r="B944" t="s">
        <v>903</v>
      </c>
      <c r="D944" t="s">
        <v>1416</v>
      </c>
      <c r="E944" t="s">
        <v>1508</v>
      </c>
      <c r="F944" t="s">
        <v>1509</v>
      </c>
      <c r="G944" t="s">
        <v>1521</v>
      </c>
      <c r="H944" s="7">
        <v>1699</v>
      </c>
      <c r="I944" s="7">
        <v>3193</v>
      </c>
      <c r="J944" s="7" t="str">
        <f t="shared" si="44"/>
        <v>&gt;₹500</v>
      </c>
      <c r="K944" s="1">
        <v>0.47</v>
      </c>
      <c r="L944" s="1" t="str">
        <f t="shared" si="42"/>
        <v>&lt;50%</v>
      </c>
      <c r="M944">
        <v>3.8</v>
      </c>
      <c r="N944" s="2">
        <v>54032</v>
      </c>
      <c r="O944" s="5">
        <f t="shared" si="43"/>
        <v>172524176</v>
      </c>
      <c r="P944">
        <f>MAX(Table1[RATING COUNT])</f>
        <v>426973</v>
      </c>
    </row>
    <row r="945" spans="1:16">
      <c r="A945" t="s">
        <v>1673</v>
      </c>
      <c r="B945" t="s">
        <v>904</v>
      </c>
      <c r="D945" t="s">
        <v>1416</v>
      </c>
      <c r="E945" t="s">
        <v>1508</v>
      </c>
      <c r="F945" t="s">
        <v>1509</v>
      </c>
      <c r="G945" t="s">
        <v>1510</v>
      </c>
      <c r="H945" s="7">
        <v>1043</v>
      </c>
      <c r="I945" s="7">
        <v>1345</v>
      </c>
      <c r="J945" s="7" t="str">
        <f t="shared" si="44"/>
        <v>&gt;₹500</v>
      </c>
      <c r="K945" s="1">
        <v>0.22</v>
      </c>
      <c r="L945" s="1" t="str">
        <f t="shared" si="42"/>
        <v>&lt;50%</v>
      </c>
      <c r="M945">
        <v>3.8</v>
      </c>
      <c r="N945" s="2">
        <v>15592</v>
      </c>
      <c r="O945" s="5">
        <f t="shared" si="43"/>
        <v>20971240</v>
      </c>
      <c r="P945">
        <f>MAX(Table1[RATING COUNT])</f>
        <v>426973</v>
      </c>
    </row>
    <row r="946" spans="1:16">
      <c r="A946" t="s">
        <v>2457</v>
      </c>
      <c r="B946" t="s">
        <v>905</v>
      </c>
      <c r="D946" t="s">
        <v>1416</v>
      </c>
      <c r="E946" t="s">
        <v>1508</v>
      </c>
      <c r="F946" t="s">
        <v>1515</v>
      </c>
      <c r="G946" t="s">
        <v>1516</v>
      </c>
      <c r="H946" s="7">
        <v>499</v>
      </c>
      <c r="I946" s="7">
        <v>999</v>
      </c>
      <c r="J946" s="7" t="str">
        <f t="shared" si="44"/>
        <v>&gt;₹500</v>
      </c>
      <c r="K946" s="1">
        <v>0.5</v>
      </c>
      <c r="L946" s="1" t="str">
        <f t="shared" si="42"/>
        <v>50% or More</v>
      </c>
      <c r="M946">
        <v>4.0999999999999996</v>
      </c>
      <c r="N946" s="2">
        <v>4859</v>
      </c>
      <c r="O946" s="5">
        <f t="shared" si="43"/>
        <v>4854141</v>
      </c>
      <c r="P946">
        <f>MAX(Table1[RATING COUNT])</f>
        <v>426973</v>
      </c>
    </row>
    <row r="947" spans="1:16">
      <c r="A947" t="s">
        <v>2458</v>
      </c>
      <c r="B947" t="s">
        <v>906</v>
      </c>
      <c r="D947" t="s">
        <v>1416</v>
      </c>
      <c r="E947" t="s">
        <v>1511</v>
      </c>
      <c r="F947" t="s">
        <v>1512</v>
      </c>
      <c r="G947" t="s">
        <v>1514</v>
      </c>
      <c r="H947" s="7">
        <v>1464</v>
      </c>
      <c r="I947" s="7">
        <v>1650</v>
      </c>
      <c r="J947" s="7" t="str">
        <f t="shared" si="44"/>
        <v>&gt;₹500</v>
      </c>
      <c r="K947" s="1">
        <v>0.11</v>
      </c>
      <c r="L947" s="1" t="str">
        <f t="shared" si="42"/>
        <v>&lt;50%</v>
      </c>
      <c r="M947">
        <v>4.0999999999999996</v>
      </c>
      <c r="N947" s="2">
        <v>14120</v>
      </c>
      <c r="O947" s="5">
        <f t="shared" si="43"/>
        <v>23298000</v>
      </c>
      <c r="P947">
        <f>MAX(Table1[RATING COUNT])</f>
        <v>426973</v>
      </c>
    </row>
    <row r="948" spans="1:16">
      <c r="A948" t="s">
        <v>2459</v>
      </c>
      <c r="B948" t="s">
        <v>907</v>
      </c>
      <c r="D948" t="s">
        <v>1416</v>
      </c>
      <c r="E948" t="s">
        <v>1508</v>
      </c>
      <c r="F948" t="s">
        <v>1509</v>
      </c>
      <c r="G948" t="s">
        <v>1522</v>
      </c>
      <c r="H948" s="7">
        <v>249</v>
      </c>
      <c r="I948" s="7">
        <v>499</v>
      </c>
      <c r="J948" s="7" t="str">
        <f t="shared" si="44"/>
        <v>₹200–₹500</v>
      </c>
      <c r="K948" s="1">
        <v>0.5</v>
      </c>
      <c r="L948" s="1" t="str">
        <f t="shared" si="42"/>
        <v>50% or More</v>
      </c>
      <c r="M948">
        <v>3.3</v>
      </c>
      <c r="N948" s="2">
        <v>8427</v>
      </c>
      <c r="O948" s="5">
        <f t="shared" si="43"/>
        <v>4205073</v>
      </c>
      <c r="P948">
        <f>MAX(Table1[RATING COUNT])</f>
        <v>426973</v>
      </c>
    </row>
    <row r="949" spans="1:16">
      <c r="A949" t="s">
        <v>2460</v>
      </c>
      <c r="B949" t="s">
        <v>908</v>
      </c>
      <c r="D949" t="s">
        <v>1416</v>
      </c>
      <c r="E949" t="s">
        <v>1508</v>
      </c>
      <c r="F949" t="s">
        <v>1515</v>
      </c>
      <c r="G949" t="s">
        <v>1516</v>
      </c>
      <c r="H949" s="7">
        <v>625</v>
      </c>
      <c r="I949" s="7">
        <v>1400</v>
      </c>
      <c r="J949" s="7" t="str">
        <f t="shared" si="44"/>
        <v>&gt;₹500</v>
      </c>
      <c r="K949" s="1">
        <v>0.55000000000000004</v>
      </c>
      <c r="L949" s="1" t="str">
        <f t="shared" si="42"/>
        <v>50% or More</v>
      </c>
      <c r="M949">
        <v>4.2</v>
      </c>
      <c r="N949" s="2">
        <v>23316</v>
      </c>
      <c r="O949" s="5">
        <f t="shared" si="43"/>
        <v>32642400</v>
      </c>
      <c r="P949">
        <f>MAX(Table1[RATING COUNT])</f>
        <v>426973</v>
      </c>
    </row>
    <row r="950" spans="1:16">
      <c r="A950" t="s">
        <v>2461</v>
      </c>
      <c r="B950" t="s">
        <v>909</v>
      </c>
      <c r="D950" t="s">
        <v>1416</v>
      </c>
      <c r="E950" t="s">
        <v>1508</v>
      </c>
      <c r="F950" t="s">
        <v>1509</v>
      </c>
      <c r="G950" t="s">
        <v>1523</v>
      </c>
      <c r="H950" s="7">
        <v>1290</v>
      </c>
      <c r="I950" s="7">
        <v>2500</v>
      </c>
      <c r="J950" s="7" t="str">
        <f t="shared" si="44"/>
        <v>&gt;₹500</v>
      </c>
      <c r="K950" s="1">
        <v>0.48</v>
      </c>
      <c r="L950" s="1" t="str">
        <f t="shared" si="42"/>
        <v>&lt;50%</v>
      </c>
      <c r="M950">
        <v>4</v>
      </c>
      <c r="N950" s="2">
        <v>6530</v>
      </c>
      <c r="O950" s="5">
        <f t="shared" si="43"/>
        <v>16325000</v>
      </c>
      <c r="P950">
        <f>MAX(Table1[RATING COUNT])</f>
        <v>426973</v>
      </c>
    </row>
    <row r="951" spans="1:16">
      <c r="A951" t="s">
        <v>2462</v>
      </c>
      <c r="B951" t="s">
        <v>910</v>
      </c>
      <c r="D951" t="s">
        <v>1416</v>
      </c>
      <c r="E951" t="s">
        <v>1511</v>
      </c>
      <c r="F951" t="s">
        <v>1524</v>
      </c>
      <c r="G951" t="s">
        <v>1525</v>
      </c>
      <c r="H951" s="7">
        <v>3600</v>
      </c>
      <c r="I951" s="7">
        <v>6190</v>
      </c>
      <c r="J951" s="7" t="str">
        <f t="shared" si="44"/>
        <v>&gt;₹500</v>
      </c>
      <c r="K951" s="1">
        <v>0.42</v>
      </c>
      <c r="L951" s="1" t="str">
        <f t="shared" si="42"/>
        <v>&lt;50%</v>
      </c>
      <c r="M951">
        <v>4.3</v>
      </c>
      <c r="N951" s="2">
        <v>11924</v>
      </c>
      <c r="O951" s="5">
        <f t="shared" si="43"/>
        <v>73809560</v>
      </c>
      <c r="P951">
        <f>MAX(Table1[RATING COUNT])</f>
        <v>426973</v>
      </c>
    </row>
    <row r="952" spans="1:16">
      <c r="A952" t="s">
        <v>2463</v>
      </c>
      <c r="B952" t="s">
        <v>911</v>
      </c>
      <c r="D952" t="s">
        <v>1416</v>
      </c>
      <c r="E952" t="s">
        <v>1511</v>
      </c>
      <c r="F952" t="s">
        <v>1512</v>
      </c>
      <c r="H952" s="7">
        <v>6549</v>
      </c>
      <c r="I952" s="7">
        <v>13999</v>
      </c>
      <c r="J952" s="7" t="str">
        <f t="shared" si="44"/>
        <v>&gt;₹500</v>
      </c>
      <c r="K952" s="1">
        <v>0.53</v>
      </c>
      <c r="L952" s="1" t="str">
        <f t="shared" si="42"/>
        <v>50% or More</v>
      </c>
      <c r="M952">
        <v>4</v>
      </c>
      <c r="N952" s="2">
        <v>2961</v>
      </c>
      <c r="O952" s="5">
        <f t="shared" si="43"/>
        <v>41451039</v>
      </c>
      <c r="P952">
        <f>MAX(Table1[RATING COUNT])</f>
        <v>426973</v>
      </c>
    </row>
    <row r="953" spans="1:16">
      <c r="A953" t="s">
        <v>2464</v>
      </c>
      <c r="B953" t="s">
        <v>912</v>
      </c>
      <c r="D953" t="s">
        <v>1416</v>
      </c>
      <c r="E953" t="s">
        <v>1508</v>
      </c>
      <c r="F953" t="s">
        <v>1509</v>
      </c>
      <c r="G953" t="s">
        <v>1510</v>
      </c>
      <c r="H953" s="7">
        <v>1625</v>
      </c>
      <c r="I953" s="7">
        <v>2995</v>
      </c>
      <c r="J953" s="7" t="str">
        <f t="shared" si="44"/>
        <v>&gt;₹500</v>
      </c>
      <c r="K953" s="1">
        <v>0.46</v>
      </c>
      <c r="L953" s="1" t="str">
        <f t="shared" si="42"/>
        <v>&lt;50%</v>
      </c>
      <c r="M953">
        <v>4.5</v>
      </c>
      <c r="N953" s="2">
        <v>23484</v>
      </c>
      <c r="O953" s="5">
        <f t="shared" si="43"/>
        <v>70334580</v>
      </c>
      <c r="P953">
        <f>MAX(Table1[RATING COUNT])</f>
        <v>426973</v>
      </c>
    </row>
    <row r="954" spans="1:16">
      <c r="A954" t="s">
        <v>2465</v>
      </c>
      <c r="B954" t="s">
        <v>913</v>
      </c>
      <c r="D954" t="s">
        <v>1416</v>
      </c>
      <c r="E954" t="s">
        <v>1511</v>
      </c>
      <c r="F954" t="s">
        <v>1524</v>
      </c>
      <c r="G954" t="s">
        <v>1525</v>
      </c>
      <c r="H954" s="7">
        <v>2599</v>
      </c>
      <c r="I954" s="7">
        <v>5890</v>
      </c>
      <c r="J954" s="7" t="str">
        <f t="shared" si="44"/>
        <v>&gt;₹500</v>
      </c>
      <c r="K954" s="1">
        <v>0.56000000000000005</v>
      </c>
      <c r="L954" s="1" t="str">
        <f t="shared" si="42"/>
        <v>50% or More</v>
      </c>
      <c r="M954">
        <v>4.0999999999999996</v>
      </c>
      <c r="N954" s="2">
        <v>21783</v>
      </c>
      <c r="O954" s="5">
        <f t="shared" si="43"/>
        <v>128301870</v>
      </c>
      <c r="P954">
        <f>MAX(Table1[RATING COUNT])</f>
        <v>426973</v>
      </c>
    </row>
    <row r="955" spans="1:16">
      <c r="A955" t="s">
        <v>1674</v>
      </c>
      <c r="B955" t="s">
        <v>914</v>
      </c>
      <c r="D955" t="s">
        <v>1416</v>
      </c>
      <c r="E955" t="s">
        <v>1508</v>
      </c>
      <c r="F955" t="s">
        <v>1509</v>
      </c>
      <c r="G955" t="s">
        <v>1510</v>
      </c>
      <c r="H955" s="7">
        <v>1199</v>
      </c>
      <c r="I955" s="7">
        <v>2000</v>
      </c>
      <c r="J955" s="7" t="str">
        <f t="shared" si="44"/>
        <v>&gt;₹500</v>
      </c>
      <c r="K955" s="1">
        <v>0.4</v>
      </c>
      <c r="L955" s="1" t="str">
        <f t="shared" si="42"/>
        <v>&lt;50%</v>
      </c>
      <c r="M955">
        <v>4</v>
      </c>
      <c r="N955" s="2">
        <v>14030</v>
      </c>
      <c r="O955" s="5">
        <f t="shared" si="43"/>
        <v>28060000</v>
      </c>
      <c r="P955">
        <f>MAX(Table1[RATING COUNT])</f>
        <v>426973</v>
      </c>
    </row>
    <row r="956" spans="1:16">
      <c r="A956" t="s">
        <v>2466</v>
      </c>
      <c r="B956" t="s">
        <v>915</v>
      </c>
      <c r="D956" t="s">
        <v>1416</v>
      </c>
      <c r="E956" t="s">
        <v>1511</v>
      </c>
      <c r="F956" t="s">
        <v>1524</v>
      </c>
      <c r="G956" t="s">
        <v>1526</v>
      </c>
      <c r="H956" s="7">
        <v>5499</v>
      </c>
      <c r="I956" s="7">
        <v>13150</v>
      </c>
      <c r="J956" s="7" t="str">
        <f t="shared" si="44"/>
        <v>&gt;₹500</v>
      </c>
      <c r="K956" s="1">
        <v>0.57999999999999996</v>
      </c>
      <c r="L956" s="1" t="str">
        <f t="shared" si="42"/>
        <v>50% or More</v>
      </c>
      <c r="M956">
        <v>4.2</v>
      </c>
      <c r="N956" s="2">
        <v>6398</v>
      </c>
      <c r="O956" s="5">
        <f t="shared" si="43"/>
        <v>84133700</v>
      </c>
      <c r="P956">
        <f>MAX(Table1[RATING COUNT])</f>
        <v>426973</v>
      </c>
    </row>
    <row r="957" spans="1:16">
      <c r="A957" t="s">
        <v>2467</v>
      </c>
      <c r="B957" t="s">
        <v>916</v>
      </c>
      <c r="D957" t="s">
        <v>1416</v>
      </c>
      <c r="E957" t="s">
        <v>1508</v>
      </c>
      <c r="F957" t="s">
        <v>1509</v>
      </c>
      <c r="G957" t="s">
        <v>1523</v>
      </c>
      <c r="H957" s="7">
        <v>1299</v>
      </c>
      <c r="I957" s="7">
        <v>3500</v>
      </c>
      <c r="J957" s="7" t="str">
        <f t="shared" si="44"/>
        <v>&gt;₹500</v>
      </c>
      <c r="K957" s="1">
        <v>0.63</v>
      </c>
      <c r="L957" s="1" t="str">
        <f t="shared" si="42"/>
        <v>50% or More</v>
      </c>
      <c r="M957">
        <v>3.8</v>
      </c>
      <c r="N957" s="2">
        <v>44050</v>
      </c>
      <c r="O957" s="5">
        <f t="shared" si="43"/>
        <v>154175000</v>
      </c>
      <c r="P957">
        <f>MAX(Table1[RATING COUNT])</f>
        <v>426973</v>
      </c>
    </row>
    <row r="958" spans="1:16">
      <c r="A958" t="s">
        <v>2468</v>
      </c>
      <c r="B958" t="s">
        <v>917</v>
      </c>
      <c r="D958" t="s">
        <v>1416</v>
      </c>
      <c r="E958" t="s">
        <v>1508</v>
      </c>
      <c r="F958" t="s">
        <v>1515</v>
      </c>
      <c r="G958" t="s">
        <v>1516</v>
      </c>
      <c r="H958" s="7">
        <v>599</v>
      </c>
      <c r="I958" s="7">
        <v>785</v>
      </c>
      <c r="J958" s="7" t="str">
        <f t="shared" si="44"/>
        <v>&gt;₹500</v>
      </c>
      <c r="K958" s="1">
        <v>0.24</v>
      </c>
      <c r="L958" s="1" t="str">
        <f t="shared" si="42"/>
        <v>&lt;50%</v>
      </c>
      <c r="M958">
        <v>4.2</v>
      </c>
      <c r="N958" s="2">
        <v>24247</v>
      </c>
      <c r="O958" s="5">
        <f t="shared" si="43"/>
        <v>19033895</v>
      </c>
      <c r="P958">
        <f>MAX(Table1[RATING COUNT])</f>
        <v>426973</v>
      </c>
    </row>
    <row r="959" spans="1:16">
      <c r="A959" t="s">
        <v>1681</v>
      </c>
      <c r="B959" t="s">
        <v>918</v>
      </c>
      <c r="D959" t="s">
        <v>1416</v>
      </c>
      <c r="E959" t="s">
        <v>1508</v>
      </c>
      <c r="F959" t="s">
        <v>1509</v>
      </c>
      <c r="G959" t="s">
        <v>1523</v>
      </c>
      <c r="H959" s="7">
        <v>1999</v>
      </c>
      <c r="I959" s="7">
        <v>3210</v>
      </c>
      <c r="J959" s="7" t="str">
        <f t="shared" si="44"/>
        <v>&gt;₹500</v>
      </c>
      <c r="K959" s="1">
        <v>0.38</v>
      </c>
      <c r="L959" s="1" t="str">
        <f t="shared" si="42"/>
        <v>&lt;50%</v>
      </c>
      <c r="M959">
        <v>4.2</v>
      </c>
      <c r="N959" s="2">
        <v>41349</v>
      </c>
      <c r="O959" s="5">
        <f t="shared" si="43"/>
        <v>132730290</v>
      </c>
      <c r="P959">
        <f>MAX(Table1[RATING COUNT])</f>
        <v>426973</v>
      </c>
    </row>
    <row r="960" spans="1:16">
      <c r="A960" t="s">
        <v>2469</v>
      </c>
      <c r="B960" t="s">
        <v>919</v>
      </c>
      <c r="D960" t="s">
        <v>1416</v>
      </c>
      <c r="E960" t="s">
        <v>1508</v>
      </c>
      <c r="F960" t="s">
        <v>1509</v>
      </c>
      <c r="G960" t="s">
        <v>1510</v>
      </c>
      <c r="H960" s="7">
        <v>549</v>
      </c>
      <c r="I960" s="7">
        <v>1000</v>
      </c>
      <c r="J960" s="7" t="str">
        <f t="shared" si="44"/>
        <v>&gt;₹500</v>
      </c>
      <c r="K960" s="1">
        <v>0.45</v>
      </c>
      <c r="L960" s="1" t="str">
        <f t="shared" si="42"/>
        <v>&lt;50%</v>
      </c>
      <c r="M960">
        <v>3.6</v>
      </c>
      <c r="N960" s="2">
        <v>1074</v>
      </c>
      <c r="O960" s="5">
        <f t="shared" si="43"/>
        <v>1074000</v>
      </c>
      <c r="P960">
        <f>MAX(Table1[RATING COUNT])</f>
        <v>426973</v>
      </c>
    </row>
    <row r="961" spans="1:16">
      <c r="A961" t="s">
        <v>2143</v>
      </c>
      <c r="B961" t="s">
        <v>920</v>
      </c>
      <c r="D961" t="s">
        <v>1416</v>
      </c>
      <c r="E961" t="s">
        <v>1511</v>
      </c>
      <c r="F961" t="s">
        <v>1512</v>
      </c>
      <c r="G961" t="s">
        <v>1513</v>
      </c>
      <c r="H961" s="7">
        <v>999</v>
      </c>
      <c r="I961" s="7">
        <v>2000</v>
      </c>
      <c r="J961" s="7" t="str">
        <f t="shared" si="44"/>
        <v>&gt;₹500</v>
      </c>
      <c r="K961" s="1">
        <v>0.5</v>
      </c>
      <c r="L961" s="1" t="str">
        <f t="shared" si="42"/>
        <v>50% or More</v>
      </c>
      <c r="M961">
        <v>3.8</v>
      </c>
      <c r="N961" s="2">
        <v>1163</v>
      </c>
      <c r="O961" s="5">
        <f t="shared" si="43"/>
        <v>2326000</v>
      </c>
      <c r="P961">
        <f>MAX(Table1[RATING COUNT])</f>
        <v>426973</v>
      </c>
    </row>
    <row r="962" spans="1:16">
      <c r="A962" t="s">
        <v>2470</v>
      </c>
      <c r="B962" t="s">
        <v>921</v>
      </c>
      <c r="D962" t="s">
        <v>1416</v>
      </c>
      <c r="E962" t="s">
        <v>1508</v>
      </c>
      <c r="F962" t="s">
        <v>1515</v>
      </c>
      <c r="G962" t="s">
        <v>1516</v>
      </c>
      <c r="H962" s="7">
        <v>398</v>
      </c>
      <c r="I962" s="7">
        <v>1999</v>
      </c>
      <c r="J962" s="7" t="str">
        <f t="shared" si="44"/>
        <v>&gt;₹500</v>
      </c>
      <c r="K962" s="1">
        <v>0.8</v>
      </c>
      <c r="L962" s="1" t="str">
        <f t="shared" ref="L962:L1025" si="45">IF(K962&gt;=50%,"50% or More","&lt;50%")</f>
        <v>50% or More</v>
      </c>
      <c r="M962">
        <v>4.0999999999999996</v>
      </c>
      <c r="N962" s="2">
        <v>257</v>
      </c>
      <c r="O962" s="5">
        <f t="shared" ref="O962:O1025" si="46">I962*N962</f>
        <v>513743</v>
      </c>
      <c r="P962">
        <f>MAX(Table1[RATING COUNT])</f>
        <v>426973</v>
      </c>
    </row>
    <row r="963" spans="1:16">
      <c r="A963" t="s">
        <v>2471</v>
      </c>
      <c r="B963" t="s">
        <v>922</v>
      </c>
      <c r="D963" t="s">
        <v>1416</v>
      </c>
      <c r="E963" t="s">
        <v>1511</v>
      </c>
      <c r="F963" t="s">
        <v>1524</v>
      </c>
      <c r="G963" t="s">
        <v>1527</v>
      </c>
      <c r="H963" s="7">
        <v>539</v>
      </c>
      <c r="I963" s="7">
        <v>720</v>
      </c>
      <c r="J963" s="7" t="str">
        <f t="shared" ref="J963:J1026" si="47">IF(I963&lt;200, "&lt;₹200", IF(I963&lt;=500, "₹200–₹500", "&gt;₹500"))</f>
        <v>&gt;₹500</v>
      </c>
      <c r="K963" s="1">
        <v>0.25</v>
      </c>
      <c r="L963" s="1" t="str">
        <f t="shared" si="45"/>
        <v>&lt;50%</v>
      </c>
      <c r="M963">
        <v>4.0999999999999996</v>
      </c>
      <c r="N963" s="2">
        <v>36017</v>
      </c>
      <c r="O963" s="5">
        <f t="shared" si="46"/>
        <v>25932240</v>
      </c>
      <c r="P963">
        <f>MAX(Table1[RATING COUNT])</f>
        <v>426973</v>
      </c>
    </row>
    <row r="964" spans="1:16">
      <c r="A964" t="s">
        <v>2139</v>
      </c>
      <c r="B964" t="s">
        <v>923</v>
      </c>
      <c r="D964" t="s">
        <v>1416</v>
      </c>
      <c r="E964" t="s">
        <v>1508</v>
      </c>
      <c r="F964" t="s">
        <v>1509</v>
      </c>
      <c r="G964" t="s">
        <v>1510</v>
      </c>
      <c r="H964" s="7">
        <v>699</v>
      </c>
      <c r="I964" s="7">
        <v>1595</v>
      </c>
      <c r="J964" s="7" t="str">
        <f t="shared" si="47"/>
        <v>&gt;₹500</v>
      </c>
      <c r="K964" s="1">
        <v>0.56000000000000005</v>
      </c>
      <c r="L964" s="1" t="str">
        <f t="shared" si="45"/>
        <v>50% or More</v>
      </c>
      <c r="M964">
        <v>4.0999999999999996</v>
      </c>
      <c r="N964" s="2">
        <v>8090</v>
      </c>
      <c r="O964" s="5">
        <f t="shared" si="46"/>
        <v>12903550</v>
      </c>
      <c r="P964">
        <f>MAX(Table1[RATING COUNT])</f>
        <v>426973</v>
      </c>
    </row>
    <row r="965" spans="1:16">
      <c r="A965" t="s">
        <v>2472</v>
      </c>
      <c r="B965" t="s">
        <v>924</v>
      </c>
      <c r="D965" t="s">
        <v>1416</v>
      </c>
      <c r="E965" t="s">
        <v>1508</v>
      </c>
      <c r="F965" t="s">
        <v>1509</v>
      </c>
      <c r="G965" t="s">
        <v>1521</v>
      </c>
      <c r="H965" s="7">
        <v>2148</v>
      </c>
      <c r="I965" s="7">
        <v>3645</v>
      </c>
      <c r="J965" s="7" t="str">
        <f t="shared" si="47"/>
        <v>&gt;₹500</v>
      </c>
      <c r="K965" s="1">
        <v>0.41</v>
      </c>
      <c r="L965" s="1" t="str">
        <f t="shared" si="45"/>
        <v>&lt;50%</v>
      </c>
      <c r="M965">
        <v>4.0999999999999996</v>
      </c>
      <c r="N965" s="2">
        <v>31388</v>
      </c>
      <c r="O965" s="5">
        <f t="shared" si="46"/>
        <v>114409260</v>
      </c>
      <c r="P965">
        <f>MAX(Table1[RATING COUNT])</f>
        <v>426973</v>
      </c>
    </row>
    <row r="966" spans="1:16">
      <c r="A966" t="s">
        <v>2473</v>
      </c>
      <c r="B966" t="s">
        <v>925</v>
      </c>
      <c r="D966" t="s">
        <v>1416</v>
      </c>
      <c r="E966" t="s">
        <v>1508</v>
      </c>
      <c r="F966" t="s">
        <v>1509</v>
      </c>
      <c r="G966" t="s">
        <v>1528</v>
      </c>
      <c r="H966" s="7">
        <v>3599</v>
      </c>
      <c r="I966" s="7">
        <v>7950</v>
      </c>
      <c r="J966" s="7" t="str">
        <f t="shared" si="47"/>
        <v>&gt;₹500</v>
      </c>
      <c r="K966" s="1">
        <v>0.55000000000000004</v>
      </c>
      <c r="L966" s="1" t="str">
        <f t="shared" si="45"/>
        <v>50% or More</v>
      </c>
      <c r="M966">
        <v>4.2</v>
      </c>
      <c r="N966" s="2">
        <v>136</v>
      </c>
      <c r="O966" s="5">
        <f t="shared" si="46"/>
        <v>1081200</v>
      </c>
      <c r="P966">
        <f>MAX(Table1[RATING COUNT])</f>
        <v>426973</v>
      </c>
    </row>
    <row r="967" spans="1:16">
      <c r="A967" t="s">
        <v>2474</v>
      </c>
      <c r="B967" t="s">
        <v>926</v>
      </c>
      <c r="D967" t="s">
        <v>1416</v>
      </c>
      <c r="E967" t="s">
        <v>1529</v>
      </c>
      <c r="F967" t="s">
        <v>1530</v>
      </c>
      <c r="G967" t="s">
        <v>1531</v>
      </c>
      <c r="H967" s="7">
        <v>351</v>
      </c>
      <c r="I967" s="7">
        <v>999</v>
      </c>
      <c r="J967" s="7" t="str">
        <f t="shared" si="47"/>
        <v>&gt;₹500</v>
      </c>
      <c r="K967" s="1">
        <v>0.65</v>
      </c>
      <c r="L967" s="1" t="str">
        <f t="shared" si="45"/>
        <v>50% or More</v>
      </c>
      <c r="M967">
        <v>4</v>
      </c>
      <c r="N967" s="2">
        <v>5380</v>
      </c>
      <c r="O967" s="5">
        <f t="shared" si="46"/>
        <v>5374620</v>
      </c>
      <c r="P967">
        <f>MAX(Table1[RATING COUNT])</f>
        <v>426973</v>
      </c>
    </row>
    <row r="968" spans="1:16">
      <c r="A968" t="s">
        <v>2475</v>
      </c>
      <c r="B968" t="s">
        <v>927</v>
      </c>
      <c r="D968" t="s">
        <v>1416</v>
      </c>
      <c r="E968" t="s">
        <v>1508</v>
      </c>
      <c r="F968" t="s">
        <v>1515</v>
      </c>
      <c r="G968" t="s">
        <v>1516</v>
      </c>
      <c r="H968" s="7">
        <v>1614</v>
      </c>
      <c r="I968" s="7">
        <v>1745</v>
      </c>
      <c r="J968" s="7" t="str">
        <f t="shared" si="47"/>
        <v>&gt;₹500</v>
      </c>
      <c r="K968" s="1">
        <v>0.08</v>
      </c>
      <c r="L968" s="1" t="str">
        <f t="shared" si="45"/>
        <v>&lt;50%</v>
      </c>
      <c r="M968">
        <v>4.3</v>
      </c>
      <c r="N968" s="2">
        <v>37974</v>
      </c>
      <c r="O968" s="5">
        <f t="shared" si="46"/>
        <v>66264630</v>
      </c>
      <c r="P968">
        <f>MAX(Table1[RATING COUNT])</f>
        <v>426973</v>
      </c>
    </row>
    <row r="969" spans="1:16">
      <c r="A969" t="s">
        <v>2476</v>
      </c>
      <c r="B969" t="s">
        <v>928</v>
      </c>
      <c r="D969" t="s">
        <v>1416</v>
      </c>
      <c r="E969" t="s">
        <v>1511</v>
      </c>
      <c r="F969" t="s">
        <v>1524</v>
      </c>
      <c r="G969" t="s">
        <v>1527</v>
      </c>
      <c r="H969" s="7">
        <v>719</v>
      </c>
      <c r="I969" s="7">
        <v>1295</v>
      </c>
      <c r="J969" s="7" t="str">
        <f t="shared" si="47"/>
        <v>&gt;₹500</v>
      </c>
      <c r="K969" s="1">
        <v>0.44</v>
      </c>
      <c r="L969" s="1" t="str">
        <f t="shared" si="45"/>
        <v>&lt;50%</v>
      </c>
      <c r="M969">
        <v>4.2</v>
      </c>
      <c r="N969" s="2">
        <v>17218</v>
      </c>
      <c r="O969" s="5">
        <f t="shared" si="46"/>
        <v>22297310</v>
      </c>
      <c r="P969">
        <f>MAX(Table1[RATING COUNT])</f>
        <v>426973</v>
      </c>
    </row>
    <row r="970" spans="1:16">
      <c r="A970" t="s">
        <v>1676</v>
      </c>
      <c r="B970" t="s">
        <v>929</v>
      </c>
      <c r="D970" t="s">
        <v>1416</v>
      </c>
      <c r="E970" t="s">
        <v>1508</v>
      </c>
      <c r="F970" t="s">
        <v>1515</v>
      </c>
      <c r="G970" t="s">
        <v>1516</v>
      </c>
      <c r="H970" s="7">
        <v>678</v>
      </c>
      <c r="I970" s="7">
        <v>1499</v>
      </c>
      <c r="J970" s="7" t="str">
        <f t="shared" si="47"/>
        <v>&gt;₹500</v>
      </c>
      <c r="K970" s="1">
        <v>0.55000000000000004</v>
      </c>
      <c r="L970" s="1" t="str">
        <f t="shared" si="45"/>
        <v>50% or More</v>
      </c>
      <c r="M970">
        <v>4.2</v>
      </c>
      <c r="N970" s="2">
        <v>900</v>
      </c>
      <c r="O970" s="5">
        <f t="shared" si="46"/>
        <v>1349100</v>
      </c>
      <c r="P970">
        <f>MAX(Table1[RATING COUNT])</f>
        <v>426973</v>
      </c>
    </row>
    <row r="971" spans="1:16">
      <c r="A971" t="s">
        <v>2477</v>
      </c>
      <c r="B971" t="s">
        <v>930</v>
      </c>
      <c r="D971" t="s">
        <v>1416</v>
      </c>
      <c r="E971" t="s">
        <v>1508</v>
      </c>
      <c r="F971" t="s">
        <v>1509</v>
      </c>
      <c r="G971" t="s">
        <v>1510</v>
      </c>
      <c r="H971" s="7">
        <v>809</v>
      </c>
      <c r="I971" s="7">
        <v>1545</v>
      </c>
      <c r="J971" s="7" t="str">
        <f t="shared" si="47"/>
        <v>&gt;₹500</v>
      </c>
      <c r="K971" s="1">
        <v>0.48</v>
      </c>
      <c r="L971" s="1" t="str">
        <f t="shared" si="45"/>
        <v>&lt;50%</v>
      </c>
      <c r="M971">
        <v>3.7</v>
      </c>
      <c r="N971" s="2">
        <v>976</v>
      </c>
      <c r="O971" s="5">
        <f t="shared" si="46"/>
        <v>1507920</v>
      </c>
      <c r="P971">
        <f>MAX(Table1[RATING COUNT])</f>
        <v>426973</v>
      </c>
    </row>
    <row r="972" spans="1:16">
      <c r="A972" t="s">
        <v>2478</v>
      </c>
      <c r="B972" t="s">
        <v>931</v>
      </c>
      <c r="D972" t="s">
        <v>1416</v>
      </c>
      <c r="E972" t="s">
        <v>1508</v>
      </c>
      <c r="F972" t="s">
        <v>1509</v>
      </c>
      <c r="G972" t="s">
        <v>1532</v>
      </c>
      <c r="H972" s="7">
        <v>1969</v>
      </c>
      <c r="I972" s="7">
        <v>5000</v>
      </c>
      <c r="J972" s="7" t="str">
        <f t="shared" si="47"/>
        <v>&gt;₹500</v>
      </c>
      <c r="K972" s="1">
        <v>0.61</v>
      </c>
      <c r="L972" s="1" t="str">
        <f t="shared" si="45"/>
        <v>50% or More</v>
      </c>
      <c r="M972">
        <v>4.0999999999999996</v>
      </c>
      <c r="N972" s="2">
        <v>4927</v>
      </c>
      <c r="O972" s="5">
        <f t="shared" si="46"/>
        <v>24635000</v>
      </c>
      <c r="P972">
        <f>MAX(Table1[RATING COUNT])</f>
        <v>426973</v>
      </c>
    </row>
    <row r="973" spans="1:16">
      <c r="A973" t="s">
        <v>2479</v>
      </c>
      <c r="B973" t="s">
        <v>932</v>
      </c>
      <c r="D973" t="s">
        <v>1416</v>
      </c>
      <c r="E973" t="s">
        <v>1508</v>
      </c>
      <c r="F973" t="s">
        <v>1515</v>
      </c>
      <c r="G973" t="s">
        <v>1516</v>
      </c>
      <c r="H973" s="7">
        <v>1490</v>
      </c>
      <c r="I973" s="7">
        <v>1695</v>
      </c>
      <c r="J973" s="7" t="str">
        <f t="shared" si="47"/>
        <v>&gt;₹500</v>
      </c>
      <c r="K973" s="1">
        <v>0.12</v>
      </c>
      <c r="L973" s="1" t="str">
        <f t="shared" si="45"/>
        <v>&lt;50%</v>
      </c>
      <c r="M973">
        <v>4.4000000000000004</v>
      </c>
      <c r="N973" s="2">
        <v>3543</v>
      </c>
      <c r="O973" s="5">
        <f t="shared" si="46"/>
        <v>6005385</v>
      </c>
      <c r="P973">
        <f>MAX(Table1[RATING COUNT])</f>
        <v>426973</v>
      </c>
    </row>
    <row r="974" spans="1:16">
      <c r="A974" t="s">
        <v>2480</v>
      </c>
      <c r="B974" t="s">
        <v>933</v>
      </c>
      <c r="D974" t="s">
        <v>1416</v>
      </c>
      <c r="E974" t="s">
        <v>1511</v>
      </c>
      <c r="F974" t="s">
        <v>1512</v>
      </c>
      <c r="G974" t="s">
        <v>1513</v>
      </c>
      <c r="H974" s="7">
        <v>2499</v>
      </c>
      <c r="I974" s="7">
        <v>3945</v>
      </c>
      <c r="J974" s="7" t="str">
        <f t="shared" si="47"/>
        <v>&gt;₹500</v>
      </c>
      <c r="K974" s="1">
        <v>0.37</v>
      </c>
      <c r="L974" s="1" t="str">
        <f t="shared" si="45"/>
        <v>&lt;50%</v>
      </c>
      <c r="M974">
        <v>3.8</v>
      </c>
      <c r="N974" s="2">
        <v>2732</v>
      </c>
      <c r="O974" s="5">
        <f t="shared" si="46"/>
        <v>10777740</v>
      </c>
      <c r="P974">
        <f>MAX(Table1[RATING COUNT])</f>
        <v>426973</v>
      </c>
    </row>
    <row r="975" spans="1:16">
      <c r="A975" t="s">
        <v>2481</v>
      </c>
      <c r="B975" t="s">
        <v>934</v>
      </c>
      <c r="D975" t="s">
        <v>1416</v>
      </c>
      <c r="E975" t="s">
        <v>1508</v>
      </c>
      <c r="F975" t="s">
        <v>1515</v>
      </c>
      <c r="G975" t="s">
        <v>1533</v>
      </c>
      <c r="H975" s="7">
        <v>1665</v>
      </c>
      <c r="I975" s="7">
        <v>2099</v>
      </c>
      <c r="J975" s="7" t="str">
        <f t="shared" si="47"/>
        <v>&gt;₹500</v>
      </c>
      <c r="K975" s="1">
        <v>0.21</v>
      </c>
      <c r="L975" s="1" t="str">
        <f t="shared" si="45"/>
        <v>&lt;50%</v>
      </c>
      <c r="M975">
        <v>4</v>
      </c>
      <c r="N975" s="2">
        <v>14368</v>
      </c>
      <c r="O975" s="5">
        <f t="shared" si="46"/>
        <v>30158432</v>
      </c>
      <c r="P975">
        <f>MAX(Table1[RATING COUNT])</f>
        <v>426973</v>
      </c>
    </row>
    <row r="976" spans="1:16">
      <c r="A976" t="s">
        <v>1679</v>
      </c>
      <c r="B976" t="s">
        <v>935</v>
      </c>
      <c r="D976" t="s">
        <v>1416</v>
      </c>
      <c r="E976" t="s">
        <v>1508</v>
      </c>
      <c r="F976" t="s">
        <v>1509</v>
      </c>
      <c r="G976" t="s">
        <v>1521</v>
      </c>
      <c r="H976" s="7">
        <v>3229</v>
      </c>
      <c r="I976" s="7">
        <v>5295</v>
      </c>
      <c r="J976" s="7" t="str">
        <f t="shared" si="47"/>
        <v>&gt;₹500</v>
      </c>
      <c r="K976" s="1">
        <v>0.39</v>
      </c>
      <c r="L976" s="1" t="str">
        <f t="shared" si="45"/>
        <v>&lt;50%</v>
      </c>
      <c r="M976">
        <v>4.2</v>
      </c>
      <c r="N976" s="2">
        <v>39724</v>
      </c>
      <c r="O976" s="5">
        <f t="shared" si="46"/>
        <v>210338580</v>
      </c>
      <c r="P976">
        <f>MAX(Table1[RATING COUNT])</f>
        <v>426973</v>
      </c>
    </row>
    <row r="977" spans="1:16">
      <c r="A977" t="s">
        <v>2482</v>
      </c>
      <c r="B977" t="s">
        <v>936</v>
      </c>
      <c r="D977" t="s">
        <v>1416</v>
      </c>
      <c r="E977" t="s">
        <v>1508</v>
      </c>
      <c r="F977" t="s">
        <v>1509</v>
      </c>
      <c r="G977" t="s">
        <v>1521</v>
      </c>
      <c r="H977" s="7">
        <v>1799</v>
      </c>
      <c r="I977" s="7">
        <v>3595</v>
      </c>
      <c r="J977" s="7" t="str">
        <f t="shared" si="47"/>
        <v>&gt;₹500</v>
      </c>
      <c r="K977" s="1">
        <v>0.5</v>
      </c>
      <c r="L977" s="1" t="str">
        <f t="shared" si="45"/>
        <v>50% or More</v>
      </c>
      <c r="M977">
        <v>3.8</v>
      </c>
      <c r="N977" s="2">
        <v>9791</v>
      </c>
      <c r="O977" s="5">
        <f t="shared" si="46"/>
        <v>35198645</v>
      </c>
      <c r="P977">
        <f>MAX(Table1[RATING COUNT])</f>
        <v>426973</v>
      </c>
    </row>
    <row r="978" spans="1:16">
      <c r="A978" t="s">
        <v>2483</v>
      </c>
      <c r="B978" t="s">
        <v>937</v>
      </c>
      <c r="D978" t="s">
        <v>1416</v>
      </c>
      <c r="E978" t="s">
        <v>1508</v>
      </c>
      <c r="F978" t="s">
        <v>1509</v>
      </c>
      <c r="G978" t="s">
        <v>1510</v>
      </c>
      <c r="H978" s="7">
        <v>1260</v>
      </c>
      <c r="I978" s="7">
        <v>1699</v>
      </c>
      <c r="J978" s="7" t="str">
        <f t="shared" si="47"/>
        <v>&gt;₹500</v>
      </c>
      <c r="K978" s="1">
        <v>0.26</v>
      </c>
      <c r="L978" s="1" t="str">
        <f t="shared" si="45"/>
        <v>&lt;50%</v>
      </c>
      <c r="M978">
        <v>4.2</v>
      </c>
      <c r="N978" s="2">
        <v>2891</v>
      </c>
      <c r="O978" s="5">
        <f t="shared" si="46"/>
        <v>4911809</v>
      </c>
      <c r="P978">
        <f>MAX(Table1[RATING COUNT])</f>
        <v>426973</v>
      </c>
    </row>
    <row r="979" spans="1:16">
      <c r="A979" t="s">
        <v>2484</v>
      </c>
      <c r="B979" t="s">
        <v>938</v>
      </c>
      <c r="D979" t="s">
        <v>1416</v>
      </c>
      <c r="E979" t="s">
        <v>1511</v>
      </c>
      <c r="F979" t="s">
        <v>1512</v>
      </c>
      <c r="G979" t="s">
        <v>1513</v>
      </c>
      <c r="H979" s="7">
        <v>749</v>
      </c>
      <c r="I979" s="7">
        <v>1129</v>
      </c>
      <c r="J979" s="7" t="str">
        <f t="shared" si="47"/>
        <v>&gt;₹500</v>
      </c>
      <c r="K979" s="1">
        <v>0.34</v>
      </c>
      <c r="L979" s="1" t="str">
        <f t="shared" si="45"/>
        <v>&lt;50%</v>
      </c>
      <c r="M979">
        <v>4</v>
      </c>
      <c r="N979" s="2">
        <v>2446</v>
      </c>
      <c r="O979" s="5">
        <f t="shared" si="46"/>
        <v>2761534</v>
      </c>
      <c r="P979">
        <f>MAX(Table1[RATING COUNT])</f>
        <v>426973</v>
      </c>
    </row>
    <row r="980" spans="1:16">
      <c r="A980" t="s">
        <v>2485</v>
      </c>
      <c r="B980" t="s">
        <v>939</v>
      </c>
      <c r="D980" t="s">
        <v>1416</v>
      </c>
      <c r="E980" t="s">
        <v>1508</v>
      </c>
      <c r="F980" t="s">
        <v>1509</v>
      </c>
      <c r="G980" t="s">
        <v>1523</v>
      </c>
      <c r="H980" s="7">
        <v>3499</v>
      </c>
      <c r="I980" s="7">
        <v>5795</v>
      </c>
      <c r="J980" s="7" t="str">
        <f t="shared" si="47"/>
        <v>&gt;₹500</v>
      </c>
      <c r="K980" s="1">
        <v>0.4</v>
      </c>
      <c r="L980" s="1" t="str">
        <f t="shared" si="45"/>
        <v>&lt;50%</v>
      </c>
      <c r="M980">
        <v>3.9</v>
      </c>
      <c r="N980" s="2">
        <v>25340</v>
      </c>
      <c r="O980" s="5">
        <f t="shared" si="46"/>
        <v>146845300</v>
      </c>
      <c r="P980">
        <f>MAX(Table1[RATING COUNT])</f>
        <v>426973</v>
      </c>
    </row>
    <row r="981" spans="1:16">
      <c r="A981" t="s">
        <v>1680</v>
      </c>
      <c r="B981" t="s">
        <v>940</v>
      </c>
      <c r="D981" t="s">
        <v>1416</v>
      </c>
      <c r="E981" t="s">
        <v>1508</v>
      </c>
      <c r="F981" t="s">
        <v>1509</v>
      </c>
      <c r="G981" t="s">
        <v>1534</v>
      </c>
      <c r="H981" s="7">
        <v>379</v>
      </c>
      <c r="I981" s="7">
        <v>999</v>
      </c>
      <c r="J981" s="7" t="str">
        <f t="shared" si="47"/>
        <v>&gt;₹500</v>
      </c>
      <c r="K981" s="1">
        <v>0.62</v>
      </c>
      <c r="L981" s="1" t="str">
        <f t="shared" si="45"/>
        <v>50% or More</v>
      </c>
      <c r="M981">
        <v>4.3</v>
      </c>
      <c r="N981" s="2">
        <v>3096</v>
      </c>
      <c r="O981" s="5">
        <f t="shared" si="46"/>
        <v>3092904</v>
      </c>
      <c r="P981">
        <f>MAX(Table1[RATING COUNT])</f>
        <v>426973</v>
      </c>
    </row>
    <row r="982" spans="1:16">
      <c r="A982" t="s">
        <v>2486</v>
      </c>
      <c r="B982" t="s">
        <v>941</v>
      </c>
      <c r="D982" t="s">
        <v>1416</v>
      </c>
      <c r="E982" t="s">
        <v>1511</v>
      </c>
      <c r="F982" t="s">
        <v>1512</v>
      </c>
      <c r="G982" t="s">
        <v>1513</v>
      </c>
      <c r="H982" s="7">
        <v>1099</v>
      </c>
      <c r="I982" s="7">
        <v>2400</v>
      </c>
      <c r="J982" s="7" t="str">
        <f t="shared" si="47"/>
        <v>&gt;₹500</v>
      </c>
      <c r="K982" s="1">
        <v>0.54</v>
      </c>
      <c r="L982" s="1" t="str">
        <f t="shared" si="45"/>
        <v>50% or More</v>
      </c>
      <c r="M982">
        <v>3.8</v>
      </c>
      <c r="N982" s="2">
        <v>4</v>
      </c>
      <c r="O982" s="5">
        <f t="shared" si="46"/>
        <v>9600</v>
      </c>
      <c r="P982">
        <f>MAX(Table1[RATING COUNT])</f>
        <v>426973</v>
      </c>
    </row>
    <row r="983" spans="1:16">
      <c r="A983" t="s">
        <v>2487</v>
      </c>
      <c r="B983" t="s">
        <v>942</v>
      </c>
      <c r="D983" t="s">
        <v>1416</v>
      </c>
      <c r="E983" t="s">
        <v>1508</v>
      </c>
      <c r="F983" t="s">
        <v>1509</v>
      </c>
      <c r="G983" t="s">
        <v>1510</v>
      </c>
      <c r="H983" s="7">
        <v>749</v>
      </c>
      <c r="I983" s="7">
        <v>1299</v>
      </c>
      <c r="J983" s="7" t="str">
        <f t="shared" si="47"/>
        <v>&gt;₹500</v>
      </c>
      <c r="K983" s="1">
        <v>0.42</v>
      </c>
      <c r="L983" s="1" t="str">
        <f t="shared" si="45"/>
        <v>&lt;50%</v>
      </c>
      <c r="M983">
        <v>4</v>
      </c>
      <c r="N983" s="2">
        <v>119</v>
      </c>
      <c r="O983" s="5">
        <f t="shared" si="46"/>
        <v>154581</v>
      </c>
      <c r="P983">
        <f>MAX(Table1[RATING COUNT])</f>
        <v>426973</v>
      </c>
    </row>
    <row r="984" spans="1:16">
      <c r="A984" t="s">
        <v>2488</v>
      </c>
      <c r="B984" t="s">
        <v>943</v>
      </c>
      <c r="D984" t="s">
        <v>1416</v>
      </c>
      <c r="E984" t="s">
        <v>1508</v>
      </c>
      <c r="F984" t="s">
        <v>1509</v>
      </c>
      <c r="G984" t="s">
        <v>1535</v>
      </c>
      <c r="H984" s="7">
        <v>1299</v>
      </c>
      <c r="I984" s="7">
        <v>1299</v>
      </c>
      <c r="J984" s="7" t="str">
        <f t="shared" si="47"/>
        <v>&gt;₹500</v>
      </c>
      <c r="K984" s="1">
        <v>0</v>
      </c>
      <c r="L984" s="1" t="str">
        <f t="shared" si="45"/>
        <v>&lt;50%</v>
      </c>
      <c r="M984">
        <v>4.2</v>
      </c>
      <c r="N984" s="2">
        <v>40106</v>
      </c>
      <c r="O984" s="5">
        <f t="shared" si="46"/>
        <v>52097694</v>
      </c>
      <c r="P984">
        <f>MAX(Table1[RATING COUNT])</f>
        <v>426973</v>
      </c>
    </row>
    <row r="985" spans="1:16">
      <c r="A985" t="s">
        <v>1683</v>
      </c>
      <c r="B985" t="s">
        <v>944</v>
      </c>
      <c r="D985" t="s">
        <v>1416</v>
      </c>
      <c r="E985" t="s">
        <v>1508</v>
      </c>
      <c r="F985" t="s">
        <v>1515</v>
      </c>
      <c r="G985" t="s">
        <v>1516</v>
      </c>
      <c r="H985" s="7">
        <v>549</v>
      </c>
      <c r="I985" s="7">
        <v>1090</v>
      </c>
      <c r="J985" s="7" t="str">
        <f t="shared" si="47"/>
        <v>&gt;₹500</v>
      </c>
      <c r="K985" s="1">
        <v>0.5</v>
      </c>
      <c r="L985" s="1" t="str">
        <f t="shared" si="45"/>
        <v>50% or More</v>
      </c>
      <c r="M985">
        <v>4.2</v>
      </c>
      <c r="N985" s="2">
        <v>13029</v>
      </c>
      <c r="O985" s="5">
        <f t="shared" si="46"/>
        <v>14201610</v>
      </c>
      <c r="P985">
        <f>MAX(Table1[RATING COUNT])</f>
        <v>426973</v>
      </c>
    </row>
    <row r="986" spans="1:16">
      <c r="A986" t="s">
        <v>2489</v>
      </c>
      <c r="B986" t="s">
        <v>945</v>
      </c>
      <c r="D986" t="s">
        <v>1416</v>
      </c>
      <c r="E986" t="s">
        <v>1511</v>
      </c>
      <c r="F986" t="s">
        <v>1512</v>
      </c>
      <c r="G986" t="s">
        <v>1514</v>
      </c>
      <c r="H986" s="7">
        <v>899</v>
      </c>
      <c r="I986" s="7">
        <v>2000</v>
      </c>
      <c r="J986" s="7" t="str">
        <f t="shared" si="47"/>
        <v>&gt;₹500</v>
      </c>
      <c r="K986" s="1">
        <v>0.55000000000000004</v>
      </c>
      <c r="L986" s="1" t="str">
        <f t="shared" si="45"/>
        <v>50% or More</v>
      </c>
      <c r="M986">
        <v>3.6</v>
      </c>
      <c r="N986" s="2">
        <v>291</v>
      </c>
      <c r="O986" s="5">
        <f t="shared" si="46"/>
        <v>582000</v>
      </c>
      <c r="P986">
        <f>MAX(Table1[RATING COUNT])</f>
        <v>426973</v>
      </c>
    </row>
    <row r="987" spans="1:16">
      <c r="A987" t="s">
        <v>1684</v>
      </c>
      <c r="B987" t="s">
        <v>946</v>
      </c>
      <c r="D987" t="s">
        <v>1416</v>
      </c>
      <c r="E987" t="s">
        <v>1508</v>
      </c>
      <c r="F987" t="s">
        <v>1515</v>
      </c>
      <c r="G987" t="s">
        <v>1516</v>
      </c>
      <c r="H987" s="7">
        <v>1321</v>
      </c>
      <c r="I987" s="7">
        <v>1545</v>
      </c>
      <c r="J987" s="7" t="str">
        <f t="shared" si="47"/>
        <v>&gt;₹500</v>
      </c>
      <c r="K987" s="1">
        <v>0.14000000000000001</v>
      </c>
      <c r="L987" s="1" t="str">
        <f t="shared" si="45"/>
        <v>&lt;50%</v>
      </c>
      <c r="M987">
        <v>4.3</v>
      </c>
      <c r="N987" s="2">
        <v>15453</v>
      </c>
      <c r="O987" s="5">
        <f t="shared" si="46"/>
        <v>23874885</v>
      </c>
      <c r="P987">
        <f>MAX(Table1[RATING COUNT])</f>
        <v>426973</v>
      </c>
    </row>
    <row r="988" spans="1:16">
      <c r="A988" t="s">
        <v>2490</v>
      </c>
      <c r="B988" t="s">
        <v>947</v>
      </c>
      <c r="D988" t="s">
        <v>1416</v>
      </c>
      <c r="E988" t="s">
        <v>1508</v>
      </c>
      <c r="F988" t="s">
        <v>1515</v>
      </c>
      <c r="G988" t="s">
        <v>1516</v>
      </c>
      <c r="H988" s="7">
        <v>1099</v>
      </c>
      <c r="I988" s="7">
        <v>1999</v>
      </c>
      <c r="J988" s="7" t="str">
        <f t="shared" si="47"/>
        <v>&gt;₹500</v>
      </c>
      <c r="K988" s="1">
        <v>0.45</v>
      </c>
      <c r="L988" s="1" t="str">
        <f t="shared" si="45"/>
        <v>&lt;50%</v>
      </c>
      <c r="M988">
        <v>4</v>
      </c>
      <c r="N988" s="2">
        <v>604</v>
      </c>
      <c r="O988" s="5">
        <f t="shared" si="46"/>
        <v>1207396</v>
      </c>
      <c r="P988">
        <f>MAX(Table1[RATING COUNT])</f>
        <v>426973</v>
      </c>
    </row>
    <row r="989" spans="1:16">
      <c r="A989" t="s">
        <v>2491</v>
      </c>
      <c r="B989" t="s">
        <v>948</v>
      </c>
      <c r="D989" t="s">
        <v>1416</v>
      </c>
      <c r="E989" t="s">
        <v>1508</v>
      </c>
      <c r="F989" t="s">
        <v>1515</v>
      </c>
      <c r="G989" t="s">
        <v>1516</v>
      </c>
      <c r="H989" s="7">
        <v>775</v>
      </c>
      <c r="I989" s="7">
        <v>875</v>
      </c>
      <c r="J989" s="7" t="str">
        <f t="shared" si="47"/>
        <v>&gt;₹500</v>
      </c>
      <c r="K989" s="1">
        <v>0.11</v>
      </c>
      <c r="L989" s="1" t="str">
        <f t="shared" si="45"/>
        <v>&lt;50%</v>
      </c>
      <c r="M989">
        <v>4.2</v>
      </c>
      <c r="N989" s="2">
        <v>46647</v>
      </c>
      <c r="O989" s="5">
        <f t="shared" si="46"/>
        <v>40816125</v>
      </c>
      <c r="P989">
        <f>MAX(Table1[RATING COUNT])</f>
        <v>426973</v>
      </c>
    </row>
    <row r="990" spans="1:16">
      <c r="A990" t="s">
        <v>2492</v>
      </c>
      <c r="B990" t="s">
        <v>949</v>
      </c>
      <c r="D990" t="s">
        <v>1416</v>
      </c>
      <c r="E990" t="s">
        <v>1511</v>
      </c>
      <c r="F990" t="s">
        <v>1524</v>
      </c>
      <c r="G990" t="s">
        <v>1526</v>
      </c>
      <c r="H990" s="7">
        <v>6299</v>
      </c>
      <c r="I990" s="7">
        <v>15270</v>
      </c>
      <c r="J990" s="7" t="str">
        <f t="shared" si="47"/>
        <v>&gt;₹500</v>
      </c>
      <c r="K990" s="1">
        <v>0.59</v>
      </c>
      <c r="L990" s="1" t="str">
        <f t="shared" si="45"/>
        <v>50% or More</v>
      </c>
      <c r="M990">
        <v>4.0999999999999996</v>
      </c>
      <c r="N990" s="2">
        <v>3233</v>
      </c>
      <c r="O990" s="5">
        <f t="shared" si="46"/>
        <v>49367910</v>
      </c>
      <c r="P990">
        <f>MAX(Table1[RATING COUNT])</f>
        <v>426973</v>
      </c>
    </row>
    <row r="991" spans="1:16">
      <c r="A991" t="s">
        <v>2493</v>
      </c>
      <c r="B991" t="s">
        <v>950</v>
      </c>
      <c r="D991" t="s">
        <v>1416</v>
      </c>
      <c r="E991" t="s">
        <v>1508</v>
      </c>
      <c r="F991" t="s">
        <v>1515</v>
      </c>
      <c r="G991" t="s">
        <v>1516</v>
      </c>
      <c r="H991" s="7">
        <v>3190</v>
      </c>
      <c r="I991" s="7">
        <v>4195</v>
      </c>
      <c r="J991" s="7" t="str">
        <f t="shared" si="47"/>
        <v>&gt;₹500</v>
      </c>
      <c r="K991" s="1">
        <v>0.24</v>
      </c>
      <c r="L991" s="1" t="str">
        <f t="shared" si="45"/>
        <v>&lt;50%</v>
      </c>
      <c r="M991">
        <v>4</v>
      </c>
      <c r="N991" s="2">
        <v>1282</v>
      </c>
      <c r="O991" s="5">
        <f t="shared" si="46"/>
        <v>5377990</v>
      </c>
      <c r="P991">
        <f>MAX(Table1[RATING COUNT])</f>
        <v>426973</v>
      </c>
    </row>
    <row r="992" spans="1:16">
      <c r="A992" t="s">
        <v>1685</v>
      </c>
      <c r="B992" t="s">
        <v>951</v>
      </c>
      <c r="D992" t="s">
        <v>1416</v>
      </c>
      <c r="E992" t="s">
        <v>1511</v>
      </c>
      <c r="F992" t="s">
        <v>1512</v>
      </c>
      <c r="G992" t="s">
        <v>1513</v>
      </c>
      <c r="H992" s="7">
        <v>799</v>
      </c>
      <c r="I992" s="7">
        <v>1989</v>
      </c>
      <c r="J992" s="7" t="str">
        <f t="shared" si="47"/>
        <v>&gt;₹500</v>
      </c>
      <c r="K992" s="1">
        <v>0.6</v>
      </c>
      <c r="L992" s="1" t="str">
        <f t="shared" si="45"/>
        <v>50% or More</v>
      </c>
      <c r="M992">
        <v>4.3</v>
      </c>
      <c r="N992" s="2">
        <v>70</v>
      </c>
      <c r="O992" s="5">
        <f t="shared" si="46"/>
        <v>139230</v>
      </c>
      <c r="P992">
        <f>MAX(Table1[RATING COUNT])</f>
        <v>426973</v>
      </c>
    </row>
    <row r="993" spans="1:16">
      <c r="A993" t="s">
        <v>2494</v>
      </c>
      <c r="B993" t="s">
        <v>952</v>
      </c>
      <c r="D993" t="s">
        <v>1416</v>
      </c>
      <c r="E993" t="s">
        <v>1508</v>
      </c>
      <c r="F993" t="s">
        <v>1509</v>
      </c>
      <c r="G993" t="s">
        <v>1532</v>
      </c>
      <c r="H993" s="7">
        <v>2699</v>
      </c>
      <c r="I993" s="7">
        <v>5000</v>
      </c>
      <c r="J993" s="7" t="str">
        <f t="shared" si="47"/>
        <v>&gt;₹500</v>
      </c>
      <c r="K993" s="1">
        <v>0.46</v>
      </c>
      <c r="L993" s="1" t="str">
        <f t="shared" si="45"/>
        <v>&lt;50%</v>
      </c>
      <c r="M993">
        <v>4</v>
      </c>
      <c r="N993" s="2">
        <v>26164</v>
      </c>
      <c r="O993" s="5">
        <f t="shared" si="46"/>
        <v>130820000</v>
      </c>
      <c r="P993">
        <f>MAX(Table1[RATING COUNT])</f>
        <v>426973</v>
      </c>
    </row>
    <row r="994" spans="1:16">
      <c r="A994" t="s">
        <v>1686</v>
      </c>
      <c r="B994" t="s">
        <v>953</v>
      </c>
      <c r="D994" t="s">
        <v>1416</v>
      </c>
      <c r="E994" t="s">
        <v>1508</v>
      </c>
      <c r="F994" t="s">
        <v>1515</v>
      </c>
      <c r="G994" t="s">
        <v>1516</v>
      </c>
      <c r="H994" s="7">
        <v>599</v>
      </c>
      <c r="I994" s="7">
        <v>990</v>
      </c>
      <c r="J994" s="7" t="str">
        <f t="shared" si="47"/>
        <v>&gt;₹500</v>
      </c>
      <c r="K994" s="1">
        <v>0.39</v>
      </c>
      <c r="L994" s="1" t="str">
        <f t="shared" si="45"/>
        <v>&lt;50%</v>
      </c>
      <c r="M994">
        <v>3.9</v>
      </c>
      <c r="N994" s="2">
        <v>16166</v>
      </c>
      <c r="O994" s="5">
        <f t="shared" si="46"/>
        <v>16004340</v>
      </c>
      <c r="P994">
        <f>MAX(Table1[RATING COUNT])</f>
        <v>426973</v>
      </c>
    </row>
    <row r="995" spans="1:16">
      <c r="A995" t="s">
        <v>2495</v>
      </c>
      <c r="B995" t="s">
        <v>954</v>
      </c>
      <c r="D995" t="s">
        <v>1416</v>
      </c>
      <c r="E995" t="s">
        <v>1508</v>
      </c>
      <c r="F995" t="s">
        <v>1509</v>
      </c>
      <c r="G995" t="s">
        <v>1510</v>
      </c>
      <c r="H995" s="7">
        <v>749</v>
      </c>
      <c r="I995" s="7">
        <v>1111</v>
      </c>
      <c r="J995" s="7" t="str">
        <f t="shared" si="47"/>
        <v>&gt;₹500</v>
      </c>
      <c r="K995" s="1">
        <v>0.33</v>
      </c>
      <c r="L995" s="1" t="str">
        <f t="shared" si="45"/>
        <v>&lt;50%</v>
      </c>
      <c r="M995">
        <v>4.2</v>
      </c>
      <c r="N995" s="2">
        <v>35693</v>
      </c>
      <c r="O995" s="5">
        <f t="shared" si="46"/>
        <v>39654923</v>
      </c>
      <c r="P995">
        <f>MAX(Table1[RATING COUNT])</f>
        <v>426973</v>
      </c>
    </row>
    <row r="996" spans="1:16">
      <c r="A996" t="s">
        <v>2496</v>
      </c>
      <c r="B996" t="s">
        <v>955</v>
      </c>
      <c r="D996" t="s">
        <v>1416</v>
      </c>
      <c r="E996" t="s">
        <v>1511</v>
      </c>
      <c r="F996" t="s">
        <v>1524</v>
      </c>
      <c r="G996" t="s">
        <v>1526</v>
      </c>
      <c r="H996" s="7">
        <v>6199</v>
      </c>
      <c r="I996" s="7">
        <v>10400</v>
      </c>
      <c r="J996" s="7" t="str">
        <f t="shared" si="47"/>
        <v>&gt;₹500</v>
      </c>
      <c r="K996" s="1">
        <v>0.4</v>
      </c>
      <c r="L996" s="1" t="str">
        <f t="shared" si="45"/>
        <v>&lt;50%</v>
      </c>
      <c r="M996">
        <v>4.0999999999999996</v>
      </c>
      <c r="N996" s="2">
        <v>14391</v>
      </c>
      <c r="O996" s="5">
        <f t="shared" si="46"/>
        <v>149666400</v>
      </c>
      <c r="P996">
        <f>MAX(Table1[RATING COUNT])</f>
        <v>426973</v>
      </c>
    </row>
    <row r="997" spans="1:16">
      <c r="A997" t="s">
        <v>2497</v>
      </c>
      <c r="B997" t="s">
        <v>956</v>
      </c>
      <c r="D997" t="s">
        <v>1416</v>
      </c>
      <c r="E997" t="s">
        <v>1508</v>
      </c>
      <c r="F997" t="s">
        <v>1509</v>
      </c>
      <c r="G997" t="s">
        <v>1536</v>
      </c>
      <c r="H997" s="7">
        <v>1819</v>
      </c>
      <c r="I997" s="7">
        <v>2490</v>
      </c>
      <c r="J997" s="7" t="str">
        <f t="shared" si="47"/>
        <v>&gt;₹500</v>
      </c>
      <c r="K997" s="1">
        <v>0.27</v>
      </c>
      <c r="L997" s="1" t="str">
        <f t="shared" si="45"/>
        <v>&lt;50%</v>
      </c>
      <c r="M997">
        <v>4.4000000000000004</v>
      </c>
      <c r="N997" s="2">
        <v>7946</v>
      </c>
      <c r="O997" s="5">
        <f t="shared" si="46"/>
        <v>19785540</v>
      </c>
      <c r="P997">
        <f>MAX(Table1[RATING COUNT])</f>
        <v>426973</v>
      </c>
    </row>
    <row r="998" spans="1:16">
      <c r="A998" t="s">
        <v>2498</v>
      </c>
      <c r="B998" t="s">
        <v>957</v>
      </c>
      <c r="D998" t="s">
        <v>1416</v>
      </c>
      <c r="E998" t="s">
        <v>1508</v>
      </c>
      <c r="F998" t="s">
        <v>1509</v>
      </c>
      <c r="G998" t="s">
        <v>1510</v>
      </c>
      <c r="H998" s="7">
        <v>1199</v>
      </c>
      <c r="I998" s="7">
        <v>1900</v>
      </c>
      <c r="J998" s="7" t="str">
        <f t="shared" si="47"/>
        <v>&gt;₹500</v>
      </c>
      <c r="K998" s="1">
        <v>0.37</v>
      </c>
      <c r="L998" s="1" t="str">
        <f t="shared" si="45"/>
        <v>&lt;50%</v>
      </c>
      <c r="M998">
        <v>4</v>
      </c>
      <c r="N998" s="2">
        <v>1765</v>
      </c>
      <c r="O998" s="5">
        <f t="shared" si="46"/>
        <v>3353500</v>
      </c>
      <c r="P998">
        <f>MAX(Table1[RATING COUNT])</f>
        <v>426973</v>
      </c>
    </row>
    <row r="999" spans="1:16">
      <c r="A999" t="s">
        <v>2499</v>
      </c>
      <c r="B999" t="s">
        <v>958</v>
      </c>
      <c r="D999" t="s">
        <v>1416</v>
      </c>
      <c r="E999" t="s">
        <v>1508</v>
      </c>
      <c r="F999" t="s">
        <v>1509</v>
      </c>
      <c r="G999" t="s">
        <v>1523</v>
      </c>
      <c r="H999" s="7">
        <v>3249</v>
      </c>
      <c r="I999" s="7">
        <v>6295</v>
      </c>
      <c r="J999" s="7" t="str">
        <f t="shared" si="47"/>
        <v>&gt;₹500</v>
      </c>
      <c r="K999" s="1">
        <v>0.48</v>
      </c>
      <c r="L999" s="1" t="str">
        <f t="shared" si="45"/>
        <v>&lt;50%</v>
      </c>
      <c r="M999">
        <v>3.8</v>
      </c>
      <c r="N999" s="2">
        <v>14062</v>
      </c>
      <c r="O999" s="5">
        <f t="shared" si="46"/>
        <v>88520290</v>
      </c>
      <c r="P999">
        <f>MAX(Table1[RATING COUNT])</f>
        <v>426973</v>
      </c>
    </row>
    <row r="1000" spans="1:16">
      <c r="A1000" t="s">
        <v>2500</v>
      </c>
      <c r="B1000" t="s">
        <v>959</v>
      </c>
      <c r="D1000" t="s">
        <v>1416</v>
      </c>
      <c r="E1000" t="s">
        <v>1508</v>
      </c>
      <c r="F1000" t="s">
        <v>1509</v>
      </c>
      <c r="G1000" t="s">
        <v>1534</v>
      </c>
      <c r="H1000" s="7">
        <v>349</v>
      </c>
      <c r="I1000" s="7">
        <v>999</v>
      </c>
      <c r="J1000" s="7" t="str">
        <f t="shared" si="47"/>
        <v>&gt;₹500</v>
      </c>
      <c r="K1000" s="1">
        <v>0.65</v>
      </c>
      <c r="L1000" s="1" t="str">
        <f t="shared" si="45"/>
        <v>50% or More</v>
      </c>
      <c r="M1000">
        <v>4</v>
      </c>
      <c r="N1000" s="2">
        <v>15646</v>
      </c>
      <c r="O1000" s="5">
        <f t="shared" si="46"/>
        <v>15630354</v>
      </c>
      <c r="P1000">
        <f>MAX(Table1[RATING COUNT])</f>
        <v>426973</v>
      </c>
    </row>
    <row r="1001" spans="1:16">
      <c r="A1001" t="s">
        <v>2501</v>
      </c>
      <c r="B1001" t="s">
        <v>960</v>
      </c>
      <c r="D1001" t="s">
        <v>1416</v>
      </c>
      <c r="E1001" t="s">
        <v>1511</v>
      </c>
      <c r="F1001" t="s">
        <v>1512</v>
      </c>
      <c r="G1001" t="s">
        <v>1514</v>
      </c>
      <c r="H1001" s="7">
        <v>1049</v>
      </c>
      <c r="I1001" s="7">
        <v>1699</v>
      </c>
      <c r="J1001" s="7" t="str">
        <f t="shared" si="47"/>
        <v>&gt;₹500</v>
      </c>
      <c r="K1001" s="1">
        <v>0.38</v>
      </c>
      <c r="L1001" s="1" t="str">
        <f t="shared" si="45"/>
        <v>&lt;50%</v>
      </c>
      <c r="M1001">
        <v>3.1</v>
      </c>
      <c r="N1001" s="2">
        <v>111</v>
      </c>
      <c r="O1001" s="5">
        <f t="shared" si="46"/>
        <v>188589</v>
      </c>
      <c r="P1001">
        <f>MAX(Table1[RATING COUNT])</f>
        <v>426973</v>
      </c>
    </row>
    <row r="1002" spans="1:16">
      <c r="A1002" t="s">
        <v>1688</v>
      </c>
      <c r="B1002" t="s">
        <v>961</v>
      </c>
      <c r="D1002" t="s">
        <v>1416</v>
      </c>
      <c r="E1002" t="s">
        <v>1508</v>
      </c>
      <c r="F1002" t="s">
        <v>1509</v>
      </c>
      <c r="G1002" t="s">
        <v>1517</v>
      </c>
      <c r="H1002" s="7">
        <v>799</v>
      </c>
      <c r="I1002" s="7">
        <v>1500</v>
      </c>
      <c r="J1002" s="7" t="str">
        <f t="shared" si="47"/>
        <v>&gt;₹500</v>
      </c>
      <c r="K1002" s="1">
        <v>0.47</v>
      </c>
      <c r="L1002" s="1" t="str">
        <f t="shared" si="45"/>
        <v>&lt;50%</v>
      </c>
      <c r="M1002">
        <v>4.3</v>
      </c>
      <c r="N1002" s="2">
        <v>9695</v>
      </c>
      <c r="O1002" s="5">
        <f t="shared" si="46"/>
        <v>14542500</v>
      </c>
      <c r="P1002">
        <f>MAX(Table1[RATING COUNT])</f>
        <v>426973</v>
      </c>
    </row>
    <row r="1003" spans="1:16">
      <c r="A1003" t="s">
        <v>2502</v>
      </c>
      <c r="B1003" t="s">
        <v>962</v>
      </c>
      <c r="D1003" t="s">
        <v>1416</v>
      </c>
      <c r="E1003" t="s">
        <v>1511</v>
      </c>
      <c r="F1003" t="s">
        <v>1524</v>
      </c>
      <c r="G1003" t="s">
        <v>1526</v>
      </c>
      <c r="H1003" s="7">
        <v>4999</v>
      </c>
      <c r="I1003" s="7">
        <v>9650</v>
      </c>
      <c r="J1003" s="7" t="str">
        <f t="shared" si="47"/>
        <v>&gt;₹500</v>
      </c>
      <c r="K1003" s="1">
        <v>0.48</v>
      </c>
      <c r="L1003" s="1" t="str">
        <f t="shared" si="45"/>
        <v>&lt;50%</v>
      </c>
      <c r="M1003">
        <v>4.2</v>
      </c>
      <c r="N1003" s="2">
        <v>1772</v>
      </c>
      <c r="O1003" s="5">
        <f t="shared" si="46"/>
        <v>17099800</v>
      </c>
      <c r="P1003">
        <f>MAX(Table1[RATING COUNT])</f>
        <v>426973</v>
      </c>
    </row>
    <row r="1004" spans="1:16">
      <c r="A1004" t="s">
        <v>2503</v>
      </c>
      <c r="B1004" t="s">
        <v>963</v>
      </c>
      <c r="D1004" t="s">
        <v>1416</v>
      </c>
      <c r="E1004" t="s">
        <v>1508</v>
      </c>
      <c r="F1004" t="s">
        <v>1509</v>
      </c>
      <c r="G1004" t="s">
        <v>1523</v>
      </c>
      <c r="H1004" s="7">
        <v>6999</v>
      </c>
      <c r="I1004" s="7">
        <v>10590</v>
      </c>
      <c r="J1004" s="7" t="str">
        <f t="shared" si="47"/>
        <v>&gt;₹500</v>
      </c>
      <c r="K1004" s="1">
        <v>0.34</v>
      </c>
      <c r="L1004" s="1" t="str">
        <f t="shared" si="45"/>
        <v>&lt;50%</v>
      </c>
      <c r="M1004">
        <v>4.4000000000000004</v>
      </c>
      <c r="N1004" s="2">
        <v>11499</v>
      </c>
      <c r="O1004" s="5">
        <f t="shared" si="46"/>
        <v>121774410</v>
      </c>
      <c r="P1004">
        <f>MAX(Table1[RATING COUNT])</f>
        <v>426973</v>
      </c>
    </row>
    <row r="1005" spans="1:16">
      <c r="A1005" t="s">
        <v>2504</v>
      </c>
      <c r="B1005" t="s">
        <v>964</v>
      </c>
      <c r="D1005" t="s">
        <v>1416</v>
      </c>
      <c r="E1005" t="s">
        <v>1508</v>
      </c>
      <c r="F1005" t="s">
        <v>1509</v>
      </c>
      <c r="G1005" t="s">
        <v>1517</v>
      </c>
      <c r="H1005" s="7">
        <v>799</v>
      </c>
      <c r="I1005" s="7">
        <v>1999</v>
      </c>
      <c r="J1005" s="7" t="str">
        <f t="shared" si="47"/>
        <v>&gt;₹500</v>
      </c>
      <c r="K1005" s="1">
        <v>0.6</v>
      </c>
      <c r="L1005" s="1" t="str">
        <f t="shared" si="45"/>
        <v>50% or More</v>
      </c>
      <c r="M1005">
        <v>4.0999999999999996</v>
      </c>
      <c r="N1005" s="2">
        <v>2162</v>
      </c>
      <c r="O1005" s="5">
        <f t="shared" si="46"/>
        <v>4321838</v>
      </c>
      <c r="P1005">
        <f>MAX(Table1[RATING COUNT])</f>
        <v>426973</v>
      </c>
    </row>
    <row r="1006" spans="1:16">
      <c r="A1006" t="s">
        <v>2505</v>
      </c>
      <c r="B1006" t="s">
        <v>965</v>
      </c>
      <c r="D1006" t="s">
        <v>1416</v>
      </c>
      <c r="E1006" t="s">
        <v>1508</v>
      </c>
      <c r="F1006" t="s">
        <v>1509</v>
      </c>
      <c r="G1006" t="s">
        <v>1537</v>
      </c>
      <c r="H1006" s="7">
        <v>89</v>
      </c>
      <c r="I1006" s="7">
        <v>89</v>
      </c>
      <c r="J1006" s="7" t="str">
        <f t="shared" si="47"/>
        <v>&lt;₹200</v>
      </c>
      <c r="K1006" s="1">
        <v>0</v>
      </c>
      <c r="L1006" s="1" t="str">
        <f t="shared" si="45"/>
        <v>&lt;50%</v>
      </c>
      <c r="M1006">
        <v>4.2</v>
      </c>
      <c r="N1006" s="2">
        <v>19621</v>
      </c>
      <c r="O1006" s="5">
        <f t="shared" si="46"/>
        <v>1746269</v>
      </c>
      <c r="P1006">
        <f>MAX(Table1[RATING COUNT])</f>
        <v>426973</v>
      </c>
    </row>
    <row r="1007" spans="1:16">
      <c r="A1007" t="s">
        <v>2506</v>
      </c>
      <c r="B1007" t="s">
        <v>966</v>
      </c>
      <c r="D1007" t="s">
        <v>1416</v>
      </c>
      <c r="E1007" t="s">
        <v>1511</v>
      </c>
      <c r="F1007" t="s">
        <v>1538</v>
      </c>
      <c r="G1007" t="s">
        <v>1539</v>
      </c>
      <c r="H1007" s="7">
        <v>1400</v>
      </c>
      <c r="I1007" s="7">
        <v>2485</v>
      </c>
      <c r="J1007" s="7" t="str">
        <f t="shared" si="47"/>
        <v>&gt;₹500</v>
      </c>
      <c r="K1007" s="1">
        <v>0.44</v>
      </c>
      <c r="L1007" s="1" t="str">
        <f t="shared" si="45"/>
        <v>&lt;50%</v>
      </c>
      <c r="M1007">
        <v>4.0999999999999996</v>
      </c>
      <c r="N1007" s="2">
        <v>19998</v>
      </c>
      <c r="O1007" s="5">
        <f t="shared" si="46"/>
        <v>49695030</v>
      </c>
      <c r="P1007">
        <f>MAX(Table1[RATING COUNT])</f>
        <v>426973</v>
      </c>
    </row>
    <row r="1008" spans="1:16">
      <c r="A1008" t="s">
        <v>2507</v>
      </c>
      <c r="B1008" t="s">
        <v>967</v>
      </c>
      <c r="D1008" t="s">
        <v>1416</v>
      </c>
      <c r="E1008" t="s">
        <v>1529</v>
      </c>
      <c r="F1008" t="s">
        <v>1530</v>
      </c>
      <c r="G1008" t="s">
        <v>1531</v>
      </c>
      <c r="H1008" s="7">
        <v>355</v>
      </c>
      <c r="I1008" s="7">
        <v>899</v>
      </c>
      <c r="J1008" s="7" t="str">
        <f t="shared" si="47"/>
        <v>&gt;₹500</v>
      </c>
      <c r="K1008" s="1">
        <v>0.61</v>
      </c>
      <c r="L1008" s="1" t="str">
        <f t="shared" si="45"/>
        <v>50% or More</v>
      </c>
      <c r="M1008">
        <v>4.0999999999999996</v>
      </c>
      <c r="N1008" s="2">
        <v>1051</v>
      </c>
      <c r="O1008" s="5">
        <f t="shared" si="46"/>
        <v>944849</v>
      </c>
      <c r="P1008">
        <f>MAX(Table1[RATING COUNT])</f>
        <v>426973</v>
      </c>
    </row>
    <row r="1009" spans="1:16">
      <c r="A1009" t="s">
        <v>2154</v>
      </c>
      <c r="B1009" t="s">
        <v>968</v>
      </c>
      <c r="D1009" t="s">
        <v>1416</v>
      </c>
      <c r="E1009" t="s">
        <v>1511</v>
      </c>
      <c r="F1009" t="s">
        <v>1512</v>
      </c>
      <c r="G1009" t="s">
        <v>1513</v>
      </c>
      <c r="H1009" s="7">
        <v>2169</v>
      </c>
      <c r="I1009" s="7">
        <v>3279</v>
      </c>
      <c r="J1009" s="7" t="str">
        <f t="shared" si="47"/>
        <v>&gt;₹500</v>
      </c>
      <c r="K1009" s="1">
        <v>0.34</v>
      </c>
      <c r="L1009" s="1" t="str">
        <f t="shared" si="45"/>
        <v>&lt;50%</v>
      </c>
      <c r="M1009">
        <v>4.0999999999999996</v>
      </c>
      <c r="N1009" s="2">
        <v>1716</v>
      </c>
      <c r="O1009" s="5">
        <f t="shared" si="46"/>
        <v>5626764</v>
      </c>
      <c r="P1009">
        <f>MAX(Table1[RATING COUNT])</f>
        <v>426973</v>
      </c>
    </row>
    <row r="1010" spans="1:16">
      <c r="A1010" t="s">
        <v>2508</v>
      </c>
      <c r="B1010" t="s">
        <v>969</v>
      </c>
      <c r="D1010" t="s">
        <v>1416</v>
      </c>
      <c r="E1010" t="s">
        <v>1508</v>
      </c>
      <c r="F1010" t="s">
        <v>1515</v>
      </c>
      <c r="G1010" t="s">
        <v>1533</v>
      </c>
      <c r="H1010" s="7">
        <v>2799</v>
      </c>
      <c r="I1010" s="7">
        <v>3799</v>
      </c>
      <c r="J1010" s="7" t="str">
        <f t="shared" si="47"/>
        <v>&gt;₹500</v>
      </c>
      <c r="K1010" s="1">
        <v>0.26</v>
      </c>
      <c r="L1010" s="1" t="str">
        <f t="shared" si="45"/>
        <v>&lt;50%</v>
      </c>
      <c r="M1010">
        <v>3.9</v>
      </c>
      <c r="N1010" s="2">
        <v>32931</v>
      </c>
      <c r="O1010" s="5">
        <f t="shared" si="46"/>
        <v>125104869</v>
      </c>
      <c r="P1010">
        <f>MAX(Table1[RATING COUNT])</f>
        <v>426973</v>
      </c>
    </row>
    <row r="1011" spans="1:16">
      <c r="A1011" t="s">
        <v>2509</v>
      </c>
      <c r="B1011" t="s">
        <v>970</v>
      </c>
      <c r="D1011" t="s">
        <v>1416</v>
      </c>
      <c r="E1011" t="s">
        <v>1508</v>
      </c>
      <c r="F1011" t="s">
        <v>1509</v>
      </c>
      <c r="G1011" t="s">
        <v>1510</v>
      </c>
      <c r="H1011" s="7">
        <v>899</v>
      </c>
      <c r="I1011" s="7">
        <v>1249</v>
      </c>
      <c r="J1011" s="7" t="str">
        <f t="shared" si="47"/>
        <v>&gt;₹500</v>
      </c>
      <c r="K1011" s="1">
        <v>0.28000000000000003</v>
      </c>
      <c r="L1011" s="1" t="str">
        <f t="shared" si="45"/>
        <v>&lt;50%</v>
      </c>
      <c r="M1011">
        <v>3.9</v>
      </c>
      <c r="N1011" s="2">
        <v>17424</v>
      </c>
      <c r="O1011" s="5">
        <f t="shared" si="46"/>
        <v>21762576</v>
      </c>
      <c r="P1011">
        <f>MAX(Table1[RATING COUNT])</f>
        <v>426973</v>
      </c>
    </row>
    <row r="1012" spans="1:16">
      <c r="A1012" t="s">
        <v>1694</v>
      </c>
      <c r="B1012" t="s">
        <v>971</v>
      </c>
      <c r="D1012" t="s">
        <v>1416</v>
      </c>
      <c r="E1012" t="s">
        <v>1511</v>
      </c>
      <c r="F1012" t="s">
        <v>1512</v>
      </c>
      <c r="H1012" s="7">
        <v>2499</v>
      </c>
      <c r="I1012" s="7">
        <v>5000</v>
      </c>
      <c r="J1012" s="7" t="str">
        <f t="shared" si="47"/>
        <v>&gt;₹500</v>
      </c>
      <c r="K1012" s="1">
        <v>0.5</v>
      </c>
      <c r="L1012" s="1" t="str">
        <f t="shared" si="45"/>
        <v>50% or More</v>
      </c>
      <c r="M1012">
        <v>3.8</v>
      </c>
      <c r="N1012" s="2">
        <v>1889</v>
      </c>
      <c r="O1012" s="5">
        <f t="shared" si="46"/>
        <v>9445000</v>
      </c>
      <c r="P1012">
        <f>MAX(Table1[RATING COUNT])</f>
        <v>426973</v>
      </c>
    </row>
    <row r="1013" spans="1:16">
      <c r="A1013" t="s">
        <v>2510</v>
      </c>
      <c r="B1013" t="s">
        <v>972</v>
      </c>
      <c r="D1013" t="s">
        <v>1416</v>
      </c>
      <c r="E1013" t="s">
        <v>1511</v>
      </c>
      <c r="F1013" t="s">
        <v>1524</v>
      </c>
      <c r="G1013" t="s">
        <v>1525</v>
      </c>
      <c r="H1013" s="7">
        <v>3599</v>
      </c>
      <c r="I1013" s="7">
        <v>7299</v>
      </c>
      <c r="J1013" s="7" t="str">
        <f t="shared" si="47"/>
        <v>&gt;₹500</v>
      </c>
      <c r="K1013" s="1">
        <v>0.51</v>
      </c>
      <c r="L1013" s="1" t="str">
        <f t="shared" si="45"/>
        <v>50% or More</v>
      </c>
      <c r="M1013">
        <v>4</v>
      </c>
      <c r="N1013" s="2">
        <v>10324</v>
      </c>
      <c r="O1013" s="5">
        <f t="shared" si="46"/>
        <v>75354876</v>
      </c>
      <c r="P1013">
        <f>MAX(Table1[RATING COUNT])</f>
        <v>426973</v>
      </c>
    </row>
    <row r="1014" spans="1:16">
      <c r="A1014" t="s">
        <v>2511</v>
      </c>
      <c r="B1014" t="s">
        <v>973</v>
      </c>
      <c r="D1014" t="s">
        <v>1416</v>
      </c>
      <c r="E1014" t="s">
        <v>1508</v>
      </c>
      <c r="F1014" t="s">
        <v>1515</v>
      </c>
      <c r="G1014" t="s">
        <v>1516</v>
      </c>
      <c r="H1014" s="7">
        <v>499</v>
      </c>
      <c r="I1014" s="7">
        <v>625</v>
      </c>
      <c r="J1014" s="7" t="str">
        <f t="shared" si="47"/>
        <v>&gt;₹500</v>
      </c>
      <c r="K1014" s="1">
        <v>0.2</v>
      </c>
      <c r="L1014" s="1" t="str">
        <f t="shared" si="45"/>
        <v>&lt;50%</v>
      </c>
      <c r="M1014">
        <v>4.2</v>
      </c>
      <c r="N1014" s="2">
        <v>5355</v>
      </c>
      <c r="O1014" s="5">
        <f t="shared" si="46"/>
        <v>3346875</v>
      </c>
      <c r="P1014">
        <f>MAX(Table1[RATING COUNT])</f>
        <v>426973</v>
      </c>
    </row>
    <row r="1015" spans="1:16">
      <c r="A1015" t="s">
        <v>2512</v>
      </c>
      <c r="B1015" t="s">
        <v>974</v>
      </c>
      <c r="D1015" t="s">
        <v>1416</v>
      </c>
      <c r="E1015" t="s">
        <v>1511</v>
      </c>
      <c r="F1015" t="s">
        <v>1524</v>
      </c>
      <c r="G1015" t="s">
        <v>1527</v>
      </c>
      <c r="H1015" s="7">
        <v>653</v>
      </c>
      <c r="I1015" s="7">
        <v>1020</v>
      </c>
      <c r="J1015" s="7" t="str">
        <f t="shared" si="47"/>
        <v>&gt;₹500</v>
      </c>
      <c r="K1015" s="1">
        <v>0.36</v>
      </c>
      <c r="L1015" s="1" t="str">
        <f t="shared" si="45"/>
        <v>&lt;50%</v>
      </c>
      <c r="M1015">
        <v>4.0999999999999996</v>
      </c>
      <c r="N1015" s="2">
        <v>3366</v>
      </c>
      <c r="O1015" s="5">
        <f t="shared" si="46"/>
        <v>3433320</v>
      </c>
      <c r="P1015">
        <f>MAX(Table1[RATING COUNT])</f>
        <v>426973</v>
      </c>
    </row>
    <row r="1016" spans="1:16">
      <c r="A1016" t="s">
        <v>2513</v>
      </c>
      <c r="B1016" t="s">
        <v>975</v>
      </c>
      <c r="D1016" t="s">
        <v>1416</v>
      </c>
      <c r="E1016" t="s">
        <v>1508</v>
      </c>
      <c r="F1016" t="s">
        <v>1515</v>
      </c>
      <c r="G1016" t="s">
        <v>1540</v>
      </c>
      <c r="H1016" s="7">
        <v>4789</v>
      </c>
      <c r="I1016" s="7">
        <v>8990</v>
      </c>
      <c r="J1016" s="7" t="str">
        <f t="shared" si="47"/>
        <v>&gt;₹500</v>
      </c>
      <c r="K1016" s="1">
        <v>0.47</v>
      </c>
      <c r="L1016" s="1" t="str">
        <f t="shared" si="45"/>
        <v>&lt;50%</v>
      </c>
      <c r="M1016">
        <v>4.3</v>
      </c>
      <c r="N1016" s="2">
        <v>1017</v>
      </c>
      <c r="O1016" s="5">
        <f t="shared" si="46"/>
        <v>9142830</v>
      </c>
      <c r="P1016">
        <f>MAX(Table1[RATING COUNT])</f>
        <v>426973</v>
      </c>
    </row>
    <row r="1017" spans="1:16">
      <c r="A1017" t="s">
        <v>2514</v>
      </c>
      <c r="B1017" t="s">
        <v>976</v>
      </c>
      <c r="D1017" t="s">
        <v>1416</v>
      </c>
      <c r="E1017" t="s">
        <v>1511</v>
      </c>
      <c r="F1017" t="s">
        <v>1512</v>
      </c>
      <c r="G1017" t="s">
        <v>1541</v>
      </c>
      <c r="H1017" s="7">
        <v>1409</v>
      </c>
      <c r="I1017" s="7">
        <v>1639</v>
      </c>
      <c r="J1017" s="7" t="str">
        <f t="shared" si="47"/>
        <v>&gt;₹500</v>
      </c>
      <c r="K1017" s="1">
        <v>0.14000000000000001</v>
      </c>
      <c r="L1017" s="1" t="str">
        <f t="shared" si="45"/>
        <v>&lt;50%</v>
      </c>
      <c r="M1017">
        <v>3.7</v>
      </c>
      <c r="N1017" s="2">
        <v>787</v>
      </c>
      <c r="O1017" s="5">
        <f t="shared" si="46"/>
        <v>1289893</v>
      </c>
      <c r="P1017">
        <f>MAX(Table1[RATING COUNT])</f>
        <v>426973</v>
      </c>
    </row>
    <row r="1018" spans="1:16">
      <c r="A1018" t="s">
        <v>2515</v>
      </c>
      <c r="B1018" t="s">
        <v>977</v>
      </c>
      <c r="D1018" t="s">
        <v>1416</v>
      </c>
      <c r="E1018" t="s">
        <v>1508</v>
      </c>
      <c r="F1018" t="s">
        <v>1509</v>
      </c>
      <c r="G1018" t="s">
        <v>1522</v>
      </c>
      <c r="H1018" s="7">
        <v>753</v>
      </c>
      <c r="I1018" s="7">
        <v>899</v>
      </c>
      <c r="J1018" s="7" t="str">
        <f t="shared" si="47"/>
        <v>&gt;₹500</v>
      </c>
      <c r="K1018" s="1">
        <v>0.16</v>
      </c>
      <c r="L1018" s="1" t="str">
        <f t="shared" si="45"/>
        <v>&lt;50%</v>
      </c>
      <c r="M1018">
        <v>4.2</v>
      </c>
      <c r="N1018" s="2">
        <v>18462</v>
      </c>
      <c r="O1018" s="5">
        <f t="shared" si="46"/>
        <v>16597338</v>
      </c>
      <c r="P1018">
        <f>MAX(Table1[RATING COUNT])</f>
        <v>426973</v>
      </c>
    </row>
    <row r="1019" spans="1:16">
      <c r="A1019" t="s">
        <v>2166</v>
      </c>
      <c r="B1019" t="s">
        <v>978</v>
      </c>
      <c r="D1019" t="s">
        <v>1416</v>
      </c>
      <c r="E1019" t="s">
        <v>1508</v>
      </c>
      <c r="F1019" t="s">
        <v>1509</v>
      </c>
      <c r="G1019" t="s">
        <v>1534</v>
      </c>
      <c r="H1019" s="7">
        <v>353</v>
      </c>
      <c r="I1019" s="7">
        <v>1199</v>
      </c>
      <c r="J1019" s="7" t="str">
        <f t="shared" si="47"/>
        <v>&gt;₹500</v>
      </c>
      <c r="K1019" s="1">
        <v>0.71</v>
      </c>
      <c r="L1019" s="1" t="str">
        <f t="shared" si="45"/>
        <v>50% or More</v>
      </c>
      <c r="M1019">
        <v>4.3</v>
      </c>
      <c r="N1019" s="2">
        <v>629</v>
      </c>
      <c r="O1019" s="5">
        <f t="shared" si="46"/>
        <v>754171</v>
      </c>
      <c r="P1019">
        <f>MAX(Table1[RATING COUNT])</f>
        <v>426973</v>
      </c>
    </row>
    <row r="1020" spans="1:16">
      <c r="A1020" t="s">
        <v>1698</v>
      </c>
      <c r="B1020" t="s">
        <v>979</v>
      </c>
      <c r="D1020" t="s">
        <v>1416</v>
      </c>
      <c r="E1020" t="s">
        <v>1508</v>
      </c>
      <c r="F1020" t="s">
        <v>1509</v>
      </c>
      <c r="G1020" t="s">
        <v>1517</v>
      </c>
      <c r="H1020" s="7">
        <v>1099</v>
      </c>
      <c r="I1020" s="7">
        <v>1899</v>
      </c>
      <c r="J1020" s="7" t="str">
        <f t="shared" si="47"/>
        <v>&gt;₹500</v>
      </c>
      <c r="K1020" s="1">
        <v>0.42</v>
      </c>
      <c r="L1020" s="1" t="str">
        <f t="shared" si="45"/>
        <v>&lt;50%</v>
      </c>
      <c r="M1020">
        <v>4.3</v>
      </c>
      <c r="N1020" s="2">
        <v>15276</v>
      </c>
      <c r="O1020" s="5">
        <f t="shared" si="46"/>
        <v>29009124</v>
      </c>
      <c r="P1020">
        <f>MAX(Table1[RATING COUNT])</f>
        <v>426973</v>
      </c>
    </row>
    <row r="1021" spans="1:16">
      <c r="A1021" t="s">
        <v>1700</v>
      </c>
      <c r="B1021" t="s">
        <v>980</v>
      </c>
      <c r="D1021" t="s">
        <v>1416</v>
      </c>
      <c r="E1021" t="s">
        <v>1508</v>
      </c>
      <c r="F1021" t="s">
        <v>1509</v>
      </c>
      <c r="G1021" t="s">
        <v>1528</v>
      </c>
      <c r="H1021" s="7">
        <v>8799</v>
      </c>
      <c r="I1021" s="7">
        <v>11595</v>
      </c>
      <c r="J1021" s="7" t="str">
        <f t="shared" si="47"/>
        <v>&gt;₹500</v>
      </c>
      <c r="K1021" s="1">
        <v>0.24</v>
      </c>
      <c r="L1021" s="1" t="str">
        <f t="shared" si="45"/>
        <v>&lt;50%</v>
      </c>
      <c r="M1021">
        <v>4.4000000000000004</v>
      </c>
      <c r="N1021" s="2">
        <v>2981</v>
      </c>
      <c r="O1021" s="5">
        <f t="shared" si="46"/>
        <v>34564695</v>
      </c>
      <c r="P1021">
        <f>MAX(Table1[RATING COUNT])</f>
        <v>426973</v>
      </c>
    </row>
    <row r="1022" spans="1:16">
      <c r="A1022" t="s">
        <v>2516</v>
      </c>
      <c r="B1022" t="s">
        <v>981</v>
      </c>
      <c r="D1022" t="s">
        <v>1416</v>
      </c>
      <c r="E1022" t="s">
        <v>1508</v>
      </c>
      <c r="F1022" t="s">
        <v>1509</v>
      </c>
      <c r="G1022" t="s">
        <v>1510</v>
      </c>
      <c r="H1022" s="7">
        <v>1345</v>
      </c>
      <c r="I1022" s="7">
        <v>1750</v>
      </c>
      <c r="J1022" s="7" t="str">
        <f t="shared" si="47"/>
        <v>&gt;₹500</v>
      </c>
      <c r="K1022" s="1">
        <v>0.23</v>
      </c>
      <c r="L1022" s="1" t="str">
        <f t="shared" si="45"/>
        <v>&lt;50%</v>
      </c>
      <c r="M1022">
        <v>3.8</v>
      </c>
      <c r="N1022" s="2">
        <v>2466</v>
      </c>
      <c r="O1022" s="5">
        <f t="shared" si="46"/>
        <v>4315500</v>
      </c>
      <c r="P1022">
        <f>MAX(Table1[RATING COUNT])</f>
        <v>426973</v>
      </c>
    </row>
    <row r="1023" spans="1:16">
      <c r="A1023" t="s">
        <v>2517</v>
      </c>
      <c r="B1023" t="s">
        <v>982</v>
      </c>
      <c r="D1023" t="s">
        <v>1416</v>
      </c>
      <c r="E1023" t="s">
        <v>1508</v>
      </c>
      <c r="F1023" t="s">
        <v>1509</v>
      </c>
      <c r="G1023" t="s">
        <v>1542</v>
      </c>
      <c r="H1023" s="7">
        <v>2095</v>
      </c>
      <c r="I1023" s="7">
        <v>2095</v>
      </c>
      <c r="J1023" s="7" t="str">
        <f t="shared" si="47"/>
        <v>&gt;₹500</v>
      </c>
      <c r="K1023" s="1">
        <v>0</v>
      </c>
      <c r="L1023" s="1" t="str">
        <f t="shared" si="45"/>
        <v>&lt;50%</v>
      </c>
      <c r="M1023">
        <v>4.5</v>
      </c>
      <c r="N1023" s="2">
        <v>7949</v>
      </c>
      <c r="O1023" s="5">
        <f t="shared" si="46"/>
        <v>16653155</v>
      </c>
      <c r="P1023">
        <f>MAX(Table1[RATING COUNT])</f>
        <v>426973</v>
      </c>
    </row>
    <row r="1024" spans="1:16">
      <c r="A1024" t="s">
        <v>2518</v>
      </c>
      <c r="B1024" t="s">
        <v>983</v>
      </c>
      <c r="D1024" t="s">
        <v>1416</v>
      </c>
      <c r="E1024" t="s">
        <v>1511</v>
      </c>
      <c r="F1024" t="s">
        <v>1512</v>
      </c>
      <c r="G1024" t="s">
        <v>1513</v>
      </c>
      <c r="H1024" s="7">
        <v>1498</v>
      </c>
      <c r="I1024" s="7">
        <v>2300</v>
      </c>
      <c r="J1024" s="7" t="str">
        <f t="shared" si="47"/>
        <v>&gt;₹500</v>
      </c>
      <c r="K1024" s="1">
        <v>0.35</v>
      </c>
      <c r="L1024" s="1" t="str">
        <f t="shared" si="45"/>
        <v>&lt;50%</v>
      </c>
      <c r="M1024">
        <v>3.8</v>
      </c>
      <c r="N1024" s="2">
        <v>95</v>
      </c>
      <c r="O1024" s="5">
        <f t="shared" si="46"/>
        <v>218500</v>
      </c>
      <c r="P1024">
        <f>MAX(Table1[RATING COUNT])</f>
        <v>426973</v>
      </c>
    </row>
    <row r="1025" spans="1:16">
      <c r="A1025" t="s">
        <v>2519</v>
      </c>
      <c r="B1025" t="s">
        <v>984</v>
      </c>
      <c r="D1025" t="s">
        <v>1416</v>
      </c>
      <c r="E1025" t="s">
        <v>1511</v>
      </c>
      <c r="F1025" t="s">
        <v>1512</v>
      </c>
      <c r="G1025" t="s">
        <v>1543</v>
      </c>
      <c r="H1025" s="7">
        <v>2199</v>
      </c>
      <c r="I1025" s="7">
        <v>2990</v>
      </c>
      <c r="J1025" s="7" t="str">
        <f t="shared" si="47"/>
        <v>&gt;₹500</v>
      </c>
      <c r="K1025" s="1">
        <v>0.26</v>
      </c>
      <c r="L1025" s="1" t="str">
        <f t="shared" si="45"/>
        <v>&lt;50%</v>
      </c>
      <c r="M1025">
        <v>3.8</v>
      </c>
      <c r="N1025" s="2">
        <v>1558</v>
      </c>
      <c r="O1025" s="5">
        <f t="shared" si="46"/>
        <v>4658420</v>
      </c>
      <c r="P1025">
        <f>MAX(Table1[RATING COUNT])</f>
        <v>426973</v>
      </c>
    </row>
    <row r="1026" spans="1:16">
      <c r="A1026" t="s">
        <v>2520</v>
      </c>
      <c r="B1026" t="s">
        <v>985</v>
      </c>
      <c r="D1026" t="s">
        <v>1416</v>
      </c>
      <c r="E1026" t="s">
        <v>1508</v>
      </c>
      <c r="F1026" t="s">
        <v>1509</v>
      </c>
      <c r="G1026" t="s">
        <v>1523</v>
      </c>
      <c r="H1026" s="7">
        <v>3699</v>
      </c>
      <c r="I1026" s="7">
        <v>4295</v>
      </c>
      <c r="J1026" s="7" t="str">
        <f t="shared" si="47"/>
        <v>&gt;₹500</v>
      </c>
      <c r="K1026" s="1">
        <v>0.14000000000000001</v>
      </c>
      <c r="L1026" s="1" t="str">
        <f t="shared" ref="L1026:L1089" si="48">IF(K1026&gt;=50%,"50% or More","&lt;50%")</f>
        <v>&lt;50%</v>
      </c>
      <c r="M1026">
        <v>4.0999999999999996</v>
      </c>
      <c r="N1026" s="2">
        <v>26543</v>
      </c>
      <c r="O1026" s="5">
        <f t="shared" ref="O1026:O1089" si="49">I1026*N1026</f>
        <v>114002185</v>
      </c>
      <c r="P1026">
        <f>MAX(Table1[RATING COUNT])</f>
        <v>426973</v>
      </c>
    </row>
    <row r="1027" spans="1:16">
      <c r="A1027" t="s">
        <v>2521</v>
      </c>
      <c r="B1027" t="s">
        <v>986</v>
      </c>
      <c r="D1027" t="s">
        <v>1416</v>
      </c>
      <c r="E1027" t="s">
        <v>1529</v>
      </c>
      <c r="F1027" t="s">
        <v>1530</v>
      </c>
      <c r="G1027" t="s">
        <v>1531</v>
      </c>
      <c r="H1027" s="7">
        <v>177</v>
      </c>
      <c r="I1027" s="7">
        <v>199</v>
      </c>
      <c r="J1027" s="7" t="str">
        <f t="shared" ref="J1027:J1090" si="50">IF(I1027&lt;200, "&lt;₹200", IF(I1027&lt;=500, "₹200–₹500", "&gt;₹500"))</f>
        <v>&lt;₹200</v>
      </c>
      <c r="K1027" s="1">
        <v>0.11</v>
      </c>
      <c r="L1027" s="1" t="str">
        <f t="shared" si="48"/>
        <v>&lt;50%</v>
      </c>
      <c r="M1027">
        <v>4.0999999999999996</v>
      </c>
      <c r="N1027" s="2">
        <v>3688</v>
      </c>
      <c r="O1027" s="5">
        <f t="shared" si="49"/>
        <v>733912</v>
      </c>
      <c r="P1027">
        <f>MAX(Table1[RATING COUNT])</f>
        <v>426973</v>
      </c>
    </row>
    <row r="1028" spans="1:16">
      <c r="A1028" t="s">
        <v>2522</v>
      </c>
      <c r="B1028" t="s">
        <v>987</v>
      </c>
      <c r="D1028" t="s">
        <v>1416</v>
      </c>
      <c r="E1028" t="s">
        <v>1508</v>
      </c>
      <c r="F1028" t="s">
        <v>1509</v>
      </c>
      <c r="G1028" t="s">
        <v>1523</v>
      </c>
      <c r="H1028" s="7">
        <v>1149</v>
      </c>
      <c r="I1028" s="7">
        <v>2499</v>
      </c>
      <c r="J1028" s="7" t="str">
        <f t="shared" si="50"/>
        <v>&gt;₹500</v>
      </c>
      <c r="K1028" s="1">
        <v>0.54</v>
      </c>
      <c r="L1028" s="1" t="str">
        <f t="shared" si="48"/>
        <v>50% or More</v>
      </c>
      <c r="M1028">
        <v>3.8</v>
      </c>
      <c r="N1028" s="2">
        <v>4383</v>
      </c>
      <c r="O1028" s="5">
        <f t="shared" si="49"/>
        <v>10953117</v>
      </c>
      <c r="P1028">
        <f>MAX(Table1[RATING COUNT])</f>
        <v>426973</v>
      </c>
    </row>
    <row r="1029" spans="1:16">
      <c r="A1029" t="s">
        <v>2523</v>
      </c>
      <c r="B1029" t="s">
        <v>988</v>
      </c>
      <c r="D1029" t="s">
        <v>1416</v>
      </c>
      <c r="E1029" t="s">
        <v>1508</v>
      </c>
      <c r="F1029" t="s">
        <v>1544</v>
      </c>
      <c r="G1029" t="s">
        <v>1545</v>
      </c>
      <c r="H1029" s="7">
        <v>244</v>
      </c>
      <c r="I1029" s="7">
        <v>499</v>
      </c>
      <c r="J1029" s="7" t="str">
        <f t="shared" si="50"/>
        <v>₹200–₹500</v>
      </c>
      <c r="K1029" s="1">
        <v>0.51</v>
      </c>
      <c r="L1029" s="1" t="str">
        <f t="shared" si="48"/>
        <v>50% or More</v>
      </c>
      <c r="M1029">
        <v>3.3</v>
      </c>
      <c r="N1029" s="2">
        <v>478</v>
      </c>
      <c r="O1029" s="5">
        <f t="shared" si="49"/>
        <v>238522</v>
      </c>
      <c r="P1029">
        <f>MAX(Table1[RATING COUNT])</f>
        <v>426973</v>
      </c>
    </row>
    <row r="1030" spans="1:16">
      <c r="A1030" t="s">
        <v>2524</v>
      </c>
      <c r="B1030" t="s">
        <v>989</v>
      </c>
      <c r="D1030" t="s">
        <v>1416</v>
      </c>
      <c r="E1030" t="s">
        <v>1511</v>
      </c>
      <c r="F1030" t="s">
        <v>1512</v>
      </c>
      <c r="G1030" t="s">
        <v>1513</v>
      </c>
      <c r="H1030" s="7">
        <v>1959</v>
      </c>
      <c r="I1030" s="7">
        <v>2400</v>
      </c>
      <c r="J1030" s="7" t="str">
        <f t="shared" si="50"/>
        <v>&gt;₹500</v>
      </c>
      <c r="K1030" s="1">
        <v>0.18</v>
      </c>
      <c r="L1030" s="1" t="str">
        <f t="shared" si="48"/>
        <v>&lt;50%</v>
      </c>
      <c r="M1030">
        <v>4</v>
      </c>
      <c r="N1030" s="2">
        <v>237</v>
      </c>
      <c r="O1030" s="5">
        <f t="shared" si="49"/>
        <v>568800</v>
      </c>
      <c r="P1030">
        <f>MAX(Table1[RATING COUNT])</f>
        <v>426973</v>
      </c>
    </row>
    <row r="1031" spans="1:16">
      <c r="A1031" t="s">
        <v>2525</v>
      </c>
      <c r="B1031" t="s">
        <v>990</v>
      </c>
      <c r="D1031" t="s">
        <v>1416</v>
      </c>
      <c r="E1031" t="s">
        <v>1508</v>
      </c>
      <c r="F1031" t="s">
        <v>1515</v>
      </c>
      <c r="G1031" t="s">
        <v>1516</v>
      </c>
      <c r="H1031" s="7">
        <v>319</v>
      </c>
      <c r="I1031" s="7">
        <v>749</v>
      </c>
      <c r="J1031" s="7" t="str">
        <f t="shared" si="50"/>
        <v>&gt;₹500</v>
      </c>
      <c r="K1031" s="1">
        <v>0.56999999999999995</v>
      </c>
      <c r="L1031" s="1" t="str">
        <f t="shared" si="48"/>
        <v>50% or More</v>
      </c>
      <c r="M1031">
        <v>4.5999999999999996</v>
      </c>
      <c r="N1031" s="2">
        <v>124</v>
      </c>
      <c r="O1031" s="5">
        <f t="shared" si="49"/>
        <v>92876</v>
      </c>
      <c r="P1031">
        <f>MAX(Table1[RATING COUNT])</f>
        <v>426973</v>
      </c>
    </row>
    <row r="1032" spans="1:16">
      <c r="A1032" t="s">
        <v>2526</v>
      </c>
      <c r="B1032" t="s">
        <v>991</v>
      </c>
      <c r="D1032" t="s">
        <v>1416</v>
      </c>
      <c r="E1032" t="s">
        <v>1508</v>
      </c>
      <c r="F1032" t="s">
        <v>1509</v>
      </c>
      <c r="G1032" t="s">
        <v>1510</v>
      </c>
      <c r="H1032" s="7">
        <v>1499</v>
      </c>
      <c r="I1032" s="7">
        <v>1775</v>
      </c>
      <c r="J1032" s="7" t="str">
        <f t="shared" si="50"/>
        <v>&gt;₹500</v>
      </c>
      <c r="K1032" s="1">
        <v>0.16</v>
      </c>
      <c r="L1032" s="1" t="str">
        <f t="shared" si="48"/>
        <v>&lt;50%</v>
      </c>
      <c r="M1032">
        <v>3.9</v>
      </c>
      <c r="N1032" s="2">
        <v>14667</v>
      </c>
      <c r="O1032" s="5">
        <f t="shared" si="49"/>
        <v>26033925</v>
      </c>
      <c r="P1032">
        <f>MAX(Table1[RATING COUNT])</f>
        <v>426973</v>
      </c>
    </row>
    <row r="1033" spans="1:16">
      <c r="A1033" t="s">
        <v>2527</v>
      </c>
      <c r="B1033" t="s">
        <v>992</v>
      </c>
      <c r="D1033" t="s">
        <v>1416</v>
      </c>
      <c r="E1033" t="s">
        <v>1508</v>
      </c>
      <c r="F1033" t="s">
        <v>1515</v>
      </c>
      <c r="G1033" t="s">
        <v>1516</v>
      </c>
      <c r="H1033" s="7">
        <v>469</v>
      </c>
      <c r="I1033" s="7">
        <v>1599</v>
      </c>
      <c r="J1033" s="7" t="str">
        <f t="shared" si="50"/>
        <v>&gt;₹500</v>
      </c>
      <c r="K1033" s="1">
        <v>0.71</v>
      </c>
      <c r="L1033" s="1" t="str">
        <f t="shared" si="48"/>
        <v>50% or More</v>
      </c>
      <c r="M1033">
        <v>3.7</v>
      </c>
      <c r="N1033" s="2">
        <v>6</v>
      </c>
      <c r="O1033" s="5">
        <f t="shared" si="49"/>
        <v>9594</v>
      </c>
      <c r="P1033">
        <f>MAX(Table1[RATING COUNT])</f>
        <v>426973</v>
      </c>
    </row>
    <row r="1034" spans="1:16">
      <c r="A1034" t="s">
        <v>2528</v>
      </c>
      <c r="B1034" t="s">
        <v>993</v>
      </c>
      <c r="D1034" t="s">
        <v>1416</v>
      </c>
      <c r="E1034" t="s">
        <v>1508</v>
      </c>
      <c r="F1034" t="s">
        <v>1509</v>
      </c>
      <c r="G1034" t="s">
        <v>1542</v>
      </c>
      <c r="H1034" s="7">
        <v>1099</v>
      </c>
      <c r="I1034" s="7">
        <v>1795</v>
      </c>
      <c r="J1034" s="7" t="str">
        <f t="shared" si="50"/>
        <v>&gt;₹500</v>
      </c>
      <c r="K1034" s="1">
        <v>0.39</v>
      </c>
      <c r="L1034" s="1" t="str">
        <f t="shared" si="48"/>
        <v>&lt;50%</v>
      </c>
      <c r="M1034">
        <v>4.2</v>
      </c>
      <c r="N1034" s="2">
        <v>4244</v>
      </c>
      <c r="O1034" s="5">
        <f t="shared" si="49"/>
        <v>7617980</v>
      </c>
      <c r="P1034">
        <f>MAX(Table1[RATING COUNT])</f>
        <v>426973</v>
      </c>
    </row>
    <row r="1035" spans="1:16">
      <c r="A1035" t="s">
        <v>2529</v>
      </c>
      <c r="B1035" t="s">
        <v>994</v>
      </c>
      <c r="D1035" t="s">
        <v>1416</v>
      </c>
      <c r="E1035" t="s">
        <v>1511</v>
      </c>
      <c r="F1035" t="s">
        <v>1512</v>
      </c>
      <c r="G1035" t="s">
        <v>1514</v>
      </c>
      <c r="H1035" s="7">
        <v>9590</v>
      </c>
      <c r="I1035" s="7">
        <v>15999</v>
      </c>
      <c r="J1035" s="7" t="str">
        <f t="shared" si="50"/>
        <v>&gt;₹500</v>
      </c>
      <c r="K1035" s="1">
        <v>0.4</v>
      </c>
      <c r="L1035" s="1" t="str">
        <f t="shared" si="48"/>
        <v>&lt;50%</v>
      </c>
      <c r="M1035">
        <v>4.0999999999999996</v>
      </c>
      <c r="N1035" s="2">
        <v>1017</v>
      </c>
      <c r="O1035" s="5">
        <f t="shared" si="49"/>
        <v>16270983</v>
      </c>
      <c r="P1035">
        <f>MAX(Table1[RATING COUNT])</f>
        <v>426973</v>
      </c>
    </row>
    <row r="1036" spans="1:16">
      <c r="A1036" t="s">
        <v>2530</v>
      </c>
      <c r="B1036" t="s">
        <v>995</v>
      </c>
      <c r="D1036" t="s">
        <v>1416</v>
      </c>
      <c r="E1036" t="s">
        <v>1511</v>
      </c>
      <c r="F1036" t="s">
        <v>1538</v>
      </c>
      <c r="G1036" t="s">
        <v>1546</v>
      </c>
      <c r="H1036" s="7">
        <v>999</v>
      </c>
      <c r="I1036" s="7">
        <v>1490</v>
      </c>
      <c r="J1036" s="7" t="str">
        <f t="shared" si="50"/>
        <v>&gt;₹500</v>
      </c>
      <c r="K1036" s="1">
        <v>0.33</v>
      </c>
      <c r="L1036" s="1" t="str">
        <f t="shared" si="48"/>
        <v>&lt;50%</v>
      </c>
      <c r="M1036">
        <v>4.0999999999999996</v>
      </c>
      <c r="N1036" s="2">
        <v>12999</v>
      </c>
      <c r="O1036" s="5">
        <f t="shared" si="49"/>
        <v>19368510</v>
      </c>
      <c r="P1036">
        <f>MAX(Table1[RATING COUNT])</f>
        <v>426973</v>
      </c>
    </row>
    <row r="1037" spans="1:16">
      <c r="A1037" t="s">
        <v>2531</v>
      </c>
      <c r="B1037" t="s">
        <v>996</v>
      </c>
      <c r="D1037" t="s">
        <v>1416</v>
      </c>
      <c r="E1037" t="s">
        <v>1508</v>
      </c>
      <c r="F1037" t="s">
        <v>1509</v>
      </c>
      <c r="G1037" t="s">
        <v>1510</v>
      </c>
      <c r="H1037" s="7">
        <v>1299</v>
      </c>
      <c r="I1037" s="7">
        <v>1999</v>
      </c>
      <c r="J1037" s="7" t="str">
        <f t="shared" si="50"/>
        <v>&gt;₹500</v>
      </c>
      <c r="K1037" s="1">
        <v>0.35</v>
      </c>
      <c r="L1037" s="1" t="str">
        <f t="shared" si="48"/>
        <v>&lt;50%</v>
      </c>
      <c r="M1037">
        <v>3.8</v>
      </c>
      <c r="N1037" s="2">
        <v>311</v>
      </c>
      <c r="O1037" s="5">
        <f t="shared" si="49"/>
        <v>621689</v>
      </c>
      <c r="P1037">
        <f>MAX(Table1[RATING COUNT])</f>
        <v>426973</v>
      </c>
    </row>
    <row r="1038" spans="1:16">
      <c r="A1038" t="s">
        <v>2532</v>
      </c>
      <c r="B1038" t="s">
        <v>997</v>
      </c>
      <c r="D1038" t="s">
        <v>1416</v>
      </c>
      <c r="E1038" t="s">
        <v>1508</v>
      </c>
      <c r="F1038" t="s">
        <v>1544</v>
      </c>
      <c r="G1038" t="s">
        <v>1547</v>
      </c>
      <c r="H1038" s="7">
        <v>292</v>
      </c>
      <c r="I1038" s="7">
        <v>499</v>
      </c>
      <c r="J1038" s="7" t="str">
        <f t="shared" si="50"/>
        <v>₹200–₹500</v>
      </c>
      <c r="K1038" s="1">
        <v>0.41</v>
      </c>
      <c r="L1038" s="1" t="str">
        <f t="shared" si="48"/>
        <v>&lt;50%</v>
      </c>
      <c r="M1038">
        <v>4.0999999999999996</v>
      </c>
      <c r="N1038" s="2">
        <v>4238</v>
      </c>
      <c r="O1038" s="5">
        <f t="shared" si="49"/>
        <v>2114762</v>
      </c>
      <c r="P1038">
        <f>MAX(Table1[RATING COUNT])</f>
        <v>426973</v>
      </c>
    </row>
    <row r="1039" spans="1:16">
      <c r="A1039" t="s">
        <v>2533</v>
      </c>
      <c r="B1039" t="s">
        <v>998</v>
      </c>
      <c r="D1039" t="s">
        <v>1416</v>
      </c>
      <c r="E1039" t="s">
        <v>1508</v>
      </c>
      <c r="F1039" t="s">
        <v>1509</v>
      </c>
      <c r="G1039" t="s">
        <v>1537</v>
      </c>
      <c r="H1039" s="7">
        <v>160</v>
      </c>
      <c r="I1039" s="7">
        <v>299</v>
      </c>
      <c r="J1039" s="7" t="str">
        <f t="shared" si="50"/>
        <v>₹200–₹500</v>
      </c>
      <c r="K1039" s="1">
        <v>0.46</v>
      </c>
      <c r="L1039" s="1" t="str">
        <f t="shared" si="48"/>
        <v>&lt;50%</v>
      </c>
      <c r="M1039">
        <v>4.5999999999999996</v>
      </c>
      <c r="N1039" s="2">
        <v>2781</v>
      </c>
      <c r="O1039" s="5">
        <f t="shared" si="49"/>
        <v>831519</v>
      </c>
      <c r="P1039">
        <f>MAX(Table1[RATING COUNT])</f>
        <v>426973</v>
      </c>
    </row>
    <row r="1040" spans="1:16">
      <c r="A1040" t="s">
        <v>2534</v>
      </c>
      <c r="B1040" t="s">
        <v>999</v>
      </c>
      <c r="D1040" t="s">
        <v>1416</v>
      </c>
      <c r="E1040" t="s">
        <v>1508</v>
      </c>
      <c r="F1040" t="s">
        <v>1548</v>
      </c>
      <c r="G1040" t="s">
        <v>1549</v>
      </c>
      <c r="H1040" s="7">
        <v>600</v>
      </c>
      <c r="I1040" s="7">
        <v>600</v>
      </c>
      <c r="J1040" s="7" t="str">
        <f t="shared" si="50"/>
        <v>&gt;₹500</v>
      </c>
      <c r="K1040" s="1">
        <v>0</v>
      </c>
      <c r="L1040" s="1" t="str">
        <f t="shared" si="48"/>
        <v>&lt;50%</v>
      </c>
      <c r="M1040">
        <v>4.0999999999999996</v>
      </c>
      <c r="N1040" s="2">
        <v>10907</v>
      </c>
      <c r="O1040" s="5">
        <f t="shared" si="49"/>
        <v>6544200</v>
      </c>
      <c r="P1040">
        <f>MAX(Table1[RATING COUNT])</f>
        <v>426973</v>
      </c>
    </row>
    <row r="1041" spans="1:16">
      <c r="A1041" t="s">
        <v>2535</v>
      </c>
      <c r="B1041" t="s">
        <v>1000</v>
      </c>
      <c r="D1041" t="s">
        <v>1416</v>
      </c>
      <c r="E1041" t="s">
        <v>1508</v>
      </c>
      <c r="F1041" t="s">
        <v>1548</v>
      </c>
      <c r="G1041" t="s">
        <v>1550</v>
      </c>
      <c r="H1041" s="7">
        <v>1130</v>
      </c>
      <c r="I1041" s="7">
        <v>1130</v>
      </c>
      <c r="J1041" s="7" t="str">
        <f t="shared" si="50"/>
        <v>&gt;₹500</v>
      </c>
      <c r="K1041" s="1">
        <v>0</v>
      </c>
      <c r="L1041" s="1" t="str">
        <f t="shared" si="48"/>
        <v>&lt;50%</v>
      </c>
      <c r="M1041">
        <v>4.2</v>
      </c>
      <c r="N1041" s="2">
        <v>13250</v>
      </c>
      <c r="O1041" s="5">
        <f t="shared" si="49"/>
        <v>14972500</v>
      </c>
      <c r="P1041">
        <f>MAX(Table1[RATING COUNT])</f>
        <v>426973</v>
      </c>
    </row>
    <row r="1042" spans="1:16">
      <c r="A1042" t="s">
        <v>2536</v>
      </c>
      <c r="B1042" t="s">
        <v>1001</v>
      </c>
      <c r="D1042" t="s">
        <v>1416</v>
      </c>
      <c r="E1042" t="s">
        <v>1508</v>
      </c>
      <c r="F1042" t="s">
        <v>1509</v>
      </c>
      <c r="G1042" t="s">
        <v>1523</v>
      </c>
      <c r="H1042" s="7">
        <v>3249</v>
      </c>
      <c r="I1042" s="7">
        <v>6295</v>
      </c>
      <c r="J1042" s="7" t="str">
        <f t="shared" si="50"/>
        <v>&gt;₹500</v>
      </c>
      <c r="K1042" s="1">
        <v>0.48</v>
      </c>
      <c r="L1042" s="1" t="str">
        <f t="shared" si="48"/>
        <v>&lt;50%</v>
      </c>
      <c r="M1042">
        <v>3.9</v>
      </c>
      <c r="N1042" s="2">
        <v>43070</v>
      </c>
      <c r="O1042" s="5">
        <f t="shared" si="49"/>
        <v>271125650</v>
      </c>
      <c r="P1042">
        <f>MAX(Table1[RATING COUNT])</f>
        <v>426973</v>
      </c>
    </row>
    <row r="1043" spans="1:16">
      <c r="A1043" t="s">
        <v>2537</v>
      </c>
      <c r="B1043" t="s">
        <v>1002</v>
      </c>
      <c r="D1043" t="s">
        <v>1416</v>
      </c>
      <c r="E1043" t="s">
        <v>1508</v>
      </c>
      <c r="F1043" t="s">
        <v>1509</v>
      </c>
      <c r="G1043" t="s">
        <v>1523</v>
      </c>
      <c r="H1043" s="7">
        <v>3599</v>
      </c>
      <c r="I1043" s="7">
        <v>9455</v>
      </c>
      <c r="J1043" s="7" t="str">
        <f t="shared" si="50"/>
        <v>&gt;₹500</v>
      </c>
      <c r="K1043" s="1">
        <v>0.62</v>
      </c>
      <c r="L1043" s="1" t="str">
        <f t="shared" si="48"/>
        <v>50% or More</v>
      </c>
      <c r="M1043">
        <v>4.0999999999999996</v>
      </c>
      <c r="N1043" s="2">
        <v>11828</v>
      </c>
      <c r="O1043" s="5">
        <f t="shared" si="49"/>
        <v>111833740</v>
      </c>
      <c r="P1043">
        <f>MAX(Table1[RATING COUNT])</f>
        <v>426973</v>
      </c>
    </row>
    <row r="1044" spans="1:16">
      <c r="A1044" t="s">
        <v>2538</v>
      </c>
      <c r="B1044" t="s">
        <v>1003</v>
      </c>
      <c r="D1044" t="s">
        <v>1416</v>
      </c>
      <c r="E1044" t="s">
        <v>1508</v>
      </c>
      <c r="F1044" t="s">
        <v>1509</v>
      </c>
      <c r="G1044" t="s">
        <v>1534</v>
      </c>
      <c r="H1044" s="7">
        <v>368</v>
      </c>
      <c r="I1044" s="7">
        <v>699</v>
      </c>
      <c r="J1044" s="7" t="str">
        <f t="shared" si="50"/>
        <v>&gt;₹500</v>
      </c>
      <c r="K1044" s="1">
        <v>0.47</v>
      </c>
      <c r="L1044" s="1" t="str">
        <f t="shared" si="48"/>
        <v>&lt;50%</v>
      </c>
      <c r="M1044">
        <v>4.0999999999999996</v>
      </c>
      <c r="N1044" s="2">
        <v>1240</v>
      </c>
      <c r="O1044" s="5">
        <f t="shared" si="49"/>
        <v>866760</v>
      </c>
      <c r="P1044">
        <f>MAX(Table1[RATING COUNT])</f>
        <v>426973</v>
      </c>
    </row>
    <row r="1045" spans="1:16">
      <c r="A1045" t="s">
        <v>2539</v>
      </c>
      <c r="B1045" t="s">
        <v>1004</v>
      </c>
      <c r="D1045" t="s">
        <v>1416</v>
      </c>
      <c r="E1045" t="s">
        <v>1508</v>
      </c>
      <c r="F1045" t="s">
        <v>1509</v>
      </c>
      <c r="G1045" t="s">
        <v>1523</v>
      </c>
      <c r="H1045" s="7">
        <v>3199</v>
      </c>
      <c r="I1045" s="7">
        <v>4999</v>
      </c>
      <c r="J1045" s="7" t="str">
        <f t="shared" si="50"/>
        <v>&gt;₹500</v>
      </c>
      <c r="K1045" s="1">
        <v>0.36</v>
      </c>
      <c r="L1045" s="1" t="str">
        <f t="shared" si="48"/>
        <v>&lt;50%</v>
      </c>
      <c r="M1045">
        <v>4</v>
      </c>
      <c r="N1045" s="2">
        <v>20869</v>
      </c>
      <c r="O1045" s="5">
        <f t="shared" si="49"/>
        <v>104324131</v>
      </c>
      <c r="P1045">
        <f>MAX(Table1[RATING COUNT])</f>
        <v>426973</v>
      </c>
    </row>
    <row r="1046" spans="1:16">
      <c r="A1046" t="s">
        <v>2540</v>
      </c>
      <c r="B1046" t="s">
        <v>1005</v>
      </c>
      <c r="D1046" t="s">
        <v>1416</v>
      </c>
      <c r="E1046" t="s">
        <v>1508</v>
      </c>
      <c r="F1046" t="s">
        <v>1509</v>
      </c>
      <c r="G1046" t="s">
        <v>1551</v>
      </c>
      <c r="H1046" s="7">
        <v>1599</v>
      </c>
      <c r="I1046" s="7">
        <v>2900</v>
      </c>
      <c r="J1046" s="7" t="str">
        <f t="shared" si="50"/>
        <v>&gt;₹500</v>
      </c>
      <c r="K1046" s="1">
        <v>0.45</v>
      </c>
      <c r="L1046" s="1" t="str">
        <f t="shared" si="48"/>
        <v>&lt;50%</v>
      </c>
      <c r="M1046">
        <v>3.7</v>
      </c>
      <c r="N1046" s="2">
        <v>441</v>
      </c>
      <c r="O1046" s="5">
        <f t="shared" si="49"/>
        <v>1278900</v>
      </c>
      <c r="P1046">
        <f>MAX(Table1[RATING COUNT])</f>
        <v>426973</v>
      </c>
    </row>
    <row r="1047" spans="1:16">
      <c r="A1047" t="s">
        <v>2541</v>
      </c>
      <c r="B1047" t="s">
        <v>1006</v>
      </c>
      <c r="D1047" t="s">
        <v>1416</v>
      </c>
      <c r="E1047" t="s">
        <v>1508</v>
      </c>
      <c r="F1047" t="s">
        <v>1509</v>
      </c>
      <c r="G1047" t="s">
        <v>1522</v>
      </c>
      <c r="H1047" s="7">
        <v>1999</v>
      </c>
      <c r="I1047" s="7">
        <v>2499</v>
      </c>
      <c r="J1047" s="7" t="str">
        <f t="shared" si="50"/>
        <v>&gt;₹500</v>
      </c>
      <c r="K1047" s="1">
        <v>0.2</v>
      </c>
      <c r="L1047" s="1" t="str">
        <f t="shared" si="48"/>
        <v>&lt;50%</v>
      </c>
      <c r="M1047">
        <v>4.0999999999999996</v>
      </c>
      <c r="N1047" s="2">
        <v>1034</v>
      </c>
      <c r="O1047" s="5">
        <f t="shared" si="49"/>
        <v>2583966</v>
      </c>
      <c r="P1047">
        <f>MAX(Table1[RATING COUNT])</f>
        <v>426973</v>
      </c>
    </row>
    <row r="1048" spans="1:16">
      <c r="A1048" t="s">
        <v>2542</v>
      </c>
      <c r="B1048" t="s">
        <v>1007</v>
      </c>
      <c r="D1048" t="s">
        <v>1416</v>
      </c>
      <c r="E1048" t="s">
        <v>1508</v>
      </c>
      <c r="F1048" t="s">
        <v>1515</v>
      </c>
      <c r="G1048" t="s">
        <v>1516</v>
      </c>
      <c r="H1048" s="7">
        <v>616</v>
      </c>
      <c r="I1048" s="7">
        <v>1190</v>
      </c>
      <c r="J1048" s="7" t="str">
        <f t="shared" si="50"/>
        <v>&gt;₹500</v>
      </c>
      <c r="K1048" s="1">
        <v>0.48</v>
      </c>
      <c r="L1048" s="1" t="str">
        <f t="shared" si="48"/>
        <v>&lt;50%</v>
      </c>
      <c r="M1048">
        <v>4.0999999999999996</v>
      </c>
      <c r="N1048" s="2">
        <v>37126</v>
      </c>
      <c r="O1048" s="5">
        <f t="shared" si="49"/>
        <v>44179940</v>
      </c>
      <c r="P1048">
        <f>MAX(Table1[RATING COUNT])</f>
        <v>426973</v>
      </c>
    </row>
    <row r="1049" spans="1:16">
      <c r="A1049" t="s">
        <v>2543</v>
      </c>
      <c r="B1049" t="s">
        <v>1008</v>
      </c>
      <c r="D1049" t="s">
        <v>1416</v>
      </c>
      <c r="E1049" t="s">
        <v>1508</v>
      </c>
      <c r="F1049" t="s">
        <v>1509</v>
      </c>
      <c r="G1049" t="s">
        <v>1522</v>
      </c>
      <c r="H1049" s="7">
        <v>1499</v>
      </c>
      <c r="I1049" s="7">
        <v>2100</v>
      </c>
      <c r="J1049" s="7" t="str">
        <f t="shared" si="50"/>
        <v>&gt;₹500</v>
      </c>
      <c r="K1049" s="1">
        <v>0.28999999999999998</v>
      </c>
      <c r="L1049" s="1" t="str">
        <f t="shared" si="48"/>
        <v>&lt;50%</v>
      </c>
      <c r="M1049">
        <v>4.0999999999999996</v>
      </c>
      <c r="N1049" s="2">
        <v>6355</v>
      </c>
      <c r="O1049" s="5">
        <f t="shared" si="49"/>
        <v>13345500</v>
      </c>
      <c r="P1049">
        <f>MAX(Table1[RATING COUNT])</f>
        <v>426973</v>
      </c>
    </row>
    <row r="1050" spans="1:16">
      <c r="A1050" t="s">
        <v>2544</v>
      </c>
      <c r="B1050" t="s">
        <v>1009</v>
      </c>
      <c r="D1050" t="s">
        <v>1416</v>
      </c>
      <c r="E1050" t="s">
        <v>1508</v>
      </c>
      <c r="F1050" t="s">
        <v>1509</v>
      </c>
      <c r="G1050" t="s">
        <v>1537</v>
      </c>
      <c r="H1050" s="7">
        <v>199</v>
      </c>
      <c r="I1050" s="7">
        <v>499</v>
      </c>
      <c r="J1050" s="7" t="str">
        <f t="shared" si="50"/>
        <v>₹200–₹500</v>
      </c>
      <c r="K1050" s="1">
        <v>0.6</v>
      </c>
      <c r="L1050" s="1" t="str">
        <f t="shared" si="48"/>
        <v>50% or More</v>
      </c>
      <c r="M1050">
        <v>3.3</v>
      </c>
      <c r="N1050" s="2">
        <v>12</v>
      </c>
      <c r="O1050" s="5">
        <f t="shared" si="49"/>
        <v>5988</v>
      </c>
      <c r="P1050">
        <f>MAX(Table1[RATING COUNT])</f>
        <v>426973</v>
      </c>
    </row>
    <row r="1051" spans="1:16">
      <c r="A1051" t="s">
        <v>2545</v>
      </c>
      <c r="B1051" t="s">
        <v>1010</v>
      </c>
      <c r="D1051" t="s">
        <v>1416</v>
      </c>
      <c r="E1051" t="s">
        <v>1511</v>
      </c>
      <c r="F1051" t="s">
        <v>1524</v>
      </c>
      <c r="G1051" t="s">
        <v>1527</v>
      </c>
      <c r="H1051" s="7">
        <v>610</v>
      </c>
      <c r="I1051" s="7">
        <v>825</v>
      </c>
      <c r="J1051" s="7" t="str">
        <f t="shared" si="50"/>
        <v>&gt;₹500</v>
      </c>
      <c r="K1051" s="1">
        <v>0.26</v>
      </c>
      <c r="L1051" s="1" t="str">
        <f t="shared" si="48"/>
        <v>&lt;50%</v>
      </c>
      <c r="M1051">
        <v>4.0999999999999996</v>
      </c>
      <c r="N1051" s="2">
        <v>13165</v>
      </c>
      <c r="O1051" s="5">
        <f t="shared" si="49"/>
        <v>10861125</v>
      </c>
      <c r="P1051">
        <f>MAX(Table1[RATING COUNT])</f>
        <v>426973</v>
      </c>
    </row>
    <row r="1052" spans="1:16">
      <c r="A1052" t="s">
        <v>2546</v>
      </c>
      <c r="B1052" t="s">
        <v>1011</v>
      </c>
      <c r="D1052" t="s">
        <v>1416</v>
      </c>
      <c r="E1052" t="s">
        <v>1508</v>
      </c>
      <c r="F1052" t="s">
        <v>1509</v>
      </c>
      <c r="G1052" t="s">
        <v>1536</v>
      </c>
      <c r="H1052" s="7">
        <v>999</v>
      </c>
      <c r="I1052" s="7">
        <v>1499</v>
      </c>
      <c r="J1052" s="7" t="str">
        <f t="shared" si="50"/>
        <v>&gt;₹500</v>
      </c>
      <c r="K1052" s="1">
        <v>0.33</v>
      </c>
      <c r="L1052" s="1" t="str">
        <f t="shared" si="48"/>
        <v>&lt;50%</v>
      </c>
      <c r="M1052">
        <v>4.0999999999999996</v>
      </c>
      <c r="N1052" s="2">
        <v>1646</v>
      </c>
      <c r="O1052" s="5">
        <f t="shared" si="49"/>
        <v>2467354</v>
      </c>
      <c r="P1052">
        <f>MAX(Table1[RATING COUNT])</f>
        <v>426973</v>
      </c>
    </row>
    <row r="1053" spans="1:16">
      <c r="A1053" t="s">
        <v>2547</v>
      </c>
      <c r="B1053" t="s">
        <v>1012</v>
      </c>
      <c r="D1053" t="s">
        <v>1416</v>
      </c>
      <c r="E1053" t="s">
        <v>1508</v>
      </c>
      <c r="F1053" t="s">
        <v>1515</v>
      </c>
      <c r="G1053" t="s">
        <v>1533</v>
      </c>
      <c r="H1053" s="7">
        <v>8999</v>
      </c>
      <c r="I1053" s="7">
        <v>9995</v>
      </c>
      <c r="J1053" s="7" t="str">
        <f t="shared" si="50"/>
        <v>&gt;₹500</v>
      </c>
      <c r="K1053" s="1">
        <v>0.1</v>
      </c>
      <c r="L1053" s="1" t="str">
        <f t="shared" si="48"/>
        <v>&lt;50%</v>
      </c>
      <c r="M1053">
        <v>4.4000000000000004</v>
      </c>
      <c r="N1053" s="2">
        <v>17994</v>
      </c>
      <c r="O1053" s="5">
        <f t="shared" si="49"/>
        <v>179850030</v>
      </c>
      <c r="P1053">
        <f>MAX(Table1[RATING COUNT])</f>
        <v>426973</v>
      </c>
    </row>
    <row r="1054" spans="1:16">
      <c r="A1054" t="s">
        <v>2548</v>
      </c>
      <c r="B1054" t="s">
        <v>1013</v>
      </c>
      <c r="D1054" t="s">
        <v>1416</v>
      </c>
      <c r="E1054" t="s">
        <v>1508</v>
      </c>
      <c r="F1054" t="s">
        <v>1515</v>
      </c>
      <c r="G1054" t="s">
        <v>1516</v>
      </c>
      <c r="H1054" s="7">
        <v>453</v>
      </c>
      <c r="I1054" s="7">
        <v>999</v>
      </c>
      <c r="J1054" s="7" t="str">
        <f t="shared" si="50"/>
        <v>&gt;₹500</v>
      </c>
      <c r="K1054" s="1">
        <v>0.55000000000000004</v>
      </c>
      <c r="L1054" s="1" t="str">
        <f t="shared" si="48"/>
        <v>50% or More</v>
      </c>
      <c r="M1054">
        <v>4.3</v>
      </c>
      <c r="N1054" s="2">
        <v>610</v>
      </c>
      <c r="O1054" s="5">
        <f t="shared" si="49"/>
        <v>609390</v>
      </c>
      <c r="P1054">
        <f>MAX(Table1[RATING COUNT])</f>
        <v>426973</v>
      </c>
    </row>
    <row r="1055" spans="1:16">
      <c r="A1055" t="s">
        <v>2549</v>
      </c>
      <c r="B1055" t="s">
        <v>1014</v>
      </c>
      <c r="D1055" t="s">
        <v>1416</v>
      </c>
      <c r="E1055" t="s">
        <v>1508</v>
      </c>
      <c r="F1055" t="s">
        <v>1509</v>
      </c>
      <c r="G1055" t="s">
        <v>1523</v>
      </c>
      <c r="H1055" s="7">
        <v>2464</v>
      </c>
      <c r="I1055" s="7">
        <v>6000</v>
      </c>
      <c r="J1055" s="7" t="str">
        <f t="shared" si="50"/>
        <v>&gt;₹500</v>
      </c>
      <c r="K1055" s="1">
        <v>0.59</v>
      </c>
      <c r="L1055" s="1" t="str">
        <f t="shared" si="48"/>
        <v>50% or More</v>
      </c>
      <c r="M1055">
        <v>4.0999999999999996</v>
      </c>
      <c r="N1055" s="2">
        <v>8866</v>
      </c>
      <c r="O1055" s="5">
        <f t="shared" si="49"/>
        <v>53196000</v>
      </c>
      <c r="P1055">
        <f>MAX(Table1[RATING COUNT])</f>
        <v>426973</v>
      </c>
    </row>
    <row r="1056" spans="1:16">
      <c r="A1056" t="s">
        <v>2550</v>
      </c>
      <c r="B1056" t="s">
        <v>1015</v>
      </c>
      <c r="D1056" t="s">
        <v>1416</v>
      </c>
      <c r="E1056" t="s">
        <v>1508</v>
      </c>
      <c r="F1056" t="s">
        <v>1509</v>
      </c>
      <c r="G1056" t="s">
        <v>1551</v>
      </c>
      <c r="H1056" s="7">
        <v>2719</v>
      </c>
      <c r="I1056" s="7">
        <v>3945</v>
      </c>
      <c r="J1056" s="7" t="str">
        <f t="shared" si="50"/>
        <v>&gt;₹500</v>
      </c>
      <c r="K1056" s="1">
        <v>0.31</v>
      </c>
      <c r="L1056" s="1" t="str">
        <f t="shared" si="48"/>
        <v>&lt;50%</v>
      </c>
      <c r="M1056">
        <v>3.7</v>
      </c>
      <c r="N1056" s="2">
        <v>13406</v>
      </c>
      <c r="O1056" s="5">
        <f t="shared" si="49"/>
        <v>52886670</v>
      </c>
      <c r="P1056">
        <f>MAX(Table1[RATING COUNT])</f>
        <v>426973</v>
      </c>
    </row>
    <row r="1057" spans="1:16">
      <c r="A1057" t="s">
        <v>2551</v>
      </c>
      <c r="B1057" t="s">
        <v>1016</v>
      </c>
      <c r="D1057" t="s">
        <v>1416</v>
      </c>
      <c r="E1057" t="s">
        <v>1511</v>
      </c>
      <c r="F1057" t="s">
        <v>1524</v>
      </c>
      <c r="G1057" t="s">
        <v>1525</v>
      </c>
      <c r="H1057" s="7">
        <v>1439</v>
      </c>
      <c r="I1057" s="7">
        <v>1999</v>
      </c>
      <c r="J1057" s="7" t="str">
        <f t="shared" si="50"/>
        <v>&gt;₹500</v>
      </c>
      <c r="K1057" s="1">
        <v>0.28000000000000003</v>
      </c>
      <c r="L1057" s="1" t="str">
        <f t="shared" si="48"/>
        <v>&lt;50%</v>
      </c>
      <c r="M1057">
        <v>4.8</v>
      </c>
      <c r="N1057" s="2">
        <v>53803</v>
      </c>
      <c r="O1057" s="5">
        <f t="shared" si="49"/>
        <v>107552197</v>
      </c>
      <c r="P1057">
        <f>MAX(Table1[RATING COUNT])</f>
        <v>426973</v>
      </c>
    </row>
    <row r="1058" spans="1:16">
      <c r="A1058" t="s">
        <v>2552</v>
      </c>
      <c r="B1058" t="s">
        <v>1017</v>
      </c>
      <c r="D1058" t="s">
        <v>1416</v>
      </c>
      <c r="E1058" t="s">
        <v>1508</v>
      </c>
      <c r="F1058" t="s">
        <v>1509</v>
      </c>
      <c r="G1058" t="s">
        <v>1522</v>
      </c>
      <c r="H1058" s="7">
        <v>2799</v>
      </c>
      <c r="I1058" s="7">
        <v>3499</v>
      </c>
      <c r="J1058" s="7" t="str">
        <f t="shared" si="50"/>
        <v>&gt;₹500</v>
      </c>
      <c r="K1058" s="1">
        <v>0.2</v>
      </c>
      <c r="L1058" s="1" t="str">
        <f t="shared" si="48"/>
        <v>&lt;50%</v>
      </c>
      <c r="M1058">
        <v>4.5</v>
      </c>
      <c r="N1058" s="2">
        <v>546</v>
      </c>
      <c r="O1058" s="5">
        <f t="shared" si="49"/>
        <v>1910454</v>
      </c>
      <c r="P1058">
        <f>MAX(Table1[RATING COUNT])</f>
        <v>426973</v>
      </c>
    </row>
    <row r="1059" spans="1:16">
      <c r="A1059" t="s">
        <v>2553</v>
      </c>
      <c r="B1059" t="s">
        <v>1018</v>
      </c>
      <c r="D1059" t="s">
        <v>1416</v>
      </c>
      <c r="E1059" t="s">
        <v>1511</v>
      </c>
      <c r="F1059" t="s">
        <v>1524</v>
      </c>
      <c r="G1059" t="s">
        <v>1525</v>
      </c>
      <c r="H1059" s="7">
        <v>2088</v>
      </c>
      <c r="I1059" s="7">
        <v>5550</v>
      </c>
      <c r="J1059" s="7" t="str">
        <f t="shared" si="50"/>
        <v>&gt;₹500</v>
      </c>
      <c r="K1059" s="1">
        <v>0.62</v>
      </c>
      <c r="L1059" s="1" t="str">
        <f t="shared" si="48"/>
        <v>50% or More</v>
      </c>
      <c r="M1059">
        <v>4</v>
      </c>
      <c r="N1059" s="2">
        <v>5292</v>
      </c>
      <c r="O1059" s="5">
        <f t="shared" si="49"/>
        <v>29370600</v>
      </c>
      <c r="P1059">
        <f>MAX(Table1[RATING COUNT])</f>
        <v>426973</v>
      </c>
    </row>
    <row r="1060" spans="1:16">
      <c r="A1060" t="s">
        <v>2554</v>
      </c>
      <c r="B1060" t="s">
        <v>1019</v>
      </c>
      <c r="D1060" t="s">
        <v>1416</v>
      </c>
      <c r="E1060" t="s">
        <v>1511</v>
      </c>
      <c r="F1060" t="s">
        <v>1524</v>
      </c>
      <c r="G1060" t="s">
        <v>1525</v>
      </c>
      <c r="H1060" s="7">
        <v>2399</v>
      </c>
      <c r="I1060" s="7">
        <v>4590</v>
      </c>
      <c r="J1060" s="7" t="str">
        <f t="shared" si="50"/>
        <v>&gt;₹500</v>
      </c>
      <c r="K1060" s="1">
        <v>0.48</v>
      </c>
      <c r="L1060" s="1" t="str">
        <f t="shared" si="48"/>
        <v>&lt;50%</v>
      </c>
      <c r="M1060">
        <v>4.0999999999999996</v>
      </c>
      <c r="N1060" s="2">
        <v>444</v>
      </c>
      <c r="O1060" s="5">
        <f t="shared" si="49"/>
        <v>2037960</v>
      </c>
      <c r="P1060">
        <f>MAX(Table1[RATING COUNT])</f>
        <v>426973</v>
      </c>
    </row>
    <row r="1061" spans="1:16">
      <c r="A1061" t="s">
        <v>2555</v>
      </c>
      <c r="B1061" t="s">
        <v>1020</v>
      </c>
      <c r="D1061" t="s">
        <v>1416</v>
      </c>
      <c r="E1061" t="s">
        <v>1508</v>
      </c>
      <c r="F1061" t="s">
        <v>1509</v>
      </c>
      <c r="G1061" t="s">
        <v>1517</v>
      </c>
      <c r="H1061" s="7">
        <v>308</v>
      </c>
      <c r="I1061" s="7">
        <v>499</v>
      </c>
      <c r="J1061" s="7" t="str">
        <f t="shared" si="50"/>
        <v>₹200–₹500</v>
      </c>
      <c r="K1061" s="1">
        <v>0.38</v>
      </c>
      <c r="L1061" s="1" t="str">
        <f t="shared" si="48"/>
        <v>&lt;50%</v>
      </c>
      <c r="M1061">
        <v>3.9</v>
      </c>
      <c r="N1061" s="2">
        <v>4584</v>
      </c>
      <c r="O1061" s="5">
        <f t="shared" si="49"/>
        <v>2287416</v>
      </c>
      <c r="P1061">
        <f>MAX(Table1[RATING COUNT])</f>
        <v>426973</v>
      </c>
    </row>
    <row r="1062" spans="1:16">
      <c r="A1062" t="s">
        <v>2556</v>
      </c>
      <c r="B1062" t="s">
        <v>1021</v>
      </c>
      <c r="D1062" t="s">
        <v>1416</v>
      </c>
      <c r="E1062" t="s">
        <v>1511</v>
      </c>
      <c r="F1062" t="s">
        <v>1524</v>
      </c>
      <c r="G1062" t="s">
        <v>1525</v>
      </c>
      <c r="H1062" s="7">
        <v>2599</v>
      </c>
      <c r="I1062" s="7">
        <v>4400</v>
      </c>
      <c r="J1062" s="7" t="str">
        <f t="shared" si="50"/>
        <v>&gt;₹500</v>
      </c>
      <c r="K1062" s="1">
        <v>0.41</v>
      </c>
      <c r="L1062" s="1" t="str">
        <f t="shared" si="48"/>
        <v>&lt;50%</v>
      </c>
      <c r="M1062">
        <v>4.0999999999999996</v>
      </c>
      <c r="N1062" s="2">
        <v>14947</v>
      </c>
      <c r="O1062" s="5">
        <f t="shared" si="49"/>
        <v>65766800</v>
      </c>
      <c r="P1062">
        <f>MAX(Table1[RATING COUNT])</f>
        <v>426973</v>
      </c>
    </row>
    <row r="1063" spans="1:16">
      <c r="A1063" t="s">
        <v>2557</v>
      </c>
      <c r="B1063" t="s">
        <v>1022</v>
      </c>
      <c r="D1063" t="s">
        <v>1416</v>
      </c>
      <c r="E1063" t="s">
        <v>1508</v>
      </c>
      <c r="F1063" t="s">
        <v>1515</v>
      </c>
      <c r="G1063" t="s">
        <v>1516</v>
      </c>
      <c r="H1063" s="7">
        <v>479</v>
      </c>
      <c r="I1063" s="7">
        <v>1000</v>
      </c>
      <c r="J1063" s="7" t="str">
        <f t="shared" si="50"/>
        <v>&gt;₹500</v>
      </c>
      <c r="K1063" s="1">
        <v>0.52</v>
      </c>
      <c r="L1063" s="1" t="str">
        <f t="shared" si="48"/>
        <v>50% or More</v>
      </c>
      <c r="M1063">
        <v>4.2</v>
      </c>
      <c r="N1063" s="2">
        <v>1559</v>
      </c>
      <c r="O1063" s="5">
        <f t="shared" si="49"/>
        <v>1559000</v>
      </c>
      <c r="P1063">
        <f>MAX(Table1[RATING COUNT])</f>
        <v>426973</v>
      </c>
    </row>
    <row r="1064" spans="1:16">
      <c r="A1064" t="s">
        <v>2558</v>
      </c>
      <c r="B1064" t="s">
        <v>1023</v>
      </c>
      <c r="D1064" t="s">
        <v>1416</v>
      </c>
      <c r="E1064" t="s">
        <v>1508</v>
      </c>
      <c r="F1064" t="s">
        <v>1515</v>
      </c>
      <c r="G1064" t="s">
        <v>1516</v>
      </c>
      <c r="H1064" s="7">
        <v>245</v>
      </c>
      <c r="I1064" s="7">
        <v>299</v>
      </c>
      <c r="J1064" s="7" t="str">
        <f t="shared" si="50"/>
        <v>₹200–₹500</v>
      </c>
      <c r="K1064" s="1">
        <v>0.18</v>
      </c>
      <c r="L1064" s="1" t="str">
        <f t="shared" si="48"/>
        <v>&lt;50%</v>
      </c>
      <c r="M1064">
        <v>4.0999999999999996</v>
      </c>
      <c r="N1064" s="2">
        <v>1660</v>
      </c>
      <c r="O1064" s="5">
        <f t="shared" si="49"/>
        <v>496340</v>
      </c>
      <c r="P1064">
        <f>MAX(Table1[RATING COUNT])</f>
        <v>426973</v>
      </c>
    </row>
    <row r="1065" spans="1:16">
      <c r="A1065" t="s">
        <v>2559</v>
      </c>
      <c r="B1065" t="s">
        <v>1024</v>
      </c>
      <c r="D1065" t="s">
        <v>1416</v>
      </c>
      <c r="E1065" t="s">
        <v>1508</v>
      </c>
      <c r="F1065" t="s">
        <v>1515</v>
      </c>
      <c r="G1065" t="s">
        <v>1516</v>
      </c>
      <c r="H1065" s="7">
        <v>179</v>
      </c>
      <c r="I1065" s="7">
        <v>799</v>
      </c>
      <c r="J1065" s="7" t="str">
        <f t="shared" si="50"/>
        <v>&gt;₹500</v>
      </c>
      <c r="K1065" s="1">
        <v>0.78</v>
      </c>
      <c r="L1065" s="1" t="str">
        <f t="shared" si="48"/>
        <v>50% or More</v>
      </c>
      <c r="M1065">
        <v>3.5</v>
      </c>
      <c r="N1065" s="2">
        <v>132</v>
      </c>
      <c r="O1065" s="5">
        <f t="shared" si="49"/>
        <v>105468</v>
      </c>
      <c r="P1065">
        <f>MAX(Table1[RATING COUNT])</f>
        <v>426973</v>
      </c>
    </row>
    <row r="1066" spans="1:16">
      <c r="A1066" t="s">
        <v>2560</v>
      </c>
      <c r="B1066" t="s">
        <v>1025</v>
      </c>
      <c r="D1066" t="s">
        <v>1416</v>
      </c>
      <c r="E1066" t="s">
        <v>1511</v>
      </c>
      <c r="F1066" t="s">
        <v>1538</v>
      </c>
      <c r="G1066" t="s">
        <v>1539</v>
      </c>
      <c r="H1066" s="7">
        <v>3569</v>
      </c>
      <c r="I1066" s="7">
        <v>5190</v>
      </c>
      <c r="J1066" s="7" t="str">
        <f t="shared" si="50"/>
        <v>&gt;₹500</v>
      </c>
      <c r="K1066" s="1">
        <v>0.31</v>
      </c>
      <c r="L1066" s="1" t="str">
        <f t="shared" si="48"/>
        <v>&lt;50%</v>
      </c>
      <c r="M1066">
        <v>4.3</v>
      </c>
      <c r="N1066" s="2">
        <v>28629</v>
      </c>
      <c r="O1066" s="5">
        <f t="shared" si="49"/>
        <v>148584510</v>
      </c>
      <c r="P1066">
        <f>MAX(Table1[RATING COUNT])</f>
        <v>426973</v>
      </c>
    </row>
    <row r="1067" spans="1:16">
      <c r="A1067" t="s">
        <v>2561</v>
      </c>
      <c r="B1067" t="s">
        <v>1026</v>
      </c>
      <c r="D1067" t="s">
        <v>1416</v>
      </c>
      <c r="E1067" t="s">
        <v>1508</v>
      </c>
      <c r="F1067" t="s">
        <v>1509</v>
      </c>
      <c r="G1067" t="s">
        <v>1510</v>
      </c>
      <c r="H1067" s="7">
        <v>699</v>
      </c>
      <c r="I1067" s="7">
        <v>1345</v>
      </c>
      <c r="J1067" s="7" t="str">
        <f t="shared" si="50"/>
        <v>&gt;₹500</v>
      </c>
      <c r="K1067" s="1">
        <v>0.48</v>
      </c>
      <c r="L1067" s="1" t="str">
        <f t="shared" si="48"/>
        <v>&lt;50%</v>
      </c>
      <c r="M1067">
        <v>3.9</v>
      </c>
      <c r="N1067" s="2">
        <v>8446</v>
      </c>
      <c r="O1067" s="5">
        <f t="shared" si="49"/>
        <v>11359870</v>
      </c>
      <c r="P1067">
        <f>MAX(Table1[RATING COUNT])</f>
        <v>426973</v>
      </c>
    </row>
    <row r="1068" spans="1:16">
      <c r="A1068" t="s">
        <v>2562</v>
      </c>
      <c r="B1068" t="s">
        <v>1027</v>
      </c>
      <c r="D1068" t="s">
        <v>1416</v>
      </c>
      <c r="E1068" t="s">
        <v>1508</v>
      </c>
      <c r="F1068" t="s">
        <v>1509</v>
      </c>
      <c r="G1068" t="s">
        <v>1521</v>
      </c>
      <c r="H1068" s="7">
        <v>2089</v>
      </c>
      <c r="I1068" s="7">
        <v>4000</v>
      </c>
      <c r="J1068" s="7" t="str">
        <f t="shared" si="50"/>
        <v>&gt;₹500</v>
      </c>
      <c r="K1068" s="1">
        <v>0.48</v>
      </c>
      <c r="L1068" s="1" t="str">
        <f t="shared" si="48"/>
        <v>&lt;50%</v>
      </c>
      <c r="M1068">
        <v>4.2</v>
      </c>
      <c r="N1068" s="2">
        <v>11199</v>
      </c>
      <c r="O1068" s="5">
        <f t="shared" si="49"/>
        <v>44796000</v>
      </c>
      <c r="P1068">
        <f>MAX(Table1[RATING COUNT])</f>
        <v>426973</v>
      </c>
    </row>
    <row r="1069" spans="1:16">
      <c r="A1069" t="s">
        <v>2563</v>
      </c>
      <c r="B1069" t="s">
        <v>1028</v>
      </c>
      <c r="D1069" t="s">
        <v>1552</v>
      </c>
      <c r="E1069" t="s">
        <v>1553</v>
      </c>
      <c r="F1069" t="s">
        <v>1554</v>
      </c>
      <c r="G1069" t="s">
        <v>1555</v>
      </c>
      <c r="H1069" s="7">
        <v>2339</v>
      </c>
      <c r="I1069" s="7">
        <v>4000</v>
      </c>
      <c r="J1069" s="7" t="str">
        <f t="shared" si="50"/>
        <v>&gt;₹500</v>
      </c>
      <c r="K1069" s="1">
        <v>0.42</v>
      </c>
      <c r="L1069" s="1" t="str">
        <f t="shared" si="48"/>
        <v>&lt;50%</v>
      </c>
      <c r="M1069">
        <v>3.8</v>
      </c>
      <c r="N1069" s="2">
        <v>1118</v>
      </c>
      <c r="O1069" s="5">
        <f t="shared" si="49"/>
        <v>4472000</v>
      </c>
      <c r="P1069">
        <f>MAX(Table1[RATING COUNT])</f>
        <v>426973</v>
      </c>
    </row>
    <row r="1070" spans="1:16">
      <c r="A1070" t="s">
        <v>2564</v>
      </c>
      <c r="B1070" t="s">
        <v>1029</v>
      </c>
      <c r="D1070" t="s">
        <v>1416</v>
      </c>
      <c r="E1070" t="s">
        <v>1511</v>
      </c>
      <c r="F1070" t="s">
        <v>1512</v>
      </c>
      <c r="G1070" t="s">
        <v>1514</v>
      </c>
      <c r="H1070" s="7">
        <v>784</v>
      </c>
      <c r="I1070" s="7">
        <v>1599</v>
      </c>
      <c r="J1070" s="7" t="str">
        <f t="shared" si="50"/>
        <v>&gt;₹500</v>
      </c>
      <c r="K1070" s="1">
        <v>0.51</v>
      </c>
      <c r="L1070" s="1" t="str">
        <f t="shared" si="48"/>
        <v>50% or More</v>
      </c>
      <c r="M1070">
        <v>4.5</v>
      </c>
      <c r="N1070" s="2">
        <v>11</v>
      </c>
      <c r="O1070" s="5">
        <f t="shared" si="49"/>
        <v>17589</v>
      </c>
      <c r="P1070">
        <f>MAX(Table1[RATING COUNT])</f>
        <v>426973</v>
      </c>
    </row>
    <row r="1071" spans="1:16">
      <c r="A1071" t="s">
        <v>2565</v>
      </c>
      <c r="B1071" t="s">
        <v>1030</v>
      </c>
      <c r="D1071" t="s">
        <v>1416</v>
      </c>
      <c r="E1071" t="s">
        <v>1508</v>
      </c>
      <c r="F1071" t="s">
        <v>1515</v>
      </c>
      <c r="G1071" t="s">
        <v>1533</v>
      </c>
      <c r="H1071" s="7">
        <v>5499</v>
      </c>
      <c r="I1071" s="7">
        <v>9999</v>
      </c>
      <c r="J1071" s="7" t="str">
        <f t="shared" si="50"/>
        <v>&gt;₹500</v>
      </c>
      <c r="K1071" s="1">
        <v>0.45</v>
      </c>
      <c r="L1071" s="1" t="str">
        <f t="shared" si="48"/>
        <v>&lt;50%</v>
      </c>
      <c r="M1071">
        <v>3.8</v>
      </c>
      <c r="N1071" s="2">
        <v>4353</v>
      </c>
      <c r="O1071" s="5">
        <f t="shared" si="49"/>
        <v>43525647</v>
      </c>
      <c r="P1071">
        <f>MAX(Table1[RATING COUNT])</f>
        <v>426973</v>
      </c>
    </row>
    <row r="1072" spans="1:16">
      <c r="A1072" t="s">
        <v>2566</v>
      </c>
      <c r="B1072" t="s">
        <v>1031</v>
      </c>
      <c r="D1072" t="s">
        <v>1416</v>
      </c>
      <c r="E1072" t="s">
        <v>1511</v>
      </c>
      <c r="F1072" t="s">
        <v>1512</v>
      </c>
      <c r="G1072" t="s">
        <v>1514</v>
      </c>
      <c r="H1072" s="7">
        <v>899</v>
      </c>
      <c r="I1072" s="7">
        <v>1990</v>
      </c>
      <c r="J1072" s="7" t="str">
        <f t="shared" si="50"/>
        <v>&gt;₹500</v>
      </c>
      <c r="K1072" s="1">
        <v>0.55000000000000004</v>
      </c>
      <c r="L1072" s="1" t="str">
        <f t="shared" si="48"/>
        <v>50% or More</v>
      </c>
      <c r="M1072">
        <v>4.0999999999999996</v>
      </c>
      <c r="N1072" s="2">
        <v>185</v>
      </c>
      <c r="O1072" s="5">
        <f t="shared" si="49"/>
        <v>368150</v>
      </c>
      <c r="P1072">
        <f>MAX(Table1[RATING COUNT])</f>
        <v>426973</v>
      </c>
    </row>
    <row r="1073" spans="1:16">
      <c r="A1073" t="s">
        <v>2567</v>
      </c>
      <c r="B1073" t="s">
        <v>1032</v>
      </c>
      <c r="D1073" t="s">
        <v>1416</v>
      </c>
      <c r="E1073" t="s">
        <v>1508</v>
      </c>
      <c r="F1073" t="s">
        <v>1509</v>
      </c>
      <c r="G1073" t="s">
        <v>1522</v>
      </c>
      <c r="H1073" s="7">
        <v>1695</v>
      </c>
      <c r="I1073" s="7">
        <v>1695</v>
      </c>
      <c r="J1073" s="7" t="str">
        <f t="shared" si="50"/>
        <v>&gt;₹500</v>
      </c>
      <c r="K1073" s="1">
        <v>0</v>
      </c>
      <c r="L1073" s="1" t="str">
        <f t="shared" si="48"/>
        <v>&lt;50%</v>
      </c>
      <c r="M1073">
        <v>4.2</v>
      </c>
      <c r="N1073" s="2">
        <v>14290</v>
      </c>
      <c r="O1073" s="5">
        <f t="shared" si="49"/>
        <v>24221550</v>
      </c>
      <c r="P1073">
        <f>MAX(Table1[RATING COUNT])</f>
        <v>426973</v>
      </c>
    </row>
    <row r="1074" spans="1:16">
      <c r="A1074" t="s">
        <v>2568</v>
      </c>
      <c r="B1074" t="s">
        <v>1033</v>
      </c>
      <c r="D1074" t="s">
        <v>1416</v>
      </c>
      <c r="E1074" t="s">
        <v>1508</v>
      </c>
      <c r="F1074" t="s">
        <v>1515</v>
      </c>
      <c r="G1074" t="s">
        <v>1516</v>
      </c>
      <c r="H1074" s="7">
        <v>499</v>
      </c>
      <c r="I1074" s="7">
        <v>940</v>
      </c>
      <c r="J1074" s="7" t="str">
        <f t="shared" si="50"/>
        <v>&gt;₹500</v>
      </c>
      <c r="K1074" s="1">
        <v>0.47</v>
      </c>
      <c r="L1074" s="1" t="str">
        <f t="shared" si="48"/>
        <v>&lt;50%</v>
      </c>
      <c r="M1074">
        <v>4.0999999999999996</v>
      </c>
      <c r="N1074" s="2">
        <v>3036</v>
      </c>
      <c r="O1074" s="5">
        <f t="shared" si="49"/>
        <v>2853840</v>
      </c>
      <c r="P1074">
        <f>MAX(Table1[RATING COUNT])</f>
        <v>426973</v>
      </c>
    </row>
    <row r="1075" spans="1:16">
      <c r="A1075" t="s">
        <v>2569</v>
      </c>
      <c r="B1075" t="s">
        <v>1034</v>
      </c>
      <c r="D1075" t="s">
        <v>1416</v>
      </c>
      <c r="E1075" t="s">
        <v>1511</v>
      </c>
      <c r="F1075" t="s">
        <v>1524</v>
      </c>
      <c r="G1075" t="s">
        <v>1525</v>
      </c>
      <c r="H1075" s="7">
        <v>2699</v>
      </c>
      <c r="I1075" s="7">
        <v>4700</v>
      </c>
      <c r="J1075" s="7" t="str">
        <f t="shared" si="50"/>
        <v>&gt;₹500</v>
      </c>
      <c r="K1075" s="1">
        <v>0.43</v>
      </c>
      <c r="L1075" s="1" t="str">
        <f t="shared" si="48"/>
        <v>&lt;50%</v>
      </c>
      <c r="M1075">
        <v>4.2</v>
      </c>
      <c r="N1075" s="2">
        <v>1296</v>
      </c>
      <c r="O1075" s="5">
        <f t="shared" si="49"/>
        <v>6091200</v>
      </c>
      <c r="P1075">
        <f>MAX(Table1[RATING COUNT])</f>
        <v>426973</v>
      </c>
    </row>
    <row r="1076" spans="1:16">
      <c r="A1076" t="s">
        <v>2570</v>
      </c>
      <c r="B1076" t="s">
        <v>1035</v>
      </c>
      <c r="D1076" t="s">
        <v>1416</v>
      </c>
      <c r="E1076" t="s">
        <v>1511</v>
      </c>
      <c r="F1076" t="s">
        <v>1524</v>
      </c>
      <c r="G1076" t="s">
        <v>1525</v>
      </c>
      <c r="H1076" s="7">
        <v>1448</v>
      </c>
      <c r="I1076" s="7">
        <v>2999</v>
      </c>
      <c r="J1076" s="7" t="str">
        <f t="shared" si="50"/>
        <v>&gt;₹500</v>
      </c>
      <c r="K1076" s="1">
        <v>0.52</v>
      </c>
      <c r="L1076" s="1" t="str">
        <f t="shared" si="48"/>
        <v>50% or More</v>
      </c>
      <c r="M1076">
        <v>4.5</v>
      </c>
      <c r="N1076" s="2">
        <v>19</v>
      </c>
      <c r="O1076" s="5">
        <f t="shared" si="49"/>
        <v>56981</v>
      </c>
      <c r="P1076">
        <f>MAX(Table1[RATING COUNT])</f>
        <v>426973</v>
      </c>
    </row>
    <row r="1077" spans="1:16">
      <c r="A1077" t="s">
        <v>2571</v>
      </c>
      <c r="B1077" t="s">
        <v>1036</v>
      </c>
      <c r="D1077" t="s">
        <v>1416</v>
      </c>
      <c r="E1077" t="s">
        <v>1508</v>
      </c>
      <c r="F1077" t="s">
        <v>1509</v>
      </c>
      <c r="G1077" t="s">
        <v>1537</v>
      </c>
      <c r="H1077" s="7">
        <v>79</v>
      </c>
      <c r="I1077" s="7">
        <v>79</v>
      </c>
      <c r="J1077" s="7" t="str">
        <f t="shared" si="50"/>
        <v>&lt;₹200</v>
      </c>
      <c r="K1077" s="1">
        <v>0</v>
      </c>
      <c r="L1077" s="1" t="str">
        <f t="shared" si="48"/>
        <v>&lt;50%</v>
      </c>
      <c r="M1077">
        <v>4</v>
      </c>
      <c r="N1077" s="2">
        <v>97</v>
      </c>
      <c r="O1077" s="5">
        <f t="shared" si="49"/>
        <v>7663</v>
      </c>
      <c r="P1077">
        <f>MAX(Table1[RATING COUNT])</f>
        <v>426973</v>
      </c>
    </row>
    <row r="1078" spans="1:16">
      <c r="A1078" t="s">
        <v>2572</v>
      </c>
      <c r="B1078" t="s">
        <v>1037</v>
      </c>
      <c r="D1078" t="s">
        <v>1416</v>
      </c>
      <c r="E1078" t="s">
        <v>1511</v>
      </c>
      <c r="F1078" t="s">
        <v>1524</v>
      </c>
      <c r="G1078" t="s">
        <v>1526</v>
      </c>
      <c r="H1078" s="7">
        <v>6990</v>
      </c>
      <c r="I1078" s="7">
        <v>14290</v>
      </c>
      <c r="J1078" s="7" t="str">
        <f t="shared" si="50"/>
        <v>&gt;₹500</v>
      </c>
      <c r="K1078" s="1">
        <v>0.51</v>
      </c>
      <c r="L1078" s="1" t="str">
        <f t="shared" si="48"/>
        <v>50% or More</v>
      </c>
      <c r="M1078">
        <v>4.4000000000000004</v>
      </c>
      <c r="N1078" s="2">
        <v>1771</v>
      </c>
      <c r="O1078" s="5">
        <f t="shared" si="49"/>
        <v>25307590</v>
      </c>
      <c r="P1078">
        <f>MAX(Table1[RATING COUNT])</f>
        <v>426973</v>
      </c>
    </row>
    <row r="1079" spans="1:16">
      <c r="A1079" t="s">
        <v>2573</v>
      </c>
      <c r="B1079" t="s">
        <v>1038</v>
      </c>
      <c r="D1079" t="s">
        <v>1416</v>
      </c>
      <c r="E1079" t="s">
        <v>1508</v>
      </c>
      <c r="F1079" t="s">
        <v>1509</v>
      </c>
      <c r="G1079" t="s">
        <v>1521</v>
      </c>
      <c r="H1079" s="7">
        <v>2698</v>
      </c>
      <c r="I1079" s="7">
        <v>3945</v>
      </c>
      <c r="J1079" s="7" t="str">
        <f t="shared" si="50"/>
        <v>&gt;₹500</v>
      </c>
      <c r="K1079" s="1">
        <v>0.32</v>
      </c>
      <c r="L1079" s="1" t="str">
        <f t="shared" si="48"/>
        <v>&lt;50%</v>
      </c>
      <c r="M1079">
        <v>4</v>
      </c>
      <c r="N1079" s="2">
        <v>15034</v>
      </c>
      <c r="O1079" s="5">
        <f t="shared" si="49"/>
        <v>59309130</v>
      </c>
      <c r="P1079">
        <f>MAX(Table1[RATING COUNT])</f>
        <v>426973</v>
      </c>
    </row>
    <row r="1080" spans="1:16">
      <c r="A1080" t="s">
        <v>2574</v>
      </c>
      <c r="B1080" t="s">
        <v>1039</v>
      </c>
      <c r="D1080" t="s">
        <v>1416</v>
      </c>
      <c r="E1080" t="s">
        <v>1508</v>
      </c>
      <c r="F1080" t="s">
        <v>1515</v>
      </c>
      <c r="G1080" t="s">
        <v>1533</v>
      </c>
      <c r="H1080" s="7">
        <v>3199</v>
      </c>
      <c r="I1080" s="7">
        <v>5999</v>
      </c>
      <c r="J1080" s="7" t="str">
        <f t="shared" si="50"/>
        <v>&gt;₹500</v>
      </c>
      <c r="K1080" s="1">
        <v>0.47</v>
      </c>
      <c r="L1080" s="1" t="str">
        <f t="shared" si="48"/>
        <v>&lt;50%</v>
      </c>
      <c r="M1080">
        <v>4</v>
      </c>
      <c r="N1080" s="2">
        <v>3242</v>
      </c>
      <c r="O1080" s="5">
        <f t="shared" si="49"/>
        <v>19448758</v>
      </c>
      <c r="P1080">
        <f>MAX(Table1[RATING COUNT])</f>
        <v>426973</v>
      </c>
    </row>
    <row r="1081" spans="1:16">
      <c r="A1081" t="s">
        <v>2575</v>
      </c>
      <c r="B1081" t="s">
        <v>1040</v>
      </c>
      <c r="D1081" t="s">
        <v>1416</v>
      </c>
      <c r="E1081" t="s">
        <v>1508</v>
      </c>
      <c r="F1081" t="s">
        <v>1509</v>
      </c>
      <c r="G1081" t="s">
        <v>1510</v>
      </c>
      <c r="H1081" s="7">
        <v>1199</v>
      </c>
      <c r="I1081" s="7">
        <v>1950</v>
      </c>
      <c r="J1081" s="7" t="str">
        <f t="shared" si="50"/>
        <v>&gt;₹500</v>
      </c>
      <c r="K1081" s="1">
        <v>0.39</v>
      </c>
      <c r="L1081" s="1" t="str">
        <f t="shared" si="48"/>
        <v>&lt;50%</v>
      </c>
      <c r="M1081">
        <v>3.9</v>
      </c>
      <c r="N1081" s="2">
        <v>2832</v>
      </c>
      <c r="O1081" s="5">
        <f t="shared" si="49"/>
        <v>5522400</v>
      </c>
      <c r="P1081">
        <f>MAX(Table1[RATING COUNT])</f>
        <v>426973</v>
      </c>
    </row>
    <row r="1082" spans="1:16">
      <c r="A1082" t="s">
        <v>2576</v>
      </c>
      <c r="B1082" t="s">
        <v>1041</v>
      </c>
      <c r="D1082" t="s">
        <v>1416</v>
      </c>
      <c r="E1082" t="s">
        <v>1508</v>
      </c>
      <c r="F1082" t="s">
        <v>1509</v>
      </c>
      <c r="G1082" t="s">
        <v>1536</v>
      </c>
      <c r="H1082" s="7">
        <v>1414</v>
      </c>
      <c r="I1082" s="7">
        <v>2799</v>
      </c>
      <c r="J1082" s="7" t="str">
        <f t="shared" si="50"/>
        <v>&gt;₹500</v>
      </c>
      <c r="K1082" s="1">
        <v>0.49</v>
      </c>
      <c r="L1082" s="1" t="str">
        <f t="shared" si="48"/>
        <v>&lt;50%</v>
      </c>
      <c r="M1082">
        <v>4</v>
      </c>
      <c r="N1082" s="2">
        <v>1498</v>
      </c>
      <c r="O1082" s="5">
        <f t="shared" si="49"/>
        <v>4192902</v>
      </c>
      <c r="P1082">
        <f>MAX(Table1[RATING COUNT])</f>
        <v>426973</v>
      </c>
    </row>
    <row r="1083" spans="1:16">
      <c r="A1083" t="s">
        <v>2577</v>
      </c>
      <c r="B1083" t="s">
        <v>1042</v>
      </c>
      <c r="D1083" t="s">
        <v>1416</v>
      </c>
      <c r="E1083" t="s">
        <v>1508</v>
      </c>
      <c r="F1083" t="s">
        <v>1509</v>
      </c>
      <c r="G1083" t="s">
        <v>1510</v>
      </c>
      <c r="H1083" s="7">
        <v>999</v>
      </c>
      <c r="I1083" s="7">
        <v>1950</v>
      </c>
      <c r="J1083" s="7" t="str">
        <f t="shared" si="50"/>
        <v>&gt;₹500</v>
      </c>
      <c r="K1083" s="1">
        <v>0.49</v>
      </c>
      <c r="L1083" s="1" t="str">
        <f t="shared" si="48"/>
        <v>&lt;50%</v>
      </c>
      <c r="M1083">
        <v>3.8</v>
      </c>
      <c r="N1083" s="2">
        <v>305</v>
      </c>
      <c r="O1083" s="5">
        <f t="shared" si="49"/>
        <v>594750</v>
      </c>
      <c r="P1083">
        <f>MAX(Table1[RATING COUNT])</f>
        <v>426973</v>
      </c>
    </row>
    <row r="1084" spans="1:16">
      <c r="A1084" t="s">
        <v>2578</v>
      </c>
      <c r="B1084" t="s">
        <v>1043</v>
      </c>
      <c r="D1084" t="s">
        <v>1416</v>
      </c>
      <c r="E1084" t="s">
        <v>1508</v>
      </c>
      <c r="F1084" t="s">
        <v>1515</v>
      </c>
      <c r="G1084" t="s">
        <v>1533</v>
      </c>
      <c r="H1084" s="7">
        <v>5999</v>
      </c>
      <c r="I1084" s="7">
        <v>9999</v>
      </c>
      <c r="J1084" s="7" t="str">
        <f t="shared" si="50"/>
        <v>&gt;₹500</v>
      </c>
      <c r="K1084" s="1">
        <v>0.4</v>
      </c>
      <c r="L1084" s="1" t="str">
        <f t="shared" si="48"/>
        <v>&lt;50%</v>
      </c>
      <c r="M1084">
        <v>4.2</v>
      </c>
      <c r="N1084" s="2">
        <v>1191</v>
      </c>
      <c r="O1084" s="5">
        <f t="shared" si="49"/>
        <v>11908809</v>
      </c>
      <c r="P1084">
        <f>MAX(Table1[RATING COUNT])</f>
        <v>426973</v>
      </c>
    </row>
    <row r="1085" spans="1:16">
      <c r="A1085" t="s">
        <v>2579</v>
      </c>
      <c r="B1085" t="s">
        <v>1044</v>
      </c>
      <c r="D1085" t="s">
        <v>1416</v>
      </c>
      <c r="E1085" t="s">
        <v>1511</v>
      </c>
      <c r="F1085" t="s">
        <v>1556</v>
      </c>
      <c r="G1085" t="s">
        <v>1557</v>
      </c>
      <c r="H1085" s="7">
        <v>9970</v>
      </c>
      <c r="I1085" s="7">
        <v>12999</v>
      </c>
      <c r="J1085" s="7" t="str">
        <f t="shared" si="50"/>
        <v>&gt;₹500</v>
      </c>
      <c r="K1085" s="1">
        <v>0.23</v>
      </c>
      <c r="L1085" s="1" t="str">
        <f t="shared" si="48"/>
        <v>&lt;50%</v>
      </c>
      <c r="M1085">
        <v>4.3</v>
      </c>
      <c r="N1085" s="2">
        <v>4049</v>
      </c>
      <c r="O1085" s="5">
        <f t="shared" si="49"/>
        <v>52632951</v>
      </c>
      <c r="P1085">
        <f>MAX(Table1[RATING COUNT])</f>
        <v>426973</v>
      </c>
    </row>
    <row r="1086" spans="1:16">
      <c r="A1086" t="s">
        <v>2580</v>
      </c>
      <c r="B1086" t="s">
        <v>1045</v>
      </c>
      <c r="D1086" t="s">
        <v>1416</v>
      </c>
      <c r="E1086" t="s">
        <v>1508</v>
      </c>
      <c r="F1086" t="s">
        <v>1548</v>
      </c>
      <c r="G1086" t="s">
        <v>1558</v>
      </c>
      <c r="H1086" s="7">
        <v>698</v>
      </c>
      <c r="I1086" s="7">
        <v>699</v>
      </c>
      <c r="J1086" s="7" t="str">
        <f t="shared" si="50"/>
        <v>&gt;₹500</v>
      </c>
      <c r="K1086" s="1">
        <v>0</v>
      </c>
      <c r="L1086" s="1" t="str">
        <f t="shared" si="48"/>
        <v>&lt;50%</v>
      </c>
      <c r="M1086">
        <v>4.2</v>
      </c>
      <c r="N1086" s="2">
        <v>3160</v>
      </c>
      <c r="O1086" s="5">
        <f t="shared" si="49"/>
        <v>2208840</v>
      </c>
      <c r="P1086">
        <f>MAX(Table1[RATING COUNT])</f>
        <v>426973</v>
      </c>
    </row>
    <row r="1087" spans="1:16">
      <c r="A1087" t="s">
        <v>2581</v>
      </c>
      <c r="B1087" t="s">
        <v>1046</v>
      </c>
      <c r="D1087" t="s">
        <v>1416</v>
      </c>
      <c r="E1087" t="s">
        <v>1511</v>
      </c>
      <c r="F1087" t="s">
        <v>1538</v>
      </c>
      <c r="G1087" t="s">
        <v>1539</v>
      </c>
      <c r="H1087" s="7">
        <v>2199</v>
      </c>
      <c r="I1087" s="7">
        <v>3190</v>
      </c>
      <c r="J1087" s="7" t="str">
        <f t="shared" si="50"/>
        <v>&gt;₹500</v>
      </c>
      <c r="K1087" s="1">
        <v>0.31</v>
      </c>
      <c r="L1087" s="1" t="str">
        <f t="shared" si="48"/>
        <v>&lt;50%</v>
      </c>
      <c r="M1087">
        <v>4.3</v>
      </c>
      <c r="N1087" s="2">
        <v>9650</v>
      </c>
      <c r="O1087" s="5">
        <f t="shared" si="49"/>
        <v>30783500</v>
      </c>
      <c r="P1087">
        <f>MAX(Table1[RATING COUNT])</f>
        <v>426973</v>
      </c>
    </row>
    <row r="1088" spans="1:16">
      <c r="A1088" t="s">
        <v>2582</v>
      </c>
      <c r="B1088" t="s">
        <v>1047</v>
      </c>
      <c r="D1088" t="s">
        <v>1416</v>
      </c>
      <c r="E1088" t="s">
        <v>1529</v>
      </c>
      <c r="F1088" t="s">
        <v>1530</v>
      </c>
      <c r="G1088" t="s">
        <v>1559</v>
      </c>
      <c r="H1088" s="7">
        <v>320</v>
      </c>
      <c r="I1088" s="7">
        <v>799</v>
      </c>
      <c r="J1088" s="7" t="str">
        <f t="shared" si="50"/>
        <v>&gt;₹500</v>
      </c>
      <c r="K1088" s="1">
        <v>0.6</v>
      </c>
      <c r="L1088" s="1" t="str">
        <f t="shared" si="48"/>
        <v>50% or More</v>
      </c>
      <c r="M1088">
        <v>4.2</v>
      </c>
      <c r="N1088" s="2">
        <v>3846</v>
      </c>
      <c r="O1088" s="5">
        <f t="shared" si="49"/>
        <v>3072954</v>
      </c>
      <c r="P1088">
        <f>MAX(Table1[RATING COUNT])</f>
        <v>426973</v>
      </c>
    </row>
    <row r="1089" spans="1:16">
      <c r="A1089" t="s">
        <v>2583</v>
      </c>
      <c r="B1089" t="s">
        <v>1048</v>
      </c>
      <c r="D1089" t="s">
        <v>1416</v>
      </c>
      <c r="E1089" t="s">
        <v>1508</v>
      </c>
      <c r="F1089" t="s">
        <v>1515</v>
      </c>
      <c r="G1089" t="s">
        <v>1516</v>
      </c>
      <c r="H1089" s="7">
        <v>298</v>
      </c>
      <c r="I1089" s="7">
        <v>499</v>
      </c>
      <c r="J1089" s="7" t="str">
        <f t="shared" si="50"/>
        <v>₹200–₹500</v>
      </c>
      <c r="K1089" s="1">
        <v>0.4</v>
      </c>
      <c r="L1089" s="1" t="str">
        <f t="shared" si="48"/>
        <v>&lt;50%</v>
      </c>
      <c r="M1089">
        <v>4.4000000000000004</v>
      </c>
      <c r="N1089" s="2">
        <v>290</v>
      </c>
      <c r="O1089" s="5">
        <f t="shared" si="49"/>
        <v>144710</v>
      </c>
      <c r="P1089">
        <f>MAX(Table1[RATING COUNT])</f>
        <v>426973</v>
      </c>
    </row>
    <row r="1090" spans="1:16">
      <c r="A1090" t="s">
        <v>2584</v>
      </c>
      <c r="B1090" t="s">
        <v>1049</v>
      </c>
      <c r="D1090" t="s">
        <v>1416</v>
      </c>
      <c r="E1090" t="s">
        <v>1508</v>
      </c>
      <c r="F1090" t="s">
        <v>1509</v>
      </c>
      <c r="G1090" t="s">
        <v>1532</v>
      </c>
      <c r="H1090" s="7">
        <v>1199</v>
      </c>
      <c r="I1090" s="7">
        <v>1499</v>
      </c>
      <c r="J1090" s="7" t="str">
        <f t="shared" si="50"/>
        <v>&gt;₹500</v>
      </c>
      <c r="K1090" s="1">
        <v>0.2</v>
      </c>
      <c r="L1090" s="1" t="str">
        <f t="shared" ref="L1090:L1153" si="51">IF(K1090&gt;=50%,"50% or More","&lt;50%")</f>
        <v>&lt;50%</v>
      </c>
      <c r="M1090">
        <v>3.8</v>
      </c>
      <c r="N1090" s="2">
        <v>2206</v>
      </c>
      <c r="O1090" s="5">
        <f t="shared" ref="O1090:O1153" si="52">I1090*N1090</f>
        <v>3306794</v>
      </c>
      <c r="P1090">
        <f>MAX(Table1[RATING COUNT])</f>
        <v>426973</v>
      </c>
    </row>
    <row r="1091" spans="1:16">
      <c r="A1091" t="s">
        <v>2585</v>
      </c>
      <c r="B1091" t="s">
        <v>1050</v>
      </c>
      <c r="D1091" t="s">
        <v>1416</v>
      </c>
      <c r="E1091" t="s">
        <v>1511</v>
      </c>
      <c r="F1091" t="s">
        <v>1538</v>
      </c>
      <c r="G1091" t="s">
        <v>1539</v>
      </c>
      <c r="H1091" s="7">
        <v>1399</v>
      </c>
      <c r="I1091" s="7">
        <v>2660</v>
      </c>
      <c r="J1091" s="7" t="str">
        <f t="shared" ref="J1091:J1154" si="53">IF(I1091&lt;200, "&lt;₹200", IF(I1091&lt;=500, "₹200–₹500", "&gt;₹500"))</f>
        <v>&gt;₹500</v>
      </c>
      <c r="K1091" s="1">
        <v>0.47</v>
      </c>
      <c r="L1091" s="1" t="str">
        <f t="shared" si="51"/>
        <v>&lt;50%</v>
      </c>
      <c r="M1091">
        <v>4.0999999999999996</v>
      </c>
      <c r="N1091" s="2">
        <v>9349</v>
      </c>
      <c r="O1091" s="5">
        <f t="shared" si="52"/>
        <v>24868340</v>
      </c>
      <c r="P1091">
        <f>MAX(Table1[RATING COUNT])</f>
        <v>426973</v>
      </c>
    </row>
    <row r="1092" spans="1:16">
      <c r="A1092" t="s">
        <v>2586</v>
      </c>
      <c r="B1092" t="s">
        <v>1051</v>
      </c>
      <c r="D1092" t="s">
        <v>1416</v>
      </c>
      <c r="E1092" t="s">
        <v>1508</v>
      </c>
      <c r="F1092" t="s">
        <v>1509</v>
      </c>
      <c r="G1092" t="s">
        <v>1517</v>
      </c>
      <c r="H1092" s="7">
        <v>599</v>
      </c>
      <c r="I1092" s="7">
        <v>2799</v>
      </c>
      <c r="J1092" s="7" t="str">
        <f t="shared" si="53"/>
        <v>&gt;₹500</v>
      </c>
      <c r="K1092" s="1">
        <v>0.79</v>
      </c>
      <c r="L1092" s="1" t="str">
        <f t="shared" si="51"/>
        <v>50% or More</v>
      </c>
      <c r="M1092">
        <v>3.9</v>
      </c>
      <c r="N1092" s="2">
        <v>578</v>
      </c>
      <c r="O1092" s="5">
        <f t="shared" si="52"/>
        <v>1617822</v>
      </c>
      <c r="P1092">
        <f>MAX(Table1[RATING COUNT])</f>
        <v>426973</v>
      </c>
    </row>
    <row r="1093" spans="1:16">
      <c r="A1093" t="s">
        <v>2587</v>
      </c>
      <c r="B1093" t="s">
        <v>1052</v>
      </c>
      <c r="D1093" t="s">
        <v>1416</v>
      </c>
      <c r="E1093" t="s">
        <v>1508</v>
      </c>
      <c r="F1093" t="s">
        <v>1509</v>
      </c>
      <c r="G1093" t="s">
        <v>1542</v>
      </c>
      <c r="H1093" s="7">
        <v>1499</v>
      </c>
      <c r="I1093" s="7">
        <v>1499</v>
      </c>
      <c r="J1093" s="7" t="str">
        <f t="shared" si="53"/>
        <v>&gt;₹500</v>
      </c>
      <c r="K1093" s="1">
        <v>0</v>
      </c>
      <c r="L1093" s="1" t="str">
        <f t="shared" si="51"/>
        <v>&lt;50%</v>
      </c>
      <c r="M1093">
        <v>4.3</v>
      </c>
      <c r="N1093" s="2">
        <v>9331</v>
      </c>
      <c r="O1093" s="5">
        <f t="shared" si="52"/>
        <v>13987169</v>
      </c>
      <c r="P1093">
        <f>MAX(Table1[RATING COUNT])</f>
        <v>426973</v>
      </c>
    </row>
    <row r="1094" spans="1:16">
      <c r="A1094" t="s">
        <v>2588</v>
      </c>
      <c r="B1094" t="s">
        <v>1053</v>
      </c>
      <c r="D1094" t="s">
        <v>1416</v>
      </c>
      <c r="E1094" t="s">
        <v>1511</v>
      </c>
      <c r="F1094" t="s">
        <v>1556</v>
      </c>
      <c r="G1094" t="s">
        <v>1557</v>
      </c>
      <c r="H1094" s="7">
        <v>14400</v>
      </c>
      <c r="I1094" s="7">
        <v>59900</v>
      </c>
      <c r="J1094" s="7" t="str">
        <f t="shared" si="53"/>
        <v>&gt;₹500</v>
      </c>
      <c r="K1094" s="1">
        <v>0.76</v>
      </c>
      <c r="L1094" s="1" t="str">
        <f t="shared" si="51"/>
        <v>50% or More</v>
      </c>
      <c r="M1094">
        <v>4.4000000000000004</v>
      </c>
      <c r="N1094" s="2">
        <v>3837</v>
      </c>
      <c r="O1094" s="5">
        <f t="shared" si="52"/>
        <v>229836300</v>
      </c>
      <c r="P1094">
        <f>MAX(Table1[RATING COUNT])</f>
        <v>426973</v>
      </c>
    </row>
    <row r="1095" spans="1:16">
      <c r="A1095" t="s">
        <v>2589</v>
      </c>
      <c r="B1095" t="s">
        <v>1054</v>
      </c>
      <c r="D1095" t="s">
        <v>1416</v>
      </c>
      <c r="E1095" t="s">
        <v>1508</v>
      </c>
      <c r="F1095" t="s">
        <v>1548</v>
      </c>
      <c r="G1095" t="s">
        <v>1558</v>
      </c>
      <c r="H1095" s="7">
        <v>1699</v>
      </c>
      <c r="I1095" s="7">
        <v>1900</v>
      </c>
      <c r="J1095" s="7" t="str">
        <f t="shared" si="53"/>
        <v>&gt;₹500</v>
      </c>
      <c r="K1095" s="1">
        <v>0.11</v>
      </c>
      <c r="L1095" s="1" t="str">
        <f t="shared" si="51"/>
        <v>&lt;50%</v>
      </c>
      <c r="M1095">
        <v>3.6</v>
      </c>
      <c r="N1095" s="2">
        <v>11456</v>
      </c>
      <c r="O1095" s="5">
        <f t="shared" si="52"/>
        <v>21766400</v>
      </c>
      <c r="P1095">
        <f>MAX(Table1[RATING COUNT])</f>
        <v>426973</v>
      </c>
    </row>
    <row r="1096" spans="1:16">
      <c r="A1096" t="s">
        <v>2590</v>
      </c>
      <c r="B1096" t="s">
        <v>1055</v>
      </c>
      <c r="D1096" t="s">
        <v>1416</v>
      </c>
      <c r="E1096" t="s">
        <v>1511</v>
      </c>
      <c r="F1096" t="s">
        <v>1512</v>
      </c>
      <c r="G1096" t="s">
        <v>1513</v>
      </c>
      <c r="H1096" s="7">
        <v>649</v>
      </c>
      <c r="I1096" s="7">
        <v>999</v>
      </c>
      <c r="J1096" s="7" t="str">
        <f t="shared" si="53"/>
        <v>&gt;₹500</v>
      </c>
      <c r="K1096" s="1">
        <v>0.35</v>
      </c>
      <c r="L1096" s="1" t="str">
        <f t="shared" si="51"/>
        <v>&lt;50%</v>
      </c>
      <c r="M1096">
        <v>3.8</v>
      </c>
      <c r="N1096" s="2">
        <v>49</v>
      </c>
      <c r="O1096" s="5">
        <f t="shared" si="52"/>
        <v>48951</v>
      </c>
      <c r="P1096">
        <f>MAX(Table1[RATING COUNT])</f>
        <v>426973</v>
      </c>
    </row>
    <row r="1097" spans="1:16">
      <c r="A1097" t="s">
        <v>2591</v>
      </c>
      <c r="B1097" t="s">
        <v>1056</v>
      </c>
      <c r="D1097" t="s">
        <v>1416</v>
      </c>
      <c r="E1097" t="s">
        <v>1508</v>
      </c>
      <c r="F1097" t="s">
        <v>1509</v>
      </c>
      <c r="G1097" t="s">
        <v>1523</v>
      </c>
      <c r="H1097" s="7">
        <v>3249</v>
      </c>
      <c r="I1097" s="7">
        <v>6375</v>
      </c>
      <c r="J1097" s="7" t="str">
        <f t="shared" si="53"/>
        <v>&gt;₹500</v>
      </c>
      <c r="K1097" s="1">
        <v>0.49</v>
      </c>
      <c r="L1097" s="1" t="str">
        <f t="shared" si="51"/>
        <v>&lt;50%</v>
      </c>
      <c r="M1097">
        <v>4</v>
      </c>
      <c r="N1097" s="2">
        <v>4978</v>
      </c>
      <c r="O1097" s="5">
        <f t="shared" si="52"/>
        <v>31734750</v>
      </c>
      <c r="P1097">
        <f>MAX(Table1[RATING COUNT])</f>
        <v>426973</v>
      </c>
    </row>
    <row r="1098" spans="1:16">
      <c r="A1098" t="s">
        <v>2592</v>
      </c>
      <c r="B1098" t="s">
        <v>1057</v>
      </c>
      <c r="D1098" t="s">
        <v>1416</v>
      </c>
      <c r="E1098" t="s">
        <v>1529</v>
      </c>
      <c r="F1098" t="s">
        <v>1530</v>
      </c>
      <c r="G1098" t="s">
        <v>1531</v>
      </c>
      <c r="H1098" s="7">
        <v>199</v>
      </c>
      <c r="I1098" s="7">
        <v>499</v>
      </c>
      <c r="J1098" s="7" t="str">
        <f t="shared" si="53"/>
        <v>₹200–₹500</v>
      </c>
      <c r="K1098" s="1">
        <v>0.6</v>
      </c>
      <c r="L1098" s="1" t="str">
        <f t="shared" si="51"/>
        <v>50% or More</v>
      </c>
      <c r="M1098">
        <v>4.0999999999999996</v>
      </c>
      <c r="N1098" s="2">
        <v>1996</v>
      </c>
      <c r="O1098" s="5">
        <f t="shared" si="52"/>
        <v>996004</v>
      </c>
      <c r="P1098">
        <f>MAX(Table1[RATING COUNT])</f>
        <v>426973</v>
      </c>
    </row>
    <row r="1099" spans="1:16">
      <c r="A1099" t="s">
        <v>2593</v>
      </c>
      <c r="B1099" t="s">
        <v>1058</v>
      </c>
      <c r="D1099" t="s">
        <v>1416</v>
      </c>
      <c r="E1099" t="s">
        <v>1508</v>
      </c>
      <c r="F1099" t="s">
        <v>1509</v>
      </c>
      <c r="G1099" t="s">
        <v>1534</v>
      </c>
      <c r="H1099" s="7">
        <v>1099</v>
      </c>
      <c r="I1099" s="7">
        <v>1899</v>
      </c>
      <c r="J1099" s="7" t="str">
        <f t="shared" si="53"/>
        <v>&gt;₹500</v>
      </c>
      <c r="K1099" s="1">
        <v>0.42</v>
      </c>
      <c r="L1099" s="1" t="str">
        <f t="shared" si="51"/>
        <v>&lt;50%</v>
      </c>
      <c r="M1099">
        <v>4.3</v>
      </c>
      <c r="N1099" s="2">
        <v>1811</v>
      </c>
      <c r="O1099" s="5">
        <f t="shared" si="52"/>
        <v>3439089</v>
      </c>
      <c r="P1099">
        <f>MAX(Table1[RATING COUNT])</f>
        <v>426973</v>
      </c>
    </row>
    <row r="1100" spans="1:16">
      <c r="A1100" t="s">
        <v>2594</v>
      </c>
      <c r="B1100" t="s">
        <v>1059</v>
      </c>
      <c r="D1100" t="s">
        <v>1416</v>
      </c>
      <c r="E1100" t="s">
        <v>1508</v>
      </c>
      <c r="F1100" t="s">
        <v>1509</v>
      </c>
      <c r="G1100" t="s">
        <v>1510</v>
      </c>
      <c r="H1100" s="7">
        <v>664</v>
      </c>
      <c r="I1100" s="7">
        <v>1490</v>
      </c>
      <c r="J1100" s="7" t="str">
        <f t="shared" si="53"/>
        <v>&gt;₹500</v>
      </c>
      <c r="K1100" s="1">
        <v>0.55000000000000004</v>
      </c>
      <c r="L1100" s="1" t="str">
        <f t="shared" si="51"/>
        <v>50% or More</v>
      </c>
      <c r="M1100">
        <v>4</v>
      </c>
      <c r="N1100" s="2">
        <v>2198</v>
      </c>
      <c r="O1100" s="5">
        <f t="shared" si="52"/>
        <v>3275020</v>
      </c>
      <c r="P1100">
        <f>MAX(Table1[RATING COUNT])</f>
        <v>426973</v>
      </c>
    </row>
    <row r="1101" spans="1:16">
      <c r="A1101" t="s">
        <v>2595</v>
      </c>
      <c r="B1101" t="s">
        <v>1060</v>
      </c>
      <c r="D1101" t="s">
        <v>1416</v>
      </c>
      <c r="E1101" t="s">
        <v>1508</v>
      </c>
      <c r="F1101" t="s">
        <v>1509</v>
      </c>
      <c r="G1101" t="s">
        <v>1535</v>
      </c>
      <c r="H1101" s="7">
        <v>260</v>
      </c>
      <c r="I1101" s="7">
        <v>350</v>
      </c>
      <c r="J1101" s="7" t="str">
        <f t="shared" si="53"/>
        <v>₹200–₹500</v>
      </c>
      <c r="K1101" s="1">
        <v>0.26</v>
      </c>
      <c r="L1101" s="1" t="str">
        <f t="shared" si="51"/>
        <v>&lt;50%</v>
      </c>
      <c r="M1101">
        <v>3.9</v>
      </c>
      <c r="N1101" s="2">
        <v>13127</v>
      </c>
      <c r="O1101" s="5">
        <f t="shared" si="52"/>
        <v>4594450</v>
      </c>
      <c r="P1101">
        <f>MAX(Table1[RATING COUNT])</f>
        <v>426973</v>
      </c>
    </row>
    <row r="1102" spans="1:16">
      <c r="A1102" t="s">
        <v>2596</v>
      </c>
      <c r="B1102" t="s">
        <v>1061</v>
      </c>
      <c r="D1102" t="s">
        <v>1416</v>
      </c>
      <c r="E1102" t="s">
        <v>1511</v>
      </c>
      <c r="F1102" t="s">
        <v>1524</v>
      </c>
      <c r="G1102" t="s">
        <v>1526</v>
      </c>
      <c r="H1102" s="7">
        <v>6499</v>
      </c>
      <c r="I1102" s="7">
        <v>8500</v>
      </c>
      <c r="J1102" s="7" t="str">
        <f t="shared" si="53"/>
        <v>&gt;₹500</v>
      </c>
      <c r="K1102" s="1">
        <v>0.24</v>
      </c>
      <c r="L1102" s="1" t="str">
        <f t="shared" si="51"/>
        <v>&lt;50%</v>
      </c>
      <c r="M1102">
        <v>4.4000000000000004</v>
      </c>
      <c r="N1102" s="2">
        <v>5865</v>
      </c>
      <c r="O1102" s="5">
        <f t="shared" si="52"/>
        <v>49852500</v>
      </c>
      <c r="P1102">
        <f>MAX(Table1[RATING COUNT])</f>
        <v>426973</v>
      </c>
    </row>
    <row r="1103" spans="1:16">
      <c r="A1103" t="s">
        <v>2597</v>
      </c>
      <c r="B1103" t="s">
        <v>1062</v>
      </c>
      <c r="D1103" t="s">
        <v>1416</v>
      </c>
      <c r="E1103" t="s">
        <v>1508</v>
      </c>
      <c r="F1103" t="s">
        <v>1560</v>
      </c>
      <c r="G1103" t="s">
        <v>1561</v>
      </c>
      <c r="H1103" s="7">
        <v>1484</v>
      </c>
      <c r="I1103" s="7">
        <v>2499</v>
      </c>
      <c r="J1103" s="7" t="str">
        <f t="shared" si="53"/>
        <v>&gt;₹500</v>
      </c>
      <c r="K1103" s="1">
        <v>0.41</v>
      </c>
      <c r="L1103" s="1" t="str">
        <f t="shared" si="51"/>
        <v>&lt;50%</v>
      </c>
      <c r="M1103">
        <v>3.7</v>
      </c>
      <c r="N1103" s="2">
        <v>1067</v>
      </c>
      <c r="O1103" s="5">
        <f t="shared" si="52"/>
        <v>2666433</v>
      </c>
      <c r="P1103">
        <f>MAX(Table1[RATING COUNT])</f>
        <v>426973</v>
      </c>
    </row>
    <row r="1104" spans="1:16">
      <c r="A1104" t="s">
        <v>2598</v>
      </c>
      <c r="B1104" t="s">
        <v>1063</v>
      </c>
      <c r="D1104" t="s">
        <v>1416</v>
      </c>
      <c r="E1104" t="s">
        <v>1508</v>
      </c>
      <c r="F1104" t="s">
        <v>1515</v>
      </c>
      <c r="G1104" t="s">
        <v>1516</v>
      </c>
      <c r="H1104" s="7">
        <v>999</v>
      </c>
      <c r="I1104" s="7">
        <v>1560</v>
      </c>
      <c r="J1104" s="7" t="str">
        <f t="shared" si="53"/>
        <v>&gt;₹500</v>
      </c>
      <c r="K1104" s="1">
        <v>0.36</v>
      </c>
      <c r="L1104" s="1" t="str">
        <f t="shared" si="51"/>
        <v>&lt;50%</v>
      </c>
      <c r="M1104">
        <v>3.6</v>
      </c>
      <c r="N1104" s="2">
        <v>4881</v>
      </c>
      <c r="O1104" s="5">
        <f t="shared" si="52"/>
        <v>7614360</v>
      </c>
      <c r="P1104">
        <f>MAX(Table1[RATING COUNT])</f>
        <v>426973</v>
      </c>
    </row>
    <row r="1105" spans="1:16">
      <c r="A1105" t="s">
        <v>2599</v>
      </c>
      <c r="B1105" t="s">
        <v>1064</v>
      </c>
      <c r="D1105" t="s">
        <v>1416</v>
      </c>
      <c r="E1105" t="s">
        <v>1508</v>
      </c>
      <c r="F1105" t="s">
        <v>1509</v>
      </c>
      <c r="G1105" t="s">
        <v>1532</v>
      </c>
      <c r="H1105" s="7">
        <v>3299</v>
      </c>
      <c r="I1105" s="7">
        <v>6500</v>
      </c>
      <c r="J1105" s="7" t="str">
        <f t="shared" si="53"/>
        <v>&gt;₹500</v>
      </c>
      <c r="K1105" s="1">
        <v>0.49</v>
      </c>
      <c r="L1105" s="1" t="str">
        <f t="shared" si="51"/>
        <v>&lt;50%</v>
      </c>
      <c r="M1105">
        <v>3.7</v>
      </c>
      <c r="N1105" s="2">
        <v>11217</v>
      </c>
      <c r="O1105" s="5">
        <f t="shared" si="52"/>
        <v>72910500</v>
      </c>
      <c r="P1105">
        <f>MAX(Table1[RATING COUNT])</f>
        <v>426973</v>
      </c>
    </row>
    <row r="1106" spans="1:16">
      <c r="A1106" t="s">
        <v>2600</v>
      </c>
      <c r="B1106" t="s">
        <v>1065</v>
      </c>
      <c r="D1106" t="s">
        <v>1416</v>
      </c>
      <c r="E1106" t="s">
        <v>1508</v>
      </c>
      <c r="F1106" t="s">
        <v>1509</v>
      </c>
      <c r="G1106" t="s">
        <v>1522</v>
      </c>
      <c r="H1106" s="7">
        <v>259</v>
      </c>
      <c r="I1106" s="7">
        <v>999</v>
      </c>
      <c r="J1106" s="7" t="str">
        <f t="shared" si="53"/>
        <v>&gt;₹500</v>
      </c>
      <c r="K1106" s="1">
        <v>0.74</v>
      </c>
      <c r="L1106" s="1" t="str">
        <f t="shared" si="51"/>
        <v>50% or More</v>
      </c>
      <c r="M1106">
        <v>4</v>
      </c>
      <c r="N1106" s="2">
        <v>43</v>
      </c>
      <c r="O1106" s="5">
        <f t="shared" si="52"/>
        <v>42957</v>
      </c>
      <c r="P1106">
        <f>MAX(Table1[RATING COUNT])</f>
        <v>426973</v>
      </c>
    </row>
    <row r="1107" spans="1:16">
      <c r="A1107" t="s">
        <v>2601</v>
      </c>
      <c r="B1107" t="s">
        <v>1066</v>
      </c>
      <c r="D1107" t="s">
        <v>1416</v>
      </c>
      <c r="E1107" t="s">
        <v>1508</v>
      </c>
      <c r="F1107" t="s">
        <v>1509</v>
      </c>
      <c r="G1107" t="s">
        <v>1523</v>
      </c>
      <c r="H1107" s="7">
        <v>3249</v>
      </c>
      <c r="I1107" s="7">
        <v>7795</v>
      </c>
      <c r="J1107" s="7" t="str">
        <f t="shared" si="53"/>
        <v>&gt;₹500</v>
      </c>
      <c r="K1107" s="1">
        <v>0.57999999999999996</v>
      </c>
      <c r="L1107" s="1" t="str">
        <f t="shared" si="51"/>
        <v>50% or More</v>
      </c>
      <c r="M1107">
        <v>4.2</v>
      </c>
      <c r="N1107" s="2">
        <v>4664</v>
      </c>
      <c r="O1107" s="5">
        <f t="shared" si="52"/>
        <v>36355880</v>
      </c>
      <c r="P1107">
        <f>MAX(Table1[RATING COUNT])</f>
        <v>426973</v>
      </c>
    </row>
    <row r="1108" spans="1:16">
      <c r="A1108" t="s">
        <v>2602</v>
      </c>
      <c r="B1108" t="s">
        <v>1067</v>
      </c>
      <c r="D1108" t="s">
        <v>1416</v>
      </c>
      <c r="E1108" t="s">
        <v>1508</v>
      </c>
      <c r="F1108" t="s">
        <v>1515</v>
      </c>
      <c r="G1108" t="s">
        <v>1516</v>
      </c>
      <c r="H1108" s="7">
        <v>4280</v>
      </c>
      <c r="I1108" s="7">
        <v>5995</v>
      </c>
      <c r="J1108" s="7" t="str">
        <f t="shared" si="53"/>
        <v>&gt;₹500</v>
      </c>
      <c r="K1108" s="1">
        <v>0.28999999999999998</v>
      </c>
      <c r="L1108" s="1" t="str">
        <f t="shared" si="51"/>
        <v>&lt;50%</v>
      </c>
      <c r="M1108">
        <v>3.8</v>
      </c>
      <c r="N1108" s="2">
        <v>2112</v>
      </c>
      <c r="O1108" s="5">
        <f t="shared" si="52"/>
        <v>12661440</v>
      </c>
      <c r="P1108">
        <f>MAX(Table1[RATING COUNT])</f>
        <v>426973</v>
      </c>
    </row>
    <row r="1109" spans="1:16">
      <c r="A1109" t="s">
        <v>2603</v>
      </c>
      <c r="B1109" t="s">
        <v>1068</v>
      </c>
      <c r="D1109" t="s">
        <v>1416</v>
      </c>
      <c r="E1109" t="s">
        <v>1529</v>
      </c>
      <c r="F1109" t="s">
        <v>1530</v>
      </c>
      <c r="G1109" t="s">
        <v>1562</v>
      </c>
      <c r="H1109" s="7">
        <v>189</v>
      </c>
      <c r="I1109" s="7">
        <v>299</v>
      </c>
      <c r="J1109" s="7" t="str">
        <f t="shared" si="53"/>
        <v>₹200–₹500</v>
      </c>
      <c r="K1109" s="1">
        <v>0.37</v>
      </c>
      <c r="L1109" s="1" t="str">
        <f t="shared" si="51"/>
        <v>&lt;50%</v>
      </c>
      <c r="M1109">
        <v>4.2</v>
      </c>
      <c r="N1109" s="2">
        <v>2737</v>
      </c>
      <c r="O1109" s="5">
        <f t="shared" si="52"/>
        <v>818363</v>
      </c>
      <c r="P1109">
        <f>MAX(Table1[RATING COUNT])</f>
        <v>426973</v>
      </c>
    </row>
    <row r="1110" spans="1:16">
      <c r="A1110" t="s">
        <v>2604</v>
      </c>
      <c r="B1110" t="s">
        <v>1069</v>
      </c>
      <c r="D1110" t="s">
        <v>1416</v>
      </c>
      <c r="E1110" t="s">
        <v>1511</v>
      </c>
      <c r="F1110" t="s">
        <v>1538</v>
      </c>
      <c r="G1110" t="s">
        <v>1539</v>
      </c>
      <c r="H1110" s="7">
        <v>1449</v>
      </c>
      <c r="I1110" s="7">
        <v>2349</v>
      </c>
      <c r="J1110" s="7" t="str">
        <f t="shared" si="53"/>
        <v>&gt;₹500</v>
      </c>
      <c r="K1110" s="1">
        <v>0.38</v>
      </c>
      <c r="L1110" s="1" t="str">
        <f t="shared" si="51"/>
        <v>&lt;50%</v>
      </c>
      <c r="M1110">
        <v>3.9</v>
      </c>
      <c r="N1110" s="2">
        <v>9019</v>
      </c>
      <c r="O1110" s="5">
        <f t="shared" si="52"/>
        <v>21185631</v>
      </c>
      <c r="P1110">
        <f>MAX(Table1[RATING COUNT])</f>
        <v>426973</v>
      </c>
    </row>
    <row r="1111" spans="1:16">
      <c r="A1111" t="s">
        <v>2605</v>
      </c>
      <c r="B1111" t="s">
        <v>1070</v>
      </c>
      <c r="D1111" t="s">
        <v>1416</v>
      </c>
      <c r="E1111" t="s">
        <v>1529</v>
      </c>
      <c r="F1111" t="s">
        <v>1530</v>
      </c>
      <c r="G1111" t="s">
        <v>1531</v>
      </c>
      <c r="H1111" s="7">
        <v>199</v>
      </c>
      <c r="I1111" s="7">
        <v>499</v>
      </c>
      <c r="J1111" s="7" t="str">
        <f t="shared" si="53"/>
        <v>₹200–₹500</v>
      </c>
      <c r="K1111" s="1">
        <v>0.6</v>
      </c>
      <c r="L1111" s="1" t="str">
        <f t="shared" si="51"/>
        <v>50% or More</v>
      </c>
      <c r="M1111">
        <v>4</v>
      </c>
      <c r="N1111" s="2">
        <v>10234</v>
      </c>
      <c r="O1111" s="5">
        <f t="shared" si="52"/>
        <v>5106766</v>
      </c>
      <c r="P1111">
        <f>MAX(Table1[RATING COUNT])</f>
        <v>426973</v>
      </c>
    </row>
    <row r="1112" spans="1:16">
      <c r="A1112" t="s">
        <v>2606</v>
      </c>
      <c r="B1112" t="s">
        <v>1071</v>
      </c>
      <c r="D1112" t="s">
        <v>1416</v>
      </c>
      <c r="E1112" t="s">
        <v>1508</v>
      </c>
      <c r="F1112" t="s">
        <v>1509</v>
      </c>
      <c r="G1112" t="s">
        <v>1563</v>
      </c>
      <c r="H1112" s="7">
        <v>474</v>
      </c>
      <c r="I1112" s="7">
        <v>1299</v>
      </c>
      <c r="J1112" s="7" t="str">
        <f t="shared" si="53"/>
        <v>&gt;₹500</v>
      </c>
      <c r="K1112" s="1">
        <v>0.64</v>
      </c>
      <c r="L1112" s="1" t="str">
        <f t="shared" si="51"/>
        <v>50% or More</v>
      </c>
      <c r="M1112">
        <v>4.0999999999999996</v>
      </c>
      <c r="N1112" s="2">
        <v>550</v>
      </c>
      <c r="O1112" s="5">
        <f t="shared" si="52"/>
        <v>714450</v>
      </c>
      <c r="P1112">
        <f>MAX(Table1[RATING COUNT])</f>
        <v>426973</v>
      </c>
    </row>
    <row r="1113" spans="1:16">
      <c r="A1113" t="s">
        <v>2607</v>
      </c>
      <c r="B1113" t="s">
        <v>1072</v>
      </c>
      <c r="D1113" t="s">
        <v>1416</v>
      </c>
      <c r="E1113" t="s">
        <v>1508</v>
      </c>
      <c r="F1113" t="s">
        <v>1509</v>
      </c>
      <c r="G1113" t="s">
        <v>1522</v>
      </c>
      <c r="H1113" s="7">
        <v>279</v>
      </c>
      <c r="I1113" s="7">
        <v>499</v>
      </c>
      <c r="J1113" s="7" t="str">
        <f t="shared" si="53"/>
        <v>₹200–₹500</v>
      </c>
      <c r="K1113" s="1">
        <v>0.44</v>
      </c>
      <c r="L1113" s="1" t="str">
        <f t="shared" si="51"/>
        <v>&lt;50%</v>
      </c>
      <c r="M1113">
        <v>4.8</v>
      </c>
      <c r="N1113" s="2">
        <v>28</v>
      </c>
      <c r="O1113" s="5">
        <f t="shared" si="52"/>
        <v>13972</v>
      </c>
      <c r="P1113">
        <f>MAX(Table1[RATING COUNT])</f>
        <v>426973</v>
      </c>
    </row>
    <row r="1114" spans="1:16">
      <c r="A1114" t="s">
        <v>2608</v>
      </c>
      <c r="B1114" t="s">
        <v>1073</v>
      </c>
      <c r="D1114" t="s">
        <v>1416</v>
      </c>
      <c r="E1114" t="s">
        <v>1511</v>
      </c>
      <c r="F1114" t="s">
        <v>1538</v>
      </c>
      <c r="G1114" t="s">
        <v>1539</v>
      </c>
      <c r="H1114" s="7">
        <v>1999</v>
      </c>
      <c r="I1114" s="7">
        <v>4775</v>
      </c>
      <c r="J1114" s="7" t="str">
        <f t="shared" si="53"/>
        <v>&gt;₹500</v>
      </c>
      <c r="K1114" s="1">
        <v>0.57999999999999996</v>
      </c>
      <c r="L1114" s="1" t="str">
        <f t="shared" si="51"/>
        <v>50% or More</v>
      </c>
      <c r="M1114">
        <v>4.2</v>
      </c>
      <c r="N1114" s="2">
        <v>1353</v>
      </c>
      <c r="O1114" s="5">
        <f t="shared" si="52"/>
        <v>6460575</v>
      </c>
      <c r="P1114">
        <f>MAX(Table1[RATING COUNT])</f>
        <v>426973</v>
      </c>
    </row>
    <row r="1115" spans="1:16">
      <c r="A1115" t="s">
        <v>2609</v>
      </c>
      <c r="B1115" t="s">
        <v>1074</v>
      </c>
      <c r="D1115" t="s">
        <v>1416</v>
      </c>
      <c r="E1115" t="s">
        <v>1508</v>
      </c>
      <c r="F1115" t="s">
        <v>1515</v>
      </c>
      <c r="G1115" t="s">
        <v>1516</v>
      </c>
      <c r="H1115" s="7">
        <v>799</v>
      </c>
      <c r="I1115" s="7">
        <v>1230</v>
      </c>
      <c r="J1115" s="7" t="str">
        <f t="shared" si="53"/>
        <v>&gt;₹500</v>
      </c>
      <c r="K1115" s="1">
        <v>0.35</v>
      </c>
      <c r="L1115" s="1" t="str">
        <f t="shared" si="51"/>
        <v>&lt;50%</v>
      </c>
      <c r="M1115">
        <v>4.0999999999999996</v>
      </c>
      <c r="N1115" s="2">
        <v>2138</v>
      </c>
      <c r="O1115" s="5">
        <f t="shared" si="52"/>
        <v>2629740</v>
      </c>
      <c r="P1115">
        <f>MAX(Table1[RATING COUNT])</f>
        <v>426973</v>
      </c>
    </row>
    <row r="1116" spans="1:16">
      <c r="A1116" t="s">
        <v>2610</v>
      </c>
      <c r="B1116" t="s">
        <v>1075</v>
      </c>
      <c r="D1116" t="s">
        <v>1416</v>
      </c>
      <c r="E1116" t="s">
        <v>1508</v>
      </c>
      <c r="F1116" t="s">
        <v>1509</v>
      </c>
      <c r="G1116" t="s">
        <v>1536</v>
      </c>
      <c r="H1116" s="7">
        <v>949</v>
      </c>
      <c r="I1116" s="7">
        <v>1999</v>
      </c>
      <c r="J1116" s="7" t="str">
        <f t="shared" si="53"/>
        <v>&gt;₹500</v>
      </c>
      <c r="K1116" s="1">
        <v>0.53</v>
      </c>
      <c r="L1116" s="1" t="str">
        <f t="shared" si="51"/>
        <v>50% or More</v>
      </c>
      <c r="M1116">
        <v>4</v>
      </c>
      <c r="N1116" s="2">
        <v>1679</v>
      </c>
      <c r="O1116" s="5">
        <f t="shared" si="52"/>
        <v>3356321</v>
      </c>
      <c r="P1116">
        <f>MAX(Table1[RATING COUNT])</f>
        <v>426973</v>
      </c>
    </row>
    <row r="1117" spans="1:16">
      <c r="A1117" t="s">
        <v>2611</v>
      </c>
      <c r="B1117" t="s">
        <v>1076</v>
      </c>
      <c r="D1117" t="s">
        <v>1416</v>
      </c>
      <c r="E1117" t="s">
        <v>1508</v>
      </c>
      <c r="F1117" t="s">
        <v>1509</v>
      </c>
      <c r="G1117" t="s">
        <v>1564</v>
      </c>
      <c r="H1117" s="7">
        <v>3657.66</v>
      </c>
      <c r="I1117" s="7">
        <v>5156</v>
      </c>
      <c r="J1117" s="7" t="str">
        <f t="shared" si="53"/>
        <v>&gt;₹500</v>
      </c>
      <c r="K1117" s="1">
        <v>0.28999999999999998</v>
      </c>
      <c r="L1117" s="1" t="str">
        <f t="shared" si="51"/>
        <v>&lt;50%</v>
      </c>
      <c r="M1117">
        <v>3.9</v>
      </c>
      <c r="N1117" s="2">
        <v>12837</v>
      </c>
      <c r="O1117" s="5">
        <f t="shared" si="52"/>
        <v>66187572</v>
      </c>
      <c r="P1117">
        <f>MAX(Table1[RATING COUNT])</f>
        <v>426973</v>
      </c>
    </row>
    <row r="1118" spans="1:16">
      <c r="A1118" t="s">
        <v>2612</v>
      </c>
      <c r="B1118" t="s">
        <v>1077</v>
      </c>
      <c r="D1118" t="s">
        <v>1416</v>
      </c>
      <c r="E1118" t="s">
        <v>1508</v>
      </c>
      <c r="F1118" t="s">
        <v>1509</v>
      </c>
      <c r="G1118" t="s">
        <v>1565</v>
      </c>
      <c r="H1118" s="7">
        <v>1699</v>
      </c>
      <c r="I1118" s="7">
        <v>1999</v>
      </c>
      <c r="J1118" s="7" t="str">
        <f t="shared" si="53"/>
        <v>&gt;₹500</v>
      </c>
      <c r="K1118" s="1">
        <v>0.15</v>
      </c>
      <c r="L1118" s="1" t="str">
        <f t="shared" si="51"/>
        <v>&lt;50%</v>
      </c>
      <c r="M1118">
        <v>4.0999999999999996</v>
      </c>
      <c r="N1118" s="2">
        <v>8873</v>
      </c>
      <c r="O1118" s="5">
        <f t="shared" si="52"/>
        <v>17737127</v>
      </c>
      <c r="P1118">
        <f>MAX(Table1[RATING COUNT])</f>
        <v>426973</v>
      </c>
    </row>
    <row r="1119" spans="1:16">
      <c r="A1119" t="s">
        <v>2613</v>
      </c>
      <c r="B1119" t="s">
        <v>1078</v>
      </c>
      <c r="D1119" t="s">
        <v>1416</v>
      </c>
      <c r="E1119" t="s">
        <v>1508</v>
      </c>
      <c r="F1119" t="s">
        <v>1515</v>
      </c>
      <c r="G1119" t="s">
        <v>1516</v>
      </c>
      <c r="H1119" s="7">
        <v>1849</v>
      </c>
      <c r="I1119" s="7">
        <v>2095</v>
      </c>
      <c r="J1119" s="7" t="str">
        <f t="shared" si="53"/>
        <v>&gt;₹500</v>
      </c>
      <c r="K1119" s="1">
        <v>0.12</v>
      </c>
      <c r="L1119" s="1" t="str">
        <f t="shared" si="51"/>
        <v>&lt;50%</v>
      </c>
      <c r="M1119">
        <v>4.3</v>
      </c>
      <c r="N1119" s="2">
        <v>7681</v>
      </c>
      <c r="O1119" s="5">
        <f t="shared" si="52"/>
        <v>16091695</v>
      </c>
      <c r="P1119">
        <f>MAX(Table1[RATING COUNT])</f>
        <v>426973</v>
      </c>
    </row>
    <row r="1120" spans="1:16">
      <c r="A1120" t="s">
        <v>2614</v>
      </c>
      <c r="B1120" t="s">
        <v>1079</v>
      </c>
      <c r="D1120" t="s">
        <v>1416</v>
      </c>
      <c r="E1120" t="s">
        <v>1511</v>
      </c>
      <c r="F1120" t="s">
        <v>1512</v>
      </c>
      <c r="G1120" t="s">
        <v>1514</v>
      </c>
      <c r="H1120" s="7">
        <v>12499</v>
      </c>
      <c r="I1120" s="7">
        <v>19825</v>
      </c>
      <c r="J1120" s="7" t="str">
        <f t="shared" si="53"/>
        <v>&gt;₹500</v>
      </c>
      <c r="K1120" s="1">
        <v>0.37</v>
      </c>
      <c r="L1120" s="1" t="str">
        <f t="shared" si="51"/>
        <v>&lt;50%</v>
      </c>
      <c r="M1120">
        <v>4.0999999999999996</v>
      </c>
      <c r="N1120" s="2">
        <v>322</v>
      </c>
      <c r="O1120" s="5">
        <f t="shared" si="52"/>
        <v>6383650</v>
      </c>
      <c r="P1120">
        <f>MAX(Table1[RATING COUNT])</f>
        <v>426973</v>
      </c>
    </row>
    <row r="1121" spans="1:16">
      <c r="A1121" t="s">
        <v>2615</v>
      </c>
      <c r="B1121" t="s">
        <v>1080</v>
      </c>
      <c r="D1121" t="s">
        <v>1416</v>
      </c>
      <c r="E1121" t="s">
        <v>1508</v>
      </c>
      <c r="F1121" t="s">
        <v>1515</v>
      </c>
      <c r="G1121" t="s">
        <v>1516</v>
      </c>
      <c r="H1121" s="7">
        <v>1099</v>
      </c>
      <c r="I1121" s="7">
        <v>1920</v>
      </c>
      <c r="J1121" s="7" t="str">
        <f t="shared" si="53"/>
        <v>&gt;₹500</v>
      </c>
      <c r="K1121" s="1">
        <v>0.43</v>
      </c>
      <c r="L1121" s="1" t="str">
        <f t="shared" si="51"/>
        <v>&lt;50%</v>
      </c>
      <c r="M1121">
        <v>4.2</v>
      </c>
      <c r="N1121" s="2">
        <v>9772</v>
      </c>
      <c r="O1121" s="5">
        <f t="shared" si="52"/>
        <v>18762240</v>
      </c>
      <c r="P1121">
        <f>MAX(Table1[RATING COUNT])</f>
        <v>426973</v>
      </c>
    </row>
    <row r="1122" spans="1:16">
      <c r="A1122" t="s">
        <v>2616</v>
      </c>
      <c r="B1122" t="s">
        <v>1081</v>
      </c>
      <c r="D1122" t="s">
        <v>1416</v>
      </c>
      <c r="E1122" t="s">
        <v>1508</v>
      </c>
      <c r="F1122" t="s">
        <v>1548</v>
      </c>
      <c r="G1122" t="s">
        <v>1558</v>
      </c>
      <c r="H1122" s="7">
        <v>8199</v>
      </c>
      <c r="I1122" s="7">
        <v>16000</v>
      </c>
      <c r="J1122" s="7" t="str">
        <f t="shared" si="53"/>
        <v>&gt;₹500</v>
      </c>
      <c r="K1122" s="1">
        <v>0.49</v>
      </c>
      <c r="L1122" s="1" t="str">
        <f t="shared" si="51"/>
        <v>&lt;50%</v>
      </c>
      <c r="M1122">
        <v>3.9</v>
      </c>
      <c r="N1122" s="2">
        <v>18497</v>
      </c>
      <c r="O1122" s="5">
        <f t="shared" si="52"/>
        <v>295952000</v>
      </c>
      <c r="P1122">
        <f>MAX(Table1[RATING COUNT])</f>
        <v>426973</v>
      </c>
    </row>
    <row r="1123" spans="1:16">
      <c r="A1123" t="s">
        <v>2617</v>
      </c>
      <c r="B1123" t="s">
        <v>1082</v>
      </c>
      <c r="D1123" t="s">
        <v>1416</v>
      </c>
      <c r="E1123" t="s">
        <v>1508</v>
      </c>
      <c r="F1123" t="s">
        <v>1509</v>
      </c>
      <c r="G1123" t="s">
        <v>1532</v>
      </c>
      <c r="H1123" s="7">
        <v>499</v>
      </c>
      <c r="I1123" s="7">
        <v>2199</v>
      </c>
      <c r="J1123" s="7" t="str">
        <f t="shared" si="53"/>
        <v>&gt;₹500</v>
      </c>
      <c r="K1123" s="1">
        <v>0.77</v>
      </c>
      <c r="L1123" s="1" t="str">
        <f t="shared" si="51"/>
        <v>50% or More</v>
      </c>
      <c r="M1123">
        <v>3.7</v>
      </c>
      <c r="N1123" s="2">
        <v>53</v>
      </c>
      <c r="O1123" s="5">
        <f t="shared" si="52"/>
        <v>116547</v>
      </c>
      <c r="P1123">
        <f>MAX(Table1[RATING COUNT])</f>
        <v>426973</v>
      </c>
    </row>
    <row r="1124" spans="1:16">
      <c r="A1124" t="s">
        <v>2618</v>
      </c>
      <c r="B1124" t="s">
        <v>1083</v>
      </c>
      <c r="D1124" t="s">
        <v>1416</v>
      </c>
      <c r="E1124" t="s">
        <v>1508</v>
      </c>
      <c r="F1124" t="s">
        <v>1515</v>
      </c>
      <c r="G1124" t="s">
        <v>1533</v>
      </c>
      <c r="H1124" s="7">
        <v>6999</v>
      </c>
      <c r="I1124" s="7">
        <v>14999</v>
      </c>
      <c r="J1124" s="7" t="str">
        <f t="shared" si="53"/>
        <v>&gt;₹500</v>
      </c>
      <c r="K1124" s="1">
        <v>0.53</v>
      </c>
      <c r="L1124" s="1" t="str">
        <f t="shared" si="51"/>
        <v>50% or More</v>
      </c>
      <c r="M1124">
        <v>4.0999999999999996</v>
      </c>
      <c r="N1124" s="2">
        <v>1728</v>
      </c>
      <c r="O1124" s="5">
        <f t="shared" si="52"/>
        <v>25918272</v>
      </c>
      <c r="P1124">
        <f>MAX(Table1[RATING COUNT])</f>
        <v>426973</v>
      </c>
    </row>
    <row r="1125" spans="1:16">
      <c r="A1125" t="s">
        <v>2619</v>
      </c>
      <c r="B1125" t="s">
        <v>1084</v>
      </c>
      <c r="D1125" t="s">
        <v>1416</v>
      </c>
      <c r="E1125" t="s">
        <v>1508</v>
      </c>
      <c r="F1125" t="s">
        <v>1509</v>
      </c>
      <c r="G1125" t="s">
        <v>1537</v>
      </c>
      <c r="H1125" s="7">
        <v>1595</v>
      </c>
      <c r="I1125" s="7">
        <v>1799</v>
      </c>
      <c r="J1125" s="7" t="str">
        <f t="shared" si="53"/>
        <v>&gt;₹500</v>
      </c>
      <c r="K1125" s="1">
        <v>0.11</v>
      </c>
      <c r="L1125" s="1" t="str">
        <f t="shared" si="51"/>
        <v>&lt;50%</v>
      </c>
      <c r="M1125">
        <v>4</v>
      </c>
      <c r="N1125" s="2">
        <v>2877</v>
      </c>
      <c r="O1125" s="5">
        <f t="shared" si="52"/>
        <v>5175723</v>
      </c>
      <c r="P1125">
        <f>MAX(Table1[RATING COUNT])</f>
        <v>426973</v>
      </c>
    </row>
    <row r="1126" spans="1:16">
      <c r="A1126" t="s">
        <v>2620</v>
      </c>
      <c r="B1126" t="s">
        <v>1085</v>
      </c>
      <c r="D1126" t="s">
        <v>1416</v>
      </c>
      <c r="E1126" t="s">
        <v>1508</v>
      </c>
      <c r="F1126" t="s">
        <v>1515</v>
      </c>
      <c r="G1126" t="s">
        <v>1516</v>
      </c>
      <c r="H1126" s="7">
        <v>1049</v>
      </c>
      <c r="I1126" s="7">
        <v>1950</v>
      </c>
      <c r="J1126" s="7" t="str">
        <f t="shared" si="53"/>
        <v>&gt;₹500</v>
      </c>
      <c r="K1126" s="1">
        <v>0.46</v>
      </c>
      <c r="L1126" s="1" t="str">
        <f t="shared" si="51"/>
        <v>&lt;50%</v>
      </c>
      <c r="M1126">
        <v>3.8</v>
      </c>
      <c r="N1126" s="2">
        <v>250</v>
      </c>
      <c r="O1126" s="5">
        <f t="shared" si="52"/>
        <v>487500</v>
      </c>
      <c r="P1126">
        <f>MAX(Table1[RATING COUNT])</f>
        <v>426973</v>
      </c>
    </row>
    <row r="1127" spans="1:16">
      <c r="A1127" t="s">
        <v>2621</v>
      </c>
      <c r="B1127" t="s">
        <v>1086</v>
      </c>
      <c r="D1127" t="s">
        <v>1416</v>
      </c>
      <c r="E1127" t="s">
        <v>1508</v>
      </c>
      <c r="F1127" t="s">
        <v>1509</v>
      </c>
      <c r="G1127" t="s">
        <v>1510</v>
      </c>
      <c r="H1127" s="7">
        <v>1182</v>
      </c>
      <c r="I1127" s="7">
        <v>2995</v>
      </c>
      <c r="J1127" s="7" t="str">
        <f t="shared" si="53"/>
        <v>&gt;₹500</v>
      </c>
      <c r="K1127" s="1">
        <v>0.61</v>
      </c>
      <c r="L1127" s="1" t="str">
        <f t="shared" si="51"/>
        <v>50% or More</v>
      </c>
      <c r="M1127">
        <v>4.2</v>
      </c>
      <c r="N1127" s="2">
        <v>5178</v>
      </c>
      <c r="O1127" s="5">
        <f t="shared" si="52"/>
        <v>15508110</v>
      </c>
      <c r="P1127">
        <f>MAX(Table1[RATING COUNT])</f>
        <v>426973</v>
      </c>
    </row>
    <row r="1128" spans="1:16">
      <c r="A1128" t="s">
        <v>2622</v>
      </c>
      <c r="B1128" t="s">
        <v>1087</v>
      </c>
      <c r="D1128" t="s">
        <v>1416</v>
      </c>
      <c r="E1128" t="s">
        <v>1508</v>
      </c>
      <c r="F1128" t="s">
        <v>1515</v>
      </c>
      <c r="G1128" t="s">
        <v>1516</v>
      </c>
      <c r="H1128" s="7">
        <v>499</v>
      </c>
      <c r="I1128" s="7">
        <v>999</v>
      </c>
      <c r="J1128" s="7" t="str">
        <f t="shared" si="53"/>
        <v>&gt;₹500</v>
      </c>
      <c r="K1128" s="1">
        <v>0.5</v>
      </c>
      <c r="L1128" s="1" t="str">
        <f t="shared" si="51"/>
        <v>50% or More</v>
      </c>
      <c r="M1128">
        <v>4.5999999999999996</v>
      </c>
      <c r="N1128" s="2">
        <v>79</v>
      </c>
      <c r="O1128" s="5">
        <f t="shared" si="52"/>
        <v>78921</v>
      </c>
      <c r="P1128">
        <f>MAX(Table1[RATING COUNT])</f>
        <v>426973</v>
      </c>
    </row>
    <row r="1129" spans="1:16">
      <c r="A1129" t="s">
        <v>2623</v>
      </c>
      <c r="B1129" t="s">
        <v>1088</v>
      </c>
      <c r="D1129" t="s">
        <v>1416</v>
      </c>
      <c r="E1129" t="s">
        <v>1511</v>
      </c>
      <c r="F1129" t="s">
        <v>1556</v>
      </c>
      <c r="G1129" t="s">
        <v>1557</v>
      </c>
      <c r="H1129" s="7">
        <v>8799</v>
      </c>
      <c r="I1129" s="7">
        <v>11995</v>
      </c>
      <c r="J1129" s="7" t="str">
        <f t="shared" si="53"/>
        <v>&gt;₹500</v>
      </c>
      <c r="K1129" s="1">
        <v>0.27</v>
      </c>
      <c r="L1129" s="1" t="str">
        <f t="shared" si="51"/>
        <v>&lt;50%</v>
      </c>
      <c r="M1129">
        <v>4.0999999999999996</v>
      </c>
      <c r="N1129" s="2">
        <v>4157</v>
      </c>
      <c r="O1129" s="5">
        <f t="shared" si="52"/>
        <v>49863215</v>
      </c>
      <c r="P1129">
        <f>MAX(Table1[RATING COUNT])</f>
        <v>426973</v>
      </c>
    </row>
    <row r="1130" spans="1:16">
      <c r="A1130" t="s">
        <v>2624</v>
      </c>
      <c r="B1130" t="s">
        <v>1089</v>
      </c>
      <c r="D1130" t="s">
        <v>1416</v>
      </c>
      <c r="E1130" t="s">
        <v>1511</v>
      </c>
      <c r="F1130" t="s">
        <v>1512</v>
      </c>
      <c r="G1130" t="s">
        <v>1513</v>
      </c>
      <c r="H1130" s="7">
        <v>1529</v>
      </c>
      <c r="I1130" s="7">
        <v>2999</v>
      </c>
      <c r="J1130" s="7" t="str">
        <f t="shared" si="53"/>
        <v>&gt;₹500</v>
      </c>
      <c r="K1130" s="1">
        <v>0.49</v>
      </c>
      <c r="L1130" s="1" t="str">
        <f t="shared" si="51"/>
        <v>&lt;50%</v>
      </c>
      <c r="M1130">
        <v>3.3</v>
      </c>
      <c r="N1130" s="2">
        <v>29</v>
      </c>
      <c r="O1130" s="5">
        <f t="shared" si="52"/>
        <v>86971</v>
      </c>
      <c r="P1130">
        <f>MAX(Table1[RATING COUNT])</f>
        <v>426973</v>
      </c>
    </row>
    <row r="1131" spans="1:16">
      <c r="A1131" t="s">
        <v>2625</v>
      </c>
      <c r="B1131" t="s">
        <v>1090</v>
      </c>
      <c r="D1131" t="s">
        <v>1416</v>
      </c>
      <c r="E1131" t="s">
        <v>1508</v>
      </c>
      <c r="F1131" t="s">
        <v>1515</v>
      </c>
      <c r="G1131" t="s">
        <v>1516</v>
      </c>
      <c r="H1131" s="7">
        <v>1199</v>
      </c>
      <c r="I1131" s="7">
        <v>1690</v>
      </c>
      <c r="J1131" s="7" t="str">
        <f t="shared" si="53"/>
        <v>&gt;₹500</v>
      </c>
      <c r="K1131" s="1">
        <v>0.28999999999999998</v>
      </c>
      <c r="L1131" s="1" t="str">
        <f t="shared" si="51"/>
        <v>&lt;50%</v>
      </c>
      <c r="M1131">
        <v>4.2</v>
      </c>
      <c r="N1131" s="2">
        <v>4580</v>
      </c>
      <c r="O1131" s="5">
        <f t="shared" si="52"/>
        <v>7740200</v>
      </c>
      <c r="P1131">
        <f>MAX(Table1[RATING COUNT])</f>
        <v>426973</v>
      </c>
    </row>
    <row r="1132" spans="1:16">
      <c r="A1132" t="s">
        <v>2626</v>
      </c>
      <c r="B1132" t="s">
        <v>1091</v>
      </c>
      <c r="D1132" t="s">
        <v>1416</v>
      </c>
      <c r="E1132" t="s">
        <v>1508</v>
      </c>
      <c r="F1132" t="s">
        <v>1509</v>
      </c>
      <c r="G1132" t="s">
        <v>1534</v>
      </c>
      <c r="H1132" s="7">
        <v>1052</v>
      </c>
      <c r="I1132" s="7">
        <v>1790</v>
      </c>
      <c r="J1132" s="7" t="str">
        <f t="shared" si="53"/>
        <v>&gt;₹500</v>
      </c>
      <c r="K1132" s="1">
        <v>0.41</v>
      </c>
      <c r="L1132" s="1" t="str">
        <f t="shared" si="51"/>
        <v>&lt;50%</v>
      </c>
      <c r="M1132">
        <v>4.3</v>
      </c>
      <c r="N1132" s="2">
        <v>1404</v>
      </c>
      <c r="O1132" s="5">
        <f t="shared" si="52"/>
        <v>2513160</v>
      </c>
      <c r="P1132">
        <f>MAX(Table1[RATING COUNT])</f>
        <v>426973</v>
      </c>
    </row>
    <row r="1133" spans="1:16">
      <c r="A1133" t="s">
        <v>2627</v>
      </c>
      <c r="B1133" t="s">
        <v>1092</v>
      </c>
      <c r="D1133" t="s">
        <v>1416</v>
      </c>
      <c r="E1133" t="s">
        <v>1508</v>
      </c>
      <c r="F1133" t="s">
        <v>1509</v>
      </c>
      <c r="G1133" t="s">
        <v>1566</v>
      </c>
      <c r="H1133" s="7">
        <v>6499</v>
      </c>
      <c r="I1133" s="7">
        <v>8995</v>
      </c>
      <c r="J1133" s="7" t="str">
        <f t="shared" si="53"/>
        <v>&gt;₹500</v>
      </c>
      <c r="K1133" s="1">
        <v>0.28000000000000003</v>
      </c>
      <c r="L1133" s="1" t="str">
        <f t="shared" si="51"/>
        <v>&lt;50%</v>
      </c>
      <c r="M1133">
        <v>4.3</v>
      </c>
      <c r="N1133" s="2">
        <v>2810</v>
      </c>
      <c r="O1133" s="5">
        <f t="shared" si="52"/>
        <v>25275950</v>
      </c>
      <c r="P1133">
        <f>MAX(Table1[RATING COUNT])</f>
        <v>426973</v>
      </c>
    </row>
    <row r="1134" spans="1:16">
      <c r="A1134" t="s">
        <v>2628</v>
      </c>
      <c r="B1134" t="s">
        <v>1093</v>
      </c>
      <c r="D1134" t="s">
        <v>1416</v>
      </c>
      <c r="E1134" t="s">
        <v>1508</v>
      </c>
      <c r="F1134" t="s">
        <v>1509</v>
      </c>
      <c r="G1134" t="s">
        <v>1517</v>
      </c>
      <c r="H1134" s="7">
        <v>239</v>
      </c>
      <c r="I1134" s="7">
        <v>239</v>
      </c>
      <c r="J1134" s="7" t="str">
        <f t="shared" si="53"/>
        <v>₹200–₹500</v>
      </c>
      <c r="K1134" s="1">
        <v>0</v>
      </c>
      <c r="L1134" s="1" t="str">
        <f t="shared" si="51"/>
        <v>&lt;50%</v>
      </c>
      <c r="M1134">
        <v>4.3</v>
      </c>
      <c r="N1134" s="2">
        <v>7</v>
      </c>
      <c r="O1134" s="5">
        <f t="shared" si="52"/>
        <v>1673</v>
      </c>
      <c r="P1134">
        <f>MAX(Table1[RATING COUNT])</f>
        <v>426973</v>
      </c>
    </row>
    <row r="1135" spans="1:16">
      <c r="A1135" t="s">
        <v>2629</v>
      </c>
      <c r="B1135" t="s">
        <v>1094</v>
      </c>
      <c r="D1135" t="s">
        <v>1416</v>
      </c>
      <c r="E1135" t="s">
        <v>1508</v>
      </c>
      <c r="F1135" t="s">
        <v>1509</v>
      </c>
      <c r="G1135" t="s">
        <v>1522</v>
      </c>
      <c r="H1135" s="7">
        <v>699</v>
      </c>
      <c r="I1135" s="7">
        <v>1599</v>
      </c>
      <c r="J1135" s="7" t="str">
        <f t="shared" si="53"/>
        <v>&gt;₹500</v>
      </c>
      <c r="K1135" s="1">
        <v>0.56000000000000005</v>
      </c>
      <c r="L1135" s="1" t="str">
        <f t="shared" si="51"/>
        <v>50% or More</v>
      </c>
      <c r="M1135">
        <v>4.7</v>
      </c>
      <c r="N1135" s="2">
        <v>1729</v>
      </c>
      <c r="O1135" s="5">
        <f t="shared" si="52"/>
        <v>2764671</v>
      </c>
      <c r="P1135">
        <f>MAX(Table1[RATING COUNT])</f>
        <v>426973</v>
      </c>
    </row>
    <row r="1136" spans="1:16">
      <c r="A1136" t="s">
        <v>2630</v>
      </c>
      <c r="B1136" t="s">
        <v>1095</v>
      </c>
      <c r="D1136" t="s">
        <v>1416</v>
      </c>
      <c r="E1136" t="s">
        <v>1508</v>
      </c>
      <c r="F1136" t="s">
        <v>1509</v>
      </c>
      <c r="H1136" s="7">
        <v>2599</v>
      </c>
      <c r="I1136" s="7">
        <v>4290</v>
      </c>
      <c r="J1136" s="7" t="str">
        <f t="shared" si="53"/>
        <v>&gt;₹500</v>
      </c>
      <c r="K1136" s="1">
        <v>0.39</v>
      </c>
      <c r="L1136" s="1" t="str">
        <f t="shared" si="51"/>
        <v>&lt;50%</v>
      </c>
      <c r="M1136">
        <v>4.4000000000000004</v>
      </c>
      <c r="N1136" s="2">
        <v>2116</v>
      </c>
      <c r="O1136" s="5">
        <f t="shared" si="52"/>
        <v>9077640</v>
      </c>
      <c r="P1136">
        <f>MAX(Table1[RATING COUNT])</f>
        <v>426973</v>
      </c>
    </row>
    <row r="1137" spans="1:16">
      <c r="A1137" t="s">
        <v>2631</v>
      </c>
      <c r="B1137" t="s">
        <v>1096</v>
      </c>
      <c r="D1137" t="s">
        <v>1416</v>
      </c>
      <c r="E1137" t="s">
        <v>1508</v>
      </c>
      <c r="F1137" t="s">
        <v>1515</v>
      </c>
      <c r="G1137" t="s">
        <v>1533</v>
      </c>
      <c r="H1137" s="7">
        <v>1547</v>
      </c>
      <c r="I1137" s="7">
        <v>2890</v>
      </c>
      <c r="J1137" s="7" t="str">
        <f t="shared" si="53"/>
        <v>&gt;₹500</v>
      </c>
      <c r="K1137" s="1">
        <v>0.46</v>
      </c>
      <c r="L1137" s="1" t="str">
        <f t="shared" si="51"/>
        <v>&lt;50%</v>
      </c>
      <c r="M1137">
        <v>3.9</v>
      </c>
      <c r="N1137" s="2">
        <v>463</v>
      </c>
      <c r="O1137" s="5">
        <f t="shared" si="52"/>
        <v>1338070</v>
      </c>
      <c r="P1137">
        <f>MAX(Table1[RATING COUNT])</f>
        <v>426973</v>
      </c>
    </row>
    <row r="1138" spans="1:16">
      <c r="A1138" t="s">
        <v>2632</v>
      </c>
      <c r="B1138" t="s">
        <v>1097</v>
      </c>
      <c r="D1138" t="s">
        <v>1416</v>
      </c>
      <c r="E1138" t="s">
        <v>1508</v>
      </c>
      <c r="F1138" t="s">
        <v>1509</v>
      </c>
      <c r="G1138" t="s">
        <v>1522</v>
      </c>
      <c r="H1138" s="7">
        <v>499</v>
      </c>
      <c r="I1138" s="7">
        <v>1299</v>
      </c>
      <c r="J1138" s="7" t="str">
        <f t="shared" si="53"/>
        <v>&gt;₹500</v>
      </c>
      <c r="K1138" s="1">
        <v>0.62</v>
      </c>
      <c r="L1138" s="1" t="str">
        <f t="shared" si="51"/>
        <v>50% or More</v>
      </c>
      <c r="M1138">
        <v>4.7</v>
      </c>
      <c r="N1138" s="2">
        <v>54</v>
      </c>
      <c r="O1138" s="5">
        <f t="shared" si="52"/>
        <v>70146</v>
      </c>
      <c r="P1138">
        <f>MAX(Table1[RATING COUNT])</f>
        <v>426973</v>
      </c>
    </row>
    <row r="1139" spans="1:16">
      <c r="A1139" t="s">
        <v>2633</v>
      </c>
      <c r="B1139" t="s">
        <v>1098</v>
      </c>
      <c r="D1139" t="s">
        <v>1416</v>
      </c>
      <c r="E1139" t="s">
        <v>1511</v>
      </c>
      <c r="F1139" t="s">
        <v>1524</v>
      </c>
      <c r="G1139" t="s">
        <v>1527</v>
      </c>
      <c r="H1139" s="7">
        <v>510</v>
      </c>
      <c r="I1139" s="7">
        <v>640</v>
      </c>
      <c r="J1139" s="7" t="str">
        <f t="shared" si="53"/>
        <v>&gt;₹500</v>
      </c>
      <c r="K1139" s="1">
        <v>0.2</v>
      </c>
      <c r="L1139" s="1" t="str">
        <f t="shared" si="51"/>
        <v>&lt;50%</v>
      </c>
      <c r="M1139">
        <v>4.0999999999999996</v>
      </c>
      <c r="N1139" s="2">
        <v>7229</v>
      </c>
      <c r="O1139" s="5">
        <f t="shared" si="52"/>
        <v>4626560</v>
      </c>
      <c r="P1139">
        <f>MAX(Table1[RATING COUNT])</f>
        <v>426973</v>
      </c>
    </row>
    <row r="1140" spans="1:16">
      <c r="A1140" t="s">
        <v>2634</v>
      </c>
      <c r="B1140" t="s">
        <v>1099</v>
      </c>
      <c r="D1140" t="s">
        <v>1416</v>
      </c>
      <c r="E1140" t="s">
        <v>1511</v>
      </c>
      <c r="F1140" t="s">
        <v>1524</v>
      </c>
      <c r="G1140" t="s">
        <v>1525</v>
      </c>
      <c r="H1140" s="7">
        <v>1899</v>
      </c>
      <c r="I1140" s="7">
        <v>3790</v>
      </c>
      <c r="J1140" s="7" t="str">
        <f t="shared" si="53"/>
        <v>&gt;₹500</v>
      </c>
      <c r="K1140" s="1">
        <v>0.5</v>
      </c>
      <c r="L1140" s="1" t="str">
        <f t="shared" si="51"/>
        <v>50% or More</v>
      </c>
      <c r="M1140">
        <v>3.8</v>
      </c>
      <c r="N1140" s="2">
        <v>3842</v>
      </c>
      <c r="O1140" s="5">
        <f t="shared" si="52"/>
        <v>14561180</v>
      </c>
      <c r="P1140">
        <f>MAX(Table1[RATING COUNT])</f>
        <v>426973</v>
      </c>
    </row>
    <row r="1141" spans="1:16">
      <c r="A1141" t="s">
        <v>2635</v>
      </c>
      <c r="B1141" t="s">
        <v>1100</v>
      </c>
      <c r="D1141" t="s">
        <v>1416</v>
      </c>
      <c r="E1141" t="s">
        <v>1511</v>
      </c>
      <c r="F1141" t="s">
        <v>1524</v>
      </c>
      <c r="G1141" t="s">
        <v>1525</v>
      </c>
      <c r="H1141" s="7">
        <v>2599</v>
      </c>
      <c r="I1141" s="7">
        <v>4560</v>
      </c>
      <c r="J1141" s="7" t="str">
        <f t="shared" si="53"/>
        <v>&gt;₹500</v>
      </c>
      <c r="K1141" s="1">
        <v>0.43</v>
      </c>
      <c r="L1141" s="1" t="str">
        <f t="shared" si="51"/>
        <v>&lt;50%</v>
      </c>
      <c r="M1141">
        <v>4.4000000000000004</v>
      </c>
      <c r="N1141" s="2">
        <v>646</v>
      </c>
      <c r="O1141" s="5">
        <f t="shared" si="52"/>
        <v>2945760</v>
      </c>
      <c r="P1141">
        <f>MAX(Table1[RATING COUNT])</f>
        <v>426973</v>
      </c>
    </row>
    <row r="1142" spans="1:16">
      <c r="A1142" t="s">
        <v>2636</v>
      </c>
      <c r="B1142" t="s">
        <v>1101</v>
      </c>
      <c r="D1142" t="s">
        <v>1416</v>
      </c>
      <c r="E1142" t="s">
        <v>1508</v>
      </c>
      <c r="F1142" t="s">
        <v>1509</v>
      </c>
      <c r="G1142" t="s">
        <v>1534</v>
      </c>
      <c r="H1142" s="7">
        <v>1199</v>
      </c>
      <c r="I1142" s="7">
        <v>3500</v>
      </c>
      <c r="J1142" s="7" t="str">
        <f t="shared" si="53"/>
        <v>&gt;₹500</v>
      </c>
      <c r="K1142" s="1">
        <v>0.66</v>
      </c>
      <c r="L1142" s="1" t="str">
        <f t="shared" si="51"/>
        <v>50% or More</v>
      </c>
      <c r="M1142">
        <v>4.3</v>
      </c>
      <c r="N1142" s="2">
        <v>1802</v>
      </c>
      <c r="O1142" s="5">
        <f t="shared" si="52"/>
        <v>6307000</v>
      </c>
      <c r="P1142">
        <f>MAX(Table1[RATING COUNT])</f>
        <v>426973</v>
      </c>
    </row>
    <row r="1143" spans="1:16">
      <c r="A1143" t="s">
        <v>2637</v>
      </c>
      <c r="B1143" t="s">
        <v>1102</v>
      </c>
      <c r="D1143" t="s">
        <v>1416</v>
      </c>
      <c r="E1143" t="s">
        <v>1511</v>
      </c>
      <c r="F1143" t="s">
        <v>1524</v>
      </c>
      <c r="G1143" t="s">
        <v>1525</v>
      </c>
      <c r="H1143" s="7">
        <v>999</v>
      </c>
      <c r="I1143" s="7">
        <v>2600</v>
      </c>
      <c r="J1143" s="7" t="str">
        <f t="shared" si="53"/>
        <v>&gt;₹500</v>
      </c>
      <c r="K1143" s="1">
        <v>0.62</v>
      </c>
      <c r="L1143" s="1" t="str">
        <f t="shared" si="51"/>
        <v>50% or More</v>
      </c>
      <c r="M1143">
        <v>3.4</v>
      </c>
      <c r="N1143" s="2">
        <v>252</v>
      </c>
      <c r="O1143" s="5">
        <f t="shared" si="52"/>
        <v>655200</v>
      </c>
      <c r="P1143">
        <f>MAX(Table1[RATING COUNT])</f>
        <v>426973</v>
      </c>
    </row>
    <row r="1144" spans="1:16">
      <c r="A1144" t="s">
        <v>2638</v>
      </c>
      <c r="B1144" t="s">
        <v>1103</v>
      </c>
      <c r="D1144" t="s">
        <v>1416</v>
      </c>
      <c r="E1144" t="s">
        <v>1508</v>
      </c>
      <c r="F1144" t="s">
        <v>1509</v>
      </c>
      <c r="G1144" t="s">
        <v>1521</v>
      </c>
      <c r="H1144" s="7">
        <v>1999</v>
      </c>
      <c r="I1144" s="7">
        <v>3300</v>
      </c>
      <c r="J1144" s="7" t="str">
        <f t="shared" si="53"/>
        <v>&gt;₹500</v>
      </c>
      <c r="K1144" s="1">
        <v>0.39</v>
      </c>
      <c r="L1144" s="1" t="str">
        <f t="shared" si="51"/>
        <v>&lt;50%</v>
      </c>
      <c r="M1144">
        <v>4.2</v>
      </c>
      <c r="N1144" s="2">
        <v>780</v>
      </c>
      <c r="O1144" s="5">
        <f t="shared" si="52"/>
        <v>2574000</v>
      </c>
      <c r="P1144">
        <f>MAX(Table1[RATING COUNT])</f>
        <v>426973</v>
      </c>
    </row>
    <row r="1145" spans="1:16">
      <c r="A1145" t="s">
        <v>2639</v>
      </c>
      <c r="B1145" t="s">
        <v>1104</v>
      </c>
      <c r="D1145" t="s">
        <v>1416</v>
      </c>
      <c r="E1145" t="s">
        <v>1508</v>
      </c>
      <c r="F1145" t="s">
        <v>1509</v>
      </c>
      <c r="G1145" t="s">
        <v>1522</v>
      </c>
      <c r="H1145" s="7">
        <v>210</v>
      </c>
      <c r="I1145" s="7">
        <v>699</v>
      </c>
      <c r="J1145" s="7" t="str">
        <f t="shared" si="53"/>
        <v>&gt;₹500</v>
      </c>
      <c r="K1145" s="1">
        <v>0.7</v>
      </c>
      <c r="L1145" s="1" t="str">
        <f t="shared" si="51"/>
        <v>50% or More</v>
      </c>
      <c r="M1145">
        <v>3.7</v>
      </c>
      <c r="N1145" s="2">
        <v>74</v>
      </c>
      <c r="O1145" s="5">
        <f t="shared" si="52"/>
        <v>51726</v>
      </c>
      <c r="P1145">
        <f>MAX(Table1[RATING COUNT])</f>
        <v>426973</v>
      </c>
    </row>
    <row r="1146" spans="1:16">
      <c r="A1146" t="s">
        <v>2640</v>
      </c>
      <c r="B1146" t="s">
        <v>1105</v>
      </c>
      <c r="D1146" t="s">
        <v>1416</v>
      </c>
      <c r="E1146" t="s">
        <v>1511</v>
      </c>
      <c r="F1146" t="s">
        <v>1556</v>
      </c>
      <c r="G1146" t="s">
        <v>1557</v>
      </c>
      <c r="H1146" s="7">
        <v>14499</v>
      </c>
      <c r="I1146" s="7">
        <v>23559</v>
      </c>
      <c r="J1146" s="7" t="str">
        <f t="shared" si="53"/>
        <v>&gt;₹500</v>
      </c>
      <c r="K1146" s="1">
        <v>0.38</v>
      </c>
      <c r="L1146" s="1" t="str">
        <f t="shared" si="51"/>
        <v>&lt;50%</v>
      </c>
      <c r="M1146">
        <v>4.3</v>
      </c>
      <c r="N1146" s="2">
        <v>2026</v>
      </c>
      <c r="O1146" s="5">
        <f t="shared" si="52"/>
        <v>47730534</v>
      </c>
      <c r="P1146">
        <f>MAX(Table1[RATING COUNT])</f>
        <v>426973</v>
      </c>
    </row>
    <row r="1147" spans="1:16">
      <c r="A1147" t="s">
        <v>2641</v>
      </c>
      <c r="B1147" t="s">
        <v>1106</v>
      </c>
      <c r="D1147" t="s">
        <v>1416</v>
      </c>
      <c r="E1147" t="s">
        <v>1529</v>
      </c>
      <c r="F1147" t="s">
        <v>1530</v>
      </c>
      <c r="G1147" t="s">
        <v>1531</v>
      </c>
      <c r="H1147" s="7">
        <v>950</v>
      </c>
      <c r="I1147" s="7">
        <v>1599</v>
      </c>
      <c r="J1147" s="7" t="str">
        <f t="shared" si="53"/>
        <v>&gt;₹500</v>
      </c>
      <c r="K1147" s="1">
        <v>0.41</v>
      </c>
      <c r="L1147" s="1" t="str">
        <f t="shared" si="51"/>
        <v>&lt;50%</v>
      </c>
      <c r="M1147">
        <v>4.3</v>
      </c>
      <c r="N1147" s="2">
        <v>5911</v>
      </c>
      <c r="O1147" s="5">
        <f t="shared" si="52"/>
        <v>9451689</v>
      </c>
      <c r="P1147">
        <f>MAX(Table1[RATING COUNT])</f>
        <v>426973</v>
      </c>
    </row>
    <row r="1148" spans="1:16">
      <c r="A1148" t="s">
        <v>2642</v>
      </c>
      <c r="B1148" t="s">
        <v>1107</v>
      </c>
      <c r="D1148" t="s">
        <v>1416</v>
      </c>
      <c r="E1148" t="s">
        <v>1508</v>
      </c>
      <c r="F1148" t="s">
        <v>1509</v>
      </c>
      <c r="G1148" t="s">
        <v>1528</v>
      </c>
      <c r="H1148" s="7">
        <v>7199</v>
      </c>
      <c r="I1148" s="7">
        <v>9995</v>
      </c>
      <c r="J1148" s="7" t="str">
        <f t="shared" si="53"/>
        <v>&gt;₹500</v>
      </c>
      <c r="K1148" s="1">
        <v>0.28000000000000003</v>
      </c>
      <c r="L1148" s="1" t="str">
        <f t="shared" si="51"/>
        <v>&lt;50%</v>
      </c>
      <c r="M1148">
        <v>4.4000000000000004</v>
      </c>
      <c r="N1148" s="2">
        <v>1964</v>
      </c>
      <c r="O1148" s="5">
        <f t="shared" si="52"/>
        <v>19630180</v>
      </c>
      <c r="P1148">
        <f>MAX(Table1[RATING COUNT])</f>
        <v>426973</v>
      </c>
    </row>
    <row r="1149" spans="1:16">
      <c r="A1149" t="s">
        <v>2643</v>
      </c>
      <c r="B1149" t="s">
        <v>1108</v>
      </c>
      <c r="D1149" t="s">
        <v>1416</v>
      </c>
      <c r="E1149" t="s">
        <v>1511</v>
      </c>
      <c r="F1149" t="s">
        <v>1512</v>
      </c>
      <c r="G1149" t="s">
        <v>1513</v>
      </c>
      <c r="H1149" s="7">
        <v>2439</v>
      </c>
      <c r="I1149" s="7">
        <v>2545</v>
      </c>
      <c r="J1149" s="7" t="str">
        <f t="shared" si="53"/>
        <v>&gt;₹500</v>
      </c>
      <c r="K1149" s="1">
        <v>0.04</v>
      </c>
      <c r="L1149" s="1" t="str">
        <f t="shared" si="51"/>
        <v>&lt;50%</v>
      </c>
      <c r="M1149">
        <v>4.0999999999999996</v>
      </c>
      <c r="N1149" s="2">
        <v>25</v>
      </c>
      <c r="O1149" s="5">
        <f t="shared" si="52"/>
        <v>63625</v>
      </c>
      <c r="P1149">
        <f>MAX(Table1[RATING COUNT])</f>
        <v>426973</v>
      </c>
    </row>
    <row r="1150" spans="1:16">
      <c r="A1150" t="s">
        <v>2644</v>
      </c>
      <c r="B1150" t="s">
        <v>1109</v>
      </c>
      <c r="D1150" t="s">
        <v>1416</v>
      </c>
      <c r="E1150" t="s">
        <v>1508</v>
      </c>
      <c r="F1150" t="s">
        <v>1515</v>
      </c>
      <c r="G1150" t="s">
        <v>1516</v>
      </c>
      <c r="H1150" s="7">
        <v>7799</v>
      </c>
      <c r="I1150" s="7">
        <v>8995</v>
      </c>
      <c r="J1150" s="7" t="str">
        <f t="shared" si="53"/>
        <v>&gt;₹500</v>
      </c>
      <c r="K1150" s="1">
        <v>0.13</v>
      </c>
      <c r="L1150" s="1" t="str">
        <f t="shared" si="51"/>
        <v>&lt;50%</v>
      </c>
      <c r="M1150">
        <v>4</v>
      </c>
      <c r="N1150" s="2">
        <v>3160</v>
      </c>
      <c r="O1150" s="5">
        <f t="shared" si="52"/>
        <v>28424200</v>
      </c>
      <c r="P1150">
        <f>MAX(Table1[RATING COUNT])</f>
        <v>426973</v>
      </c>
    </row>
    <row r="1151" spans="1:16">
      <c r="A1151" t="s">
        <v>2645</v>
      </c>
      <c r="B1151" t="s">
        <v>1110</v>
      </c>
      <c r="D1151" t="s">
        <v>1416</v>
      </c>
      <c r="E1151" t="s">
        <v>1508</v>
      </c>
      <c r="F1151" t="s">
        <v>1509</v>
      </c>
      <c r="G1151" t="s">
        <v>1536</v>
      </c>
      <c r="H1151" s="7">
        <v>1599</v>
      </c>
      <c r="I1151" s="7">
        <v>1999</v>
      </c>
      <c r="J1151" s="7" t="str">
        <f t="shared" si="53"/>
        <v>&gt;₹500</v>
      </c>
      <c r="K1151" s="1">
        <v>0.2</v>
      </c>
      <c r="L1151" s="1" t="str">
        <f t="shared" si="51"/>
        <v>&lt;50%</v>
      </c>
      <c r="M1151">
        <v>4.4000000000000004</v>
      </c>
      <c r="N1151" s="2">
        <v>1558</v>
      </c>
      <c r="O1151" s="5">
        <f t="shared" si="52"/>
        <v>3114442</v>
      </c>
      <c r="P1151">
        <f>MAX(Table1[RATING COUNT])</f>
        <v>426973</v>
      </c>
    </row>
    <row r="1152" spans="1:16">
      <c r="A1152" t="s">
        <v>2646</v>
      </c>
      <c r="B1152" t="s">
        <v>1111</v>
      </c>
      <c r="D1152" t="s">
        <v>1416</v>
      </c>
      <c r="E1152" t="s">
        <v>1508</v>
      </c>
      <c r="F1152" t="s">
        <v>1509</v>
      </c>
      <c r="G1152" t="s">
        <v>1523</v>
      </c>
      <c r="H1152" s="7">
        <v>2899</v>
      </c>
      <c r="I1152" s="7">
        <v>5500</v>
      </c>
      <c r="J1152" s="7" t="str">
        <f t="shared" si="53"/>
        <v>&gt;₹500</v>
      </c>
      <c r="K1152" s="1">
        <v>0.47</v>
      </c>
      <c r="L1152" s="1" t="str">
        <f t="shared" si="51"/>
        <v>&lt;50%</v>
      </c>
      <c r="M1152">
        <v>3.8</v>
      </c>
      <c r="N1152" s="2">
        <v>8958</v>
      </c>
      <c r="O1152" s="5">
        <f t="shared" si="52"/>
        <v>49269000</v>
      </c>
      <c r="P1152">
        <f>MAX(Table1[RATING COUNT])</f>
        <v>426973</v>
      </c>
    </row>
    <row r="1153" spans="1:16">
      <c r="A1153" t="s">
        <v>2647</v>
      </c>
      <c r="B1153" t="s">
        <v>1112</v>
      </c>
      <c r="D1153" t="s">
        <v>1416</v>
      </c>
      <c r="E1153" t="s">
        <v>1508</v>
      </c>
      <c r="F1153" t="s">
        <v>1560</v>
      </c>
      <c r="G1153" t="s">
        <v>1561</v>
      </c>
      <c r="H1153" s="7">
        <v>9799</v>
      </c>
      <c r="I1153" s="7">
        <v>12150</v>
      </c>
      <c r="J1153" s="7" t="str">
        <f t="shared" si="53"/>
        <v>&gt;₹500</v>
      </c>
      <c r="K1153" s="1">
        <v>0.19</v>
      </c>
      <c r="L1153" s="1" t="str">
        <f t="shared" si="51"/>
        <v>&lt;50%</v>
      </c>
      <c r="M1153">
        <v>4.3</v>
      </c>
      <c r="N1153" s="2">
        <v>13251</v>
      </c>
      <c r="O1153" s="5">
        <f t="shared" si="52"/>
        <v>160999650</v>
      </c>
      <c r="P1153">
        <f>MAX(Table1[RATING COUNT])</f>
        <v>426973</v>
      </c>
    </row>
    <row r="1154" spans="1:16">
      <c r="A1154" t="s">
        <v>2648</v>
      </c>
      <c r="B1154" t="s">
        <v>1113</v>
      </c>
      <c r="D1154" t="s">
        <v>1416</v>
      </c>
      <c r="E1154" t="s">
        <v>1508</v>
      </c>
      <c r="F1154" t="s">
        <v>1515</v>
      </c>
      <c r="G1154" t="s">
        <v>1516</v>
      </c>
      <c r="H1154" s="7">
        <v>3299</v>
      </c>
      <c r="I1154" s="7">
        <v>4995</v>
      </c>
      <c r="J1154" s="7" t="str">
        <f t="shared" si="53"/>
        <v>&gt;₹500</v>
      </c>
      <c r="K1154" s="1">
        <v>0.34</v>
      </c>
      <c r="L1154" s="1" t="str">
        <f t="shared" ref="L1154:L1217" si="54">IF(K1154&gt;=50%,"50% or More","&lt;50%")</f>
        <v>&lt;50%</v>
      </c>
      <c r="M1154">
        <v>3.8</v>
      </c>
      <c r="N1154" s="2">
        <v>1393</v>
      </c>
      <c r="O1154" s="5">
        <f t="shared" ref="O1154:O1217" si="55">I1154*N1154</f>
        <v>6958035</v>
      </c>
      <c r="P1154">
        <f>MAX(Table1[RATING COUNT])</f>
        <v>426973</v>
      </c>
    </row>
    <row r="1155" spans="1:16">
      <c r="A1155" t="s">
        <v>2649</v>
      </c>
      <c r="B1155" t="s">
        <v>1114</v>
      </c>
      <c r="D1155" t="s">
        <v>1416</v>
      </c>
      <c r="E1155" t="s">
        <v>1508</v>
      </c>
      <c r="F1155" t="s">
        <v>1509</v>
      </c>
      <c r="G1155" t="s">
        <v>1522</v>
      </c>
      <c r="H1155" s="7">
        <v>669</v>
      </c>
      <c r="I1155" s="7">
        <v>1499</v>
      </c>
      <c r="J1155" s="7" t="str">
        <f t="shared" ref="J1155:J1218" si="56">IF(I1155&lt;200, "&lt;₹200", IF(I1155&lt;=500, "₹200–₹500", "&gt;₹500"))</f>
        <v>&gt;₹500</v>
      </c>
      <c r="K1155" s="1">
        <v>0.55000000000000004</v>
      </c>
      <c r="L1155" s="1" t="str">
        <f t="shared" si="54"/>
        <v>50% or More</v>
      </c>
      <c r="M1155">
        <v>2.2999999999999998</v>
      </c>
      <c r="N1155" s="2">
        <v>13</v>
      </c>
      <c r="O1155" s="5">
        <f t="shared" si="55"/>
        <v>19487</v>
      </c>
      <c r="P1155">
        <f>MAX(Table1[RATING COUNT])</f>
        <v>426973</v>
      </c>
    </row>
    <row r="1156" spans="1:16">
      <c r="A1156" t="s">
        <v>2650</v>
      </c>
      <c r="B1156" t="s">
        <v>1115</v>
      </c>
      <c r="D1156" t="s">
        <v>1416</v>
      </c>
      <c r="E1156" t="s">
        <v>1508</v>
      </c>
      <c r="F1156" t="s">
        <v>1509</v>
      </c>
      <c r="G1156" t="s">
        <v>1532</v>
      </c>
      <c r="H1156" s="7">
        <v>5890</v>
      </c>
      <c r="I1156" s="7">
        <v>7506</v>
      </c>
      <c r="J1156" s="7" t="str">
        <f t="shared" si="56"/>
        <v>&gt;₹500</v>
      </c>
      <c r="K1156" s="1">
        <v>0.22</v>
      </c>
      <c r="L1156" s="1" t="str">
        <f t="shared" si="54"/>
        <v>&lt;50%</v>
      </c>
      <c r="M1156">
        <v>4.5</v>
      </c>
      <c r="N1156" s="2">
        <v>7241</v>
      </c>
      <c r="O1156" s="5">
        <f t="shared" si="55"/>
        <v>54350946</v>
      </c>
      <c r="P1156">
        <f>MAX(Table1[RATING COUNT])</f>
        <v>426973</v>
      </c>
    </row>
    <row r="1157" spans="1:16">
      <c r="A1157" t="s">
        <v>2651</v>
      </c>
      <c r="B1157" t="s">
        <v>1116</v>
      </c>
      <c r="D1157" t="s">
        <v>1416</v>
      </c>
      <c r="E1157" t="s">
        <v>1508</v>
      </c>
      <c r="F1157" t="s">
        <v>1548</v>
      </c>
      <c r="G1157" t="s">
        <v>1558</v>
      </c>
      <c r="H1157" s="7">
        <v>9199</v>
      </c>
      <c r="I1157" s="7">
        <v>18000</v>
      </c>
      <c r="J1157" s="7" t="str">
        <f t="shared" si="56"/>
        <v>&gt;₹500</v>
      </c>
      <c r="K1157" s="1">
        <v>0.49</v>
      </c>
      <c r="L1157" s="1" t="str">
        <f t="shared" si="54"/>
        <v>&lt;50%</v>
      </c>
      <c r="M1157">
        <v>4</v>
      </c>
      <c r="N1157" s="2">
        <v>16020</v>
      </c>
      <c r="O1157" s="5">
        <f t="shared" si="55"/>
        <v>288360000</v>
      </c>
      <c r="P1157">
        <f>MAX(Table1[RATING COUNT])</f>
        <v>426973</v>
      </c>
    </row>
    <row r="1158" spans="1:16">
      <c r="A1158" t="s">
        <v>2652</v>
      </c>
      <c r="B1158" t="s">
        <v>1117</v>
      </c>
      <c r="D1158" t="s">
        <v>1416</v>
      </c>
      <c r="E1158" t="s">
        <v>1529</v>
      </c>
      <c r="F1158" t="s">
        <v>1530</v>
      </c>
      <c r="G1158" t="s">
        <v>1531</v>
      </c>
      <c r="H1158" s="7">
        <v>351</v>
      </c>
      <c r="I1158" s="7">
        <v>1099</v>
      </c>
      <c r="J1158" s="7" t="str">
        <f t="shared" si="56"/>
        <v>&gt;₹500</v>
      </c>
      <c r="K1158" s="1">
        <v>0.68</v>
      </c>
      <c r="L1158" s="1" t="str">
        <f t="shared" si="54"/>
        <v>50% or More</v>
      </c>
      <c r="M1158">
        <v>3.7</v>
      </c>
      <c r="N1158" s="2">
        <v>1470</v>
      </c>
      <c r="O1158" s="5">
        <f t="shared" si="55"/>
        <v>1615530</v>
      </c>
      <c r="P1158">
        <f>MAX(Table1[RATING COUNT])</f>
        <v>426973</v>
      </c>
    </row>
    <row r="1159" spans="1:16">
      <c r="A1159" t="s">
        <v>2653</v>
      </c>
      <c r="B1159" t="s">
        <v>1118</v>
      </c>
      <c r="D1159" t="s">
        <v>1567</v>
      </c>
      <c r="E1159" t="s">
        <v>1568</v>
      </c>
      <c r="F1159" t="s">
        <v>1569</v>
      </c>
      <c r="G1159" t="s">
        <v>1570</v>
      </c>
      <c r="H1159" s="7">
        <v>899</v>
      </c>
      <c r="I1159" s="7">
        <v>1900</v>
      </c>
      <c r="J1159" s="7" t="str">
        <f t="shared" si="56"/>
        <v>&gt;₹500</v>
      </c>
      <c r="K1159" s="1">
        <v>0.53</v>
      </c>
      <c r="L1159" s="1" t="str">
        <f t="shared" si="54"/>
        <v>50% or More</v>
      </c>
      <c r="M1159">
        <v>4</v>
      </c>
      <c r="N1159" s="2">
        <v>3663</v>
      </c>
      <c r="O1159" s="5">
        <f t="shared" si="55"/>
        <v>6959700</v>
      </c>
      <c r="P1159">
        <f>MAX(Table1[RATING COUNT])</f>
        <v>426973</v>
      </c>
    </row>
    <row r="1160" spans="1:16">
      <c r="A1160" t="s">
        <v>2654</v>
      </c>
      <c r="B1160" t="s">
        <v>1119</v>
      </c>
      <c r="D1160" t="s">
        <v>1416</v>
      </c>
      <c r="E1160" t="s">
        <v>1508</v>
      </c>
      <c r="F1160" t="s">
        <v>1509</v>
      </c>
      <c r="G1160" t="s">
        <v>1510</v>
      </c>
      <c r="H1160" s="7">
        <v>1349</v>
      </c>
      <c r="I1160" s="7">
        <v>1850</v>
      </c>
      <c r="J1160" s="7" t="str">
        <f t="shared" si="56"/>
        <v>&gt;₹500</v>
      </c>
      <c r="K1160" s="1">
        <v>0.27</v>
      </c>
      <c r="L1160" s="1" t="str">
        <f t="shared" si="54"/>
        <v>&lt;50%</v>
      </c>
      <c r="M1160">
        <v>4.4000000000000004</v>
      </c>
      <c r="N1160" s="2">
        <v>638</v>
      </c>
      <c r="O1160" s="5">
        <f t="shared" si="55"/>
        <v>1180300</v>
      </c>
      <c r="P1160">
        <f>MAX(Table1[RATING COUNT])</f>
        <v>426973</v>
      </c>
    </row>
    <row r="1161" spans="1:16">
      <c r="A1161" t="s">
        <v>2655</v>
      </c>
      <c r="B1161" t="s">
        <v>1120</v>
      </c>
      <c r="D1161" t="s">
        <v>1416</v>
      </c>
      <c r="E1161" t="s">
        <v>1508</v>
      </c>
      <c r="F1161" t="s">
        <v>1515</v>
      </c>
      <c r="G1161" t="s">
        <v>1533</v>
      </c>
      <c r="H1161" s="7">
        <v>6236</v>
      </c>
      <c r="I1161" s="7">
        <v>9999</v>
      </c>
      <c r="J1161" s="7" t="str">
        <f t="shared" si="56"/>
        <v>&gt;₹500</v>
      </c>
      <c r="K1161" s="1">
        <v>0.38</v>
      </c>
      <c r="L1161" s="1" t="str">
        <f t="shared" si="54"/>
        <v>&lt;50%</v>
      </c>
      <c r="M1161">
        <v>4.0999999999999996</v>
      </c>
      <c r="N1161" s="2">
        <v>3552</v>
      </c>
      <c r="O1161" s="5">
        <f t="shared" si="55"/>
        <v>35516448</v>
      </c>
      <c r="P1161">
        <f>MAX(Table1[RATING COUNT])</f>
        <v>426973</v>
      </c>
    </row>
    <row r="1162" spans="1:16">
      <c r="A1162" t="s">
        <v>2656</v>
      </c>
      <c r="B1162" t="s">
        <v>1121</v>
      </c>
      <c r="D1162" t="s">
        <v>1416</v>
      </c>
      <c r="E1162" t="s">
        <v>1508</v>
      </c>
      <c r="F1162" t="s">
        <v>1509</v>
      </c>
      <c r="G1162" t="s">
        <v>1522</v>
      </c>
      <c r="H1162" s="7">
        <v>2742</v>
      </c>
      <c r="I1162" s="7">
        <v>3995</v>
      </c>
      <c r="J1162" s="7" t="str">
        <f t="shared" si="56"/>
        <v>&gt;₹500</v>
      </c>
      <c r="K1162" s="1">
        <v>0.31</v>
      </c>
      <c r="L1162" s="1" t="str">
        <f t="shared" si="54"/>
        <v>&lt;50%</v>
      </c>
      <c r="M1162">
        <v>4.4000000000000004</v>
      </c>
      <c r="N1162" s="2">
        <v>11148</v>
      </c>
      <c r="O1162" s="5">
        <f t="shared" si="55"/>
        <v>44536260</v>
      </c>
      <c r="P1162">
        <f>MAX(Table1[RATING COUNT])</f>
        <v>426973</v>
      </c>
    </row>
    <row r="1163" spans="1:16">
      <c r="A1163" t="s">
        <v>2657</v>
      </c>
      <c r="B1163" t="s">
        <v>1122</v>
      </c>
      <c r="D1163" t="s">
        <v>1416</v>
      </c>
      <c r="E1163" t="s">
        <v>1508</v>
      </c>
      <c r="F1163" t="s">
        <v>1560</v>
      </c>
      <c r="G1163" t="s">
        <v>1561</v>
      </c>
      <c r="H1163" s="7">
        <v>721</v>
      </c>
      <c r="I1163" s="7">
        <v>1499</v>
      </c>
      <c r="J1163" s="7" t="str">
        <f t="shared" si="56"/>
        <v>&gt;₹500</v>
      </c>
      <c r="K1163" s="1">
        <v>0.52</v>
      </c>
      <c r="L1163" s="1" t="str">
        <f t="shared" si="54"/>
        <v>50% or More</v>
      </c>
      <c r="M1163">
        <v>3.1</v>
      </c>
      <c r="N1163" s="2">
        <v>2449</v>
      </c>
      <c r="O1163" s="5">
        <f t="shared" si="55"/>
        <v>3671051</v>
      </c>
      <c r="P1163">
        <f>MAX(Table1[RATING COUNT])</f>
        <v>426973</v>
      </c>
    </row>
    <row r="1164" spans="1:16">
      <c r="A1164" t="s">
        <v>2658</v>
      </c>
      <c r="B1164" t="s">
        <v>1123</v>
      </c>
      <c r="D1164" t="s">
        <v>1416</v>
      </c>
      <c r="E1164" t="s">
        <v>1508</v>
      </c>
      <c r="F1164" t="s">
        <v>1515</v>
      </c>
      <c r="G1164" t="s">
        <v>1516</v>
      </c>
      <c r="H1164" s="7">
        <v>2903</v>
      </c>
      <c r="I1164" s="7">
        <v>3295</v>
      </c>
      <c r="J1164" s="7" t="str">
        <f t="shared" si="56"/>
        <v>&gt;₹500</v>
      </c>
      <c r="K1164" s="1">
        <v>0.12</v>
      </c>
      <c r="L1164" s="1" t="str">
        <f t="shared" si="54"/>
        <v>&lt;50%</v>
      </c>
      <c r="M1164">
        <v>4.3</v>
      </c>
      <c r="N1164" s="2">
        <v>2299</v>
      </c>
      <c r="O1164" s="5">
        <f t="shared" si="55"/>
        <v>7575205</v>
      </c>
      <c r="P1164">
        <f>MAX(Table1[RATING COUNT])</f>
        <v>426973</v>
      </c>
    </row>
    <row r="1165" spans="1:16">
      <c r="A1165" t="s">
        <v>2659</v>
      </c>
      <c r="B1165" t="s">
        <v>1124</v>
      </c>
      <c r="D1165" t="s">
        <v>1416</v>
      </c>
      <c r="E1165" t="s">
        <v>1508</v>
      </c>
      <c r="F1165" t="s">
        <v>1509</v>
      </c>
      <c r="G1165" t="s">
        <v>1536</v>
      </c>
      <c r="H1165" s="7">
        <v>1656</v>
      </c>
      <c r="I1165" s="7">
        <v>2695</v>
      </c>
      <c r="J1165" s="7" t="str">
        <f t="shared" si="56"/>
        <v>&gt;₹500</v>
      </c>
      <c r="K1165" s="1">
        <v>0.39</v>
      </c>
      <c r="L1165" s="1" t="str">
        <f t="shared" si="54"/>
        <v>&lt;50%</v>
      </c>
      <c r="M1165">
        <v>4.4000000000000004</v>
      </c>
      <c r="N1165" s="2">
        <v>6027</v>
      </c>
      <c r="O1165" s="5">
        <f t="shared" si="55"/>
        <v>16242765</v>
      </c>
      <c r="P1165">
        <f>MAX(Table1[RATING COUNT])</f>
        <v>426973</v>
      </c>
    </row>
    <row r="1166" spans="1:16">
      <c r="A1166" t="s">
        <v>2660</v>
      </c>
      <c r="B1166" t="s">
        <v>1125</v>
      </c>
      <c r="D1166" t="s">
        <v>1416</v>
      </c>
      <c r="E1166" t="s">
        <v>1508</v>
      </c>
      <c r="F1166" t="s">
        <v>1509</v>
      </c>
      <c r="G1166" t="s">
        <v>1534</v>
      </c>
      <c r="H1166" s="7">
        <v>1399</v>
      </c>
      <c r="I1166" s="7">
        <v>2290</v>
      </c>
      <c r="J1166" s="7" t="str">
        <f t="shared" si="56"/>
        <v>&gt;₹500</v>
      </c>
      <c r="K1166" s="1">
        <v>0.39</v>
      </c>
      <c r="L1166" s="1" t="str">
        <f t="shared" si="54"/>
        <v>&lt;50%</v>
      </c>
      <c r="M1166">
        <v>4.4000000000000004</v>
      </c>
      <c r="N1166" s="2">
        <v>461</v>
      </c>
      <c r="O1166" s="5">
        <f t="shared" si="55"/>
        <v>1055690</v>
      </c>
      <c r="P1166">
        <f>MAX(Table1[RATING COUNT])</f>
        <v>426973</v>
      </c>
    </row>
    <row r="1167" spans="1:16">
      <c r="A1167" t="s">
        <v>2661</v>
      </c>
      <c r="B1167" t="s">
        <v>1126</v>
      </c>
      <c r="D1167" t="s">
        <v>1416</v>
      </c>
      <c r="E1167" t="s">
        <v>1508</v>
      </c>
      <c r="F1167" t="s">
        <v>1509</v>
      </c>
      <c r="G1167" t="s">
        <v>1535</v>
      </c>
      <c r="H1167" s="7">
        <v>2079</v>
      </c>
      <c r="I1167" s="7">
        <v>3099</v>
      </c>
      <c r="J1167" s="7" t="str">
        <f t="shared" si="56"/>
        <v>&gt;₹500</v>
      </c>
      <c r="K1167" s="1">
        <v>0.33</v>
      </c>
      <c r="L1167" s="1" t="str">
        <f t="shared" si="54"/>
        <v>&lt;50%</v>
      </c>
      <c r="M1167">
        <v>4.0999999999999996</v>
      </c>
      <c r="N1167" s="2">
        <v>282</v>
      </c>
      <c r="O1167" s="5">
        <f t="shared" si="55"/>
        <v>873918</v>
      </c>
      <c r="P1167">
        <f>MAX(Table1[RATING COUNT])</f>
        <v>426973</v>
      </c>
    </row>
    <row r="1168" spans="1:16">
      <c r="A1168" t="s">
        <v>2662</v>
      </c>
      <c r="B1168" t="s">
        <v>1127</v>
      </c>
      <c r="D1168" t="s">
        <v>1416</v>
      </c>
      <c r="E1168" t="s">
        <v>1511</v>
      </c>
      <c r="F1168" t="s">
        <v>1524</v>
      </c>
      <c r="G1168" t="s">
        <v>1527</v>
      </c>
      <c r="H1168" s="7">
        <v>999</v>
      </c>
      <c r="I1168" s="7">
        <v>1075</v>
      </c>
      <c r="J1168" s="7" t="str">
        <f t="shared" si="56"/>
        <v>&gt;₹500</v>
      </c>
      <c r="K1168" s="1">
        <v>7.0000000000000007E-2</v>
      </c>
      <c r="L1168" s="1" t="str">
        <f t="shared" si="54"/>
        <v>&lt;50%</v>
      </c>
      <c r="M1168">
        <v>4.0999999999999996</v>
      </c>
      <c r="N1168" s="2">
        <v>9275</v>
      </c>
      <c r="O1168" s="5">
        <f t="shared" si="55"/>
        <v>9970625</v>
      </c>
      <c r="P1168">
        <f>MAX(Table1[RATING COUNT])</f>
        <v>426973</v>
      </c>
    </row>
    <row r="1169" spans="1:16">
      <c r="A1169" t="s">
        <v>2663</v>
      </c>
      <c r="B1169" t="s">
        <v>1128</v>
      </c>
      <c r="D1169" t="s">
        <v>1416</v>
      </c>
      <c r="E1169" t="s">
        <v>1508</v>
      </c>
      <c r="F1169" t="s">
        <v>1515</v>
      </c>
      <c r="G1169" t="s">
        <v>1533</v>
      </c>
      <c r="H1169" s="7">
        <v>3179</v>
      </c>
      <c r="I1169" s="7">
        <v>6999</v>
      </c>
      <c r="J1169" s="7" t="str">
        <f t="shared" si="56"/>
        <v>&gt;₹500</v>
      </c>
      <c r="K1169" s="1">
        <v>0.55000000000000004</v>
      </c>
      <c r="L1169" s="1" t="str">
        <f t="shared" si="54"/>
        <v>50% or More</v>
      </c>
      <c r="M1169">
        <v>4</v>
      </c>
      <c r="N1169" s="2">
        <v>743</v>
      </c>
      <c r="O1169" s="5">
        <f t="shared" si="55"/>
        <v>5200257</v>
      </c>
      <c r="P1169">
        <f>MAX(Table1[RATING COUNT])</f>
        <v>426973</v>
      </c>
    </row>
    <row r="1170" spans="1:16">
      <c r="A1170" t="s">
        <v>2664</v>
      </c>
      <c r="B1170" t="s">
        <v>1129</v>
      </c>
      <c r="D1170" t="s">
        <v>1416</v>
      </c>
      <c r="E1170" t="s">
        <v>1511</v>
      </c>
      <c r="F1170" t="s">
        <v>1524</v>
      </c>
      <c r="G1170" t="s">
        <v>1525</v>
      </c>
      <c r="H1170" s="7">
        <v>1049</v>
      </c>
      <c r="I1170" s="7">
        <v>2499</v>
      </c>
      <c r="J1170" s="7" t="str">
        <f t="shared" si="56"/>
        <v>&gt;₹500</v>
      </c>
      <c r="K1170" s="1">
        <v>0.57999999999999996</v>
      </c>
      <c r="L1170" s="1" t="str">
        <f t="shared" si="54"/>
        <v>50% or More</v>
      </c>
      <c r="M1170">
        <v>3.6</v>
      </c>
      <c r="N1170" s="2">
        <v>328</v>
      </c>
      <c r="O1170" s="5">
        <f t="shared" si="55"/>
        <v>819672</v>
      </c>
      <c r="P1170">
        <f>MAX(Table1[RATING COUNT])</f>
        <v>426973</v>
      </c>
    </row>
    <row r="1171" spans="1:16">
      <c r="A1171" t="s">
        <v>2665</v>
      </c>
      <c r="B1171" t="s">
        <v>1130</v>
      </c>
      <c r="D1171" t="s">
        <v>1416</v>
      </c>
      <c r="E1171" t="s">
        <v>1511</v>
      </c>
      <c r="F1171" t="s">
        <v>1524</v>
      </c>
      <c r="G1171" t="s">
        <v>1525</v>
      </c>
      <c r="H1171" s="7">
        <v>3599</v>
      </c>
      <c r="I1171" s="7">
        <v>7290</v>
      </c>
      <c r="J1171" s="7" t="str">
        <f t="shared" si="56"/>
        <v>&gt;₹500</v>
      </c>
      <c r="K1171" s="1">
        <v>0.51</v>
      </c>
      <c r="L1171" s="1" t="str">
        <f t="shared" si="54"/>
        <v>50% or More</v>
      </c>
      <c r="M1171">
        <v>3.9</v>
      </c>
      <c r="N1171" s="2">
        <v>942</v>
      </c>
      <c r="O1171" s="5">
        <f t="shared" si="55"/>
        <v>6867180</v>
      </c>
      <c r="P1171">
        <f>MAX(Table1[RATING COUNT])</f>
        <v>426973</v>
      </c>
    </row>
    <row r="1172" spans="1:16">
      <c r="A1172" t="s">
        <v>2666</v>
      </c>
      <c r="B1172" t="s">
        <v>1131</v>
      </c>
      <c r="D1172" t="s">
        <v>1416</v>
      </c>
      <c r="E1172" t="s">
        <v>1508</v>
      </c>
      <c r="F1172" t="s">
        <v>1544</v>
      </c>
      <c r="G1172" t="s">
        <v>1571</v>
      </c>
      <c r="H1172" s="7">
        <v>4799</v>
      </c>
      <c r="I1172" s="7">
        <v>5795</v>
      </c>
      <c r="J1172" s="7" t="str">
        <f t="shared" si="56"/>
        <v>&gt;₹500</v>
      </c>
      <c r="K1172" s="1">
        <v>0.17</v>
      </c>
      <c r="L1172" s="1" t="str">
        <f t="shared" si="54"/>
        <v>&lt;50%</v>
      </c>
      <c r="M1172">
        <v>3.9</v>
      </c>
      <c r="N1172" s="2">
        <v>3815</v>
      </c>
      <c r="O1172" s="5">
        <f t="shared" si="55"/>
        <v>22107925</v>
      </c>
      <c r="P1172">
        <f>MAX(Table1[RATING COUNT])</f>
        <v>426973</v>
      </c>
    </row>
    <row r="1173" spans="1:16">
      <c r="A1173" t="s">
        <v>2667</v>
      </c>
      <c r="B1173" t="s">
        <v>1132</v>
      </c>
      <c r="D1173" t="s">
        <v>1416</v>
      </c>
      <c r="E1173" t="s">
        <v>1508</v>
      </c>
      <c r="F1173" t="s">
        <v>1509</v>
      </c>
      <c r="G1173" t="s">
        <v>1523</v>
      </c>
      <c r="H1173" s="7">
        <v>1699</v>
      </c>
      <c r="I1173" s="7">
        <v>3398</v>
      </c>
      <c r="J1173" s="7" t="str">
        <f t="shared" si="56"/>
        <v>&gt;₹500</v>
      </c>
      <c r="K1173" s="1">
        <v>0.5</v>
      </c>
      <c r="L1173" s="1" t="str">
        <f t="shared" si="54"/>
        <v>50% or More</v>
      </c>
      <c r="M1173">
        <v>3.8</v>
      </c>
      <c r="N1173" s="2">
        <v>7988</v>
      </c>
      <c r="O1173" s="5">
        <f t="shared" si="55"/>
        <v>27143224</v>
      </c>
      <c r="P1173">
        <f>MAX(Table1[RATING COUNT])</f>
        <v>426973</v>
      </c>
    </row>
    <row r="1174" spans="1:16">
      <c r="A1174" t="s">
        <v>2668</v>
      </c>
      <c r="B1174" t="s">
        <v>1133</v>
      </c>
      <c r="D1174" t="s">
        <v>1416</v>
      </c>
      <c r="E1174" t="s">
        <v>1508</v>
      </c>
      <c r="F1174" t="s">
        <v>1509</v>
      </c>
      <c r="G1174" t="s">
        <v>1510</v>
      </c>
      <c r="H1174" s="7">
        <v>664</v>
      </c>
      <c r="I1174" s="7">
        <v>1490</v>
      </c>
      <c r="J1174" s="7" t="str">
        <f t="shared" si="56"/>
        <v>&gt;₹500</v>
      </c>
      <c r="K1174" s="1">
        <v>0.55000000000000004</v>
      </c>
      <c r="L1174" s="1" t="str">
        <f t="shared" si="54"/>
        <v>50% or More</v>
      </c>
      <c r="M1174">
        <v>4.0999999999999996</v>
      </c>
      <c r="N1174" s="2">
        <v>925</v>
      </c>
      <c r="O1174" s="5">
        <f t="shared" si="55"/>
        <v>1378250</v>
      </c>
      <c r="P1174">
        <f>MAX(Table1[RATING COUNT])</f>
        <v>426973</v>
      </c>
    </row>
    <row r="1175" spans="1:16">
      <c r="A1175" t="s">
        <v>2669</v>
      </c>
      <c r="B1175" t="s">
        <v>1134</v>
      </c>
      <c r="D1175" t="s">
        <v>1416</v>
      </c>
      <c r="E1175" t="s">
        <v>1511</v>
      </c>
      <c r="F1175" t="s">
        <v>1538</v>
      </c>
      <c r="G1175" t="s">
        <v>1572</v>
      </c>
      <c r="H1175" s="7">
        <v>948</v>
      </c>
      <c r="I1175" s="7">
        <v>1620</v>
      </c>
      <c r="J1175" s="7" t="str">
        <f t="shared" si="56"/>
        <v>&gt;₹500</v>
      </c>
      <c r="K1175" s="1">
        <v>0.41</v>
      </c>
      <c r="L1175" s="1" t="str">
        <f t="shared" si="54"/>
        <v>&lt;50%</v>
      </c>
      <c r="M1175">
        <v>4.0999999999999996</v>
      </c>
      <c r="N1175" s="2">
        <v>4370</v>
      </c>
      <c r="O1175" s="5">
        <f t="shared" si="55"/>
        <v>7079400</v>
      </c>
      <c r="P1175">
        <f>MAX(Table1[RATING COUNT])</f>
        <v>426973</v>
      </c>
    </row>
    <row r="1176" spans="1:16">
      <c r="A1176" t="s">
        <v>2670</v>
      </c>
      <c r="B1176" t="s">
        <v>1135</v>
      </c>
      <c r="D1176" t="s">
        <v>1416</v>
      </c>
      <c r="E1176" t="s">
        <v>1508</v>
      </c>
      <c r="F1176" t="s">
        <v>1515</v>
      </c>
      <c r="G1176" t="s">
        <v>1516</v>
      </c>
      <c r="H1176" s="7">
        <v>850</v>
      </c>
      <c r="I1176" s="7">
        <v>1000</v>
      </c>
      <c r="J1176" s="7" t="str">
        <f t="shared" si="56"/>
        <v>&gt;₹500</v>
      </c>
      <c r="K1176" s="1">
        <v>0.15</v>
      </c>
      <c r="L1176" s="1" t="str">
        <f t="shared" si="54"/>
        <v>&lt;50%</v>
      </c>
      <c r="M1176">
        <v>4.0999999999999996</v>
      </c>
      <c r="N1176" s="2">
        <v>7619</v>
      </c>
      <c r="O1176" s="5">
        <f t="shared" si="55"/>
        <v>7619000</v>
      </c>
      <c r="P1176">
        <f>MAX(Table1[RATING COUNT])</f>
        <v>426973</v>
      </c>
    </row>
    <row r="1177" spans="1:16">
      <c r="A1177" t="s">
        <v>2671</v>
      </c>
      <c r="B1177" t="s">
        <v>1136</v>
      </c>
      <c r="D1177" t="s">
        <v>1416</v>
      </c>
      <c r="E1177" t="s">
        <v>1508</v>
      </c>
      <c r="F1177" t="s">
        <v>1548</v>
      </c>
      <c r="G1177" t="s">
        <v>1550</v>
      </c>
      <c r="H1177" s="7">
        <v>600</v>
      </c>
      <c r="I1177" s="7">
        <v>640</v>
      </c>
      <c r="J1177" s="7" t="str">
        <f t="shared" si="56"/>
        <v>&gt;₹500</v>
      </c>
      <c r="K1177" s="1">
        <v>0.06</v>
      </c>
      <c r="L1177" s="1" t="str">
        <f t="shared" si="54"/>
        <v>&lt;50%</v>
      </c>
      <c r="M1177">
        <v>3.8</v>
      </c>
      <c r="N1177" s="2">
        <v>2593</v>
      </c>
      <c r="O1177" s="5">
        <f t="shared" si="55"/>
        <v>1659520</v>
      </c>
      <c r="P1177">
        <f>MAX(Table1[RATING COUNT])</f>
        <v>426973</v>
      </c>
    </row>
    <row r="1178" spans="1:16">
      <c r="A1178" t="s">
        <v>2672</v>
      </c>
      <c r="B1178" t="s">
        <v>1137</v>
      </c>
      <c r="D1178" t="s">
        <v>1416</v>
      </c>
      <c r="E1178" t="s">
        <v>1511</v>
      </c>
      <c r="F1178" t="s">
        <v>1512</v>
      </c>
      <c r="G1178" t="s">
        <v>1513</v>
      </c>
      <c r="H1178" s="7">
        <v>3711</v>
      </c>
      <c r="I1178" s="7">
        <v>4495</v>
      </c>
      <c r="J1178" s="7" t="str">
        <f t="shared" si="56"/>
        <v>&gt;₹500</v>
      </c>
      <c r="K1178" s="1">
        <v>0.17</v>
      </c>
      <c r="L1178" s="1" t="str">
        <f t="shared" si="54"/>
        <v>&lt;50%</v>
      </c>
      <c r="M1178">
        <v>4.3</v>
      </c>
      <c r="N1178" s="2">
        <v>356</v>
      </c>
      <c r="O1178" s="5">
        <f t="shared" si="55"/>
        <v>1600220</v>
      </c>
      <c r="P1178">
        <f>MAX(Table1[RATING COUNT])</f>
        <v>426973</v>
      </c>
    </row>
    <row r="1179" spans="1:16">
      <c r="A1179" t="s">
        <v>2673</v>
      </c>
      <c r="B1179" t="s">
        <v>1138</v>
      </c>
      <c r="D1179" t="s">
        <v>1416</v>
      </c>
      <c r="E1179" t="s">
        <v>1508</v>
      </c>
      <c r="F1179" t="s">
        <v>1509</v>
      </c>
      <c r="G1179" t="s">
        <v>1517</v>
      </c>
      <c r="H1179" s="7">
        <v>799</v>
      </c>
      <c r="I1179" s="7">
        <v>2999</v>
      </c>
      <c r="J1179" s="7" t="str">
        <f t="shared" si="56"/>
        <v>&gt;₹500</v>
      </c>
      <c r="K1179" s="1">
        <v>0.73</v>
      </c>
      <c r="L1179" s="1" t="str">
        <f t="shared" si="54"/>
        <v>50% or More</v>
      </c>
      <c r="M1179">
        <v>4.5</v>
      </c>
      <c r="N1179" s="2">
        <v>63</v>
      </c>
      <c r="O1179" s="5">
        <f t="shared" si="55"/>
        <v>188937</v>
      </c>
      <c r="P1179">
        <f>MAX(Table1[RATING COUNT])</f>
        <v>426973</v>
      </c>
    </row>
    <row r="1180" spans="1:16">
      <c r="A1180" t="s">
        <v>2674</v>
      </c>
      <c r="B1180" t="s">
        <v>1139</v>
      </c>
      <c r="D1180" t="s">
        <v>1416</v>
      </c>
      <c r="E1180" t="s">
        <v>1508</v>
      </c>
      <c r="F1180" t="s">
        <v>1548</v>
      </c>
      <c r="G1180" t="s">
        <v>1549</v>
      </c>
      <c r="H1180" s="7">
        <v>980</v>
      </c>
      <c r="I1180" s="7">
        <v>980</v>
      </c>
      <c r="J1180" s="7" t="str">
        <f t="shared" si="56"/>
        <v>&gt;₹500</v>
      </c>
      <c r="K1180" s="1">
        <v>0</v>
      </c>
      <c r="L1180" s="1" t="str">
        <f t="shared" si="54"/>
        <v>&lt;50%</v>
      </c>
      <c r="M1180">
        <v>4.2</v>
      </c>
      <c r="N1180" s="2">
        <v>4740</v>
      </c>
      <c r="O1180" s="5">
        <f t="shared" si="55"/>
        <v>4645200</v>
      </c>
      <c r="P1180">
        <f>MAX(Table1[RATING COUNT])</f>
        <v>426973</v>
      </c>
    </row>
    <row r="1181" spans="1:16">
      <c r="A1181" t="s">
        <v>2675</v>
      </c>
      <c r="B1181" t="s">
        <v>1140</v>
      </c>
      <c r="D1181" t="s">
        <v>1416</v>
      </c>
      <c r="E1181" t="s">
        <v>1529</v>
      </c>
      <c r="F1181" t="s">
        <v>1530</v>
      </c>
      <c r="G1181" t="s">
        <v>1531</v>
      </c>
      <c r="H1181" s="7">
        <v>351</v>
      </c>
      <c r="I1181" s="7">
        <v>899</v>
      </c>
      <c r="J1181" s="7" t="str">
        <f t="shared" si="56"/>
        <v>&gt;₹500</v>
      </c>
      <c r="K1181" s="1">
        <v>0.61</v>
      </c>
      <c r="L1181" s="1" t="str">
        <f t="shared" si="54"/>
        <v>50% or More</v>
      </c>
      <c r="M1181">
        <v>3.9</v>
      </c>
      <c r="N1181" s="2">
        <v>296</v>
      </c>
      <c r="O1181" s="5">
        <f t="shared" si="55"/>
        <v>266104</v>
      </c>
      <c r="P1181">
        <f>MAX(Table1[RATING COUNT])</f>
        <v>426973</v>
      </c>
    </row>
    <row r="1182" spans="1:16">
      <c r="A1182" t="s">
        <v>2676</v>
      </c>
      <c r="B1182" t="s">
        <v>1141</v>
      </c>
      <c r="D1182" t="s">
        <v>1416</v>
      </c>
      <c r="E1182" t="s">
        <v>1508</v>
      </c>
      <c r="F1182" t="s">
        <v>1544</v>
      </c>
      <c r="G1182" t="s">
        <v>1573</v>
      </c>
      <c r="H1182" s="7">
        <v>229</v>
      </c>
      <c r="I1182" s="7">
        <v>499</v>
      </c>
      <c r="J1182" s="7" t="str">
        <f t="shared" si="56"/>
        <v>₹200–₹500</v>
      </c>
      <c r="K1182" s="1">
        <v>0.54</v>
      </c>
      <c r="L1182" s="1" t="str">
        <f t="shared" si="54"/>
        <v>50% or More</v>
      </c>
      <c r="M1182">
        <v>3.5</v>
      </c>
      <c r="N1182" s="2">
        <v>185</v>
      </c>
      <c r="O1182" s="5">
        <f t="shared" si="55"/>
        <v>92315</v>
      </c>
      <c r="P1182">
        <f>MAX(Table1[RATING COUNT])</f>
        <v>426973</v>
      </c>
    </row>
    <row r="1183" spans="1:16">
      <c r="A1183" t="s">
        <v>2677</v>
      </c>
      <c r="B1183" t="s">
        <v>1142</v>
      </c>
      <c r="D1183" t="s">
        <v>1416</v>
      </c>
      <c r="E1183" t="s">
        <v>1508</v>
      </c>
      <c r="F1183" t="s">
        <v>1515</v>
      </c>
      <c r="G1183" t="s">
        <v>1516</v>
      </c>
      <c r="H1183" s="7">
        <v>3349</v>
      </c>
      <c r="I1183" s="7">
        <v>3995</v>
      </c>
      <c r="J1183" s="7" t="str">
        <f t="shared" si="56"/>
        <v>&gt;₹500</v>
      </c>
      <c r="K1183" s="1">
        <v>0.16</v>
      </c>
      <c r="L1183" s="1" t="str">
        <f t="shared" si="54"/>
        <v>&lt;50%</v>
      </c>
      <c r="M1183">
        <v>4.3</v>
      </c>
      <c r="N1183" s="2">
        <v>1954</v>
      </c>
      <c r="O1183" s="5">
        <f t="shared" si="55"/>
        <v>7806230</v>
      </c>
      <c r="P1183">
        <f>MAX(Table1[RATING COUNT])</f>
        <v>426973</v>
      </c>
    </row>
    <row r="1184" spans="1:16">
      <c r="A1184" t="s">
        <v>2678</v>
      </c>
      <c r="B1184" t="s">
        <v>1143</v>
      </c>
      <c r="D1184" t="s">
        <v>1416</v>
      </c>
      <c r="E1184" t="s">
        <v>1511</v>
      </c>
      <c r="F1184" t="s">
        <v>1524</v>
      </c>
      <c r="G1184" t="s">
        <v>1526</v>
      </c>
      <c r="H1184" s="7">
        <v>5499</v>
      </c>
      <c r="I1184" s="7">
        <v>11500</v>
      </c>
      <c r="J1184" s="7" t="str">
        <f t="shared" si="56"/>
        <v>&gt;₹500</v>
      </c>
      <c r="K1184" s="1">
        <v>0.52</v>
      </c>
      <c r="L1184" s="1" t="str">
        <f t="shared" si="54"/>
        <v>50% or More</v>
      </c>
      <c r="M1184">
        <v>3.9</v>
      </c>
      <c r="N1184" s="2">
        <v>959</v>
      </c>
      <c r="O1184" s="5">
        <f t="shared" si="55"/>
        <v>11028500</v>
      </c>
      <c r="P1184">
        <f>MAX(Table1[RATING COUNT])</f>
        <v>426973</v>
      </c>
    </row>
    <row r="1185" spans="1:16">
      <c r="A1185" t="s">
        <v>2679</v>
      </c>
      <c r="B1185" t="s">
        <v>1144</v>
      </c>
      <c r="D1185" t="s">
        <v>1416</v>
      </c>
      <c r="E1185" t="s">
        <v>1508</v>
      </c>
      <c r="F1185" t="s">
        <v>1515</v>
      </c>
      <c r="G1185" t="s">
        <v>1516</v>
      </c>
      <c r="H1185" s="7">
        <v>299</v>
      </c>
      <c r="I1185" s="7">
        <v>499</v>
      </c>
      <c r="J1185" s="7" t="str">
        <f t="shared" si="56"/>
        <v>₹200–₹500</v>
      </c>
      <c r="K1185" s="1">
        <v>0.4</v>
      </c>
      <c r="L1185" s="1" t="str">
        <f t="shared" si="54"/>
        <v>&lt;50%</v>
      </c>
      <c r="M1185">
        <v>3.9</v>
      </c>
      <c r="N1185" s="2">
        <v>1015</v>
      </c>
      <c r="O1185" s="5">
        <f t="shared" si="55"/>
        <v>506485</v>
      </c>
      <c r="P1185">
        <f>MAX(Table1[RATING COUNT])</f>
        <v>426973</v>
      </c>
    </row>
    <row r="1186" spans="1:16">
      <c r="A1186" t="s">
        <v>2680</v>
      </c>
      <c r="B1186" t="s">
        <v>1145</v>
      </c>
      <c r="D1186" t="s">
        <v>1416</v>
      </c>
      <c r="E1186" t="s">
        <v>1511</v>
      </c>
      <c r="F1186" t="s">
        <v>1574</v>
      </c>
      <c r="H1186" s="7">
        <v>2249</v>
      </c>
      <c r="I1186" s="7">
        <v>3550</v>
      </c>
      <c r="J1186" s="7" t="str">
        <f t="shared" si="56"/>
        <v>&gt;₹500</v>
      </c>
      <c r="K1186" s="1">
        <v>0.37</v>
      </c>
      <c r="L1186" s="1" t="str">
        <f t="shared" si="54"/>
        <v>&lt;50%</v>
      </c>
      <c r="M1186">
        <v>4</v>
      </c>
      <c r="N1186" s="2">
        <v>3973</v>
      </c>
      <c r="O1186" s="5">
        <f t="shared" si="55"/>
        <v>14104150</v>
      </c>
      <c r="P1186">
        <f>MAX(Table1[RATING COUNT])</f>
        <v>426973</v>
      </c>
    </row>
    <row r="1187" spans="1:16">
      <c r="A1187" t="s">
        <v>2681</v>
      </c>
      <c r="B1187" t="s">
        <v>1146</v>
      </c>
      <c r="D1187" t="s">
        <v>1416</v>
      </c>
      <c r="E1187" t="s">
        <v>1508</v>
      </c>
      <c r="F1187" t="s">
        <v>1509</v>
      </c>
      <c r="G1187" t="s">
        <v>1534</v>
      </c>
      <c r="H1187" s="7">
        <v>699</v>
      </c>
      <c r="I1187" s="7">
        <v>1599</v>
      </c>
      <c r="J1187" s="7" t="str">
        <f t="shared" si="56"/>
        <v>&gt;₹500</v>
      </c>
      <c r="K1187" s="1">
        <v>0.56000000000000005</v>
      </c>
      <c r="L1187" s="1" t="str">
        <f t="shared" si="54"/>
        <v>50% or More</v>
      </c>
      <c r="M1187">
        <v>4.7</v>
      </c>
      <c r="N1187" s="2">
        <v>2300</v>
      </c>
      <c r="O1187" s="5">
        <f t="shared" si="55"/>
        <v>3677700</v>
      </c>
      <c r="P1187">
        <f>MAX(Table1[RATING COUNT])</f>
        <v>426973</v>
      </c>
    </row>
    <row r="1188" spans="1:16">
      <c r="A1188" t="s">
        <v>2682</v>
      </c>
      <c r="B1188" t="s">
        <v>1147</v>
      </c>
      <c r="D1188" t="s">
        <v>1416</v>
      </c>
      <c r="E1188" t="s">
        <v>1511</v>
      </c>
      <c r="F1188" t="s">
        <v>1512</v>
      </c>
      <c r="G1188" t="s">
        <v>1513</v>
      </c>
      <c r="H1188" s="7">
        <v>1235</v>
      </c>
      <c r="I1188" s="7">
        <v>1499</v>
      </c>
      <c r="J1188" s="7" t="str">
        <f t="shared" si="56"/>
        <v>&gt;₹500</v>
      </c>
      <c r="K1188" s="1">
        <v>0.18</v>
      </c>
      <c r="L1188" s="1" t="str">
        <f t="shared" si="54"/>
        <v>&lt;50%</v>
      </c>
      <c r="M1188">
        <v>4.0999999999999996</v>
      </c>
      <c r="N1188" s="2">
        <v>203</v>
      </c>
      <c r="O1188" s="5">
        <f t="shared" si="55"/>
        <v>304297</v>
      </c>
      <c r="P1188">
        <f>MAX(Table1[RATING COUNT])</f>
        <v>426973</v>
      </c>
    </row>
    <row r="1189" spans="1:16">
      <c r="A1189" t="s">
        <v>2683</v>
      </c>
      <c r="B1189" t="s">
        <v>1148</v>
      </c>
      <c r="D1189" t="s">
        <v>1416</v>
      </c>
      <c r="E1189" t="s">
        <v>1508</v>
      </c>
      <c r="F1189" t="s">
        <v>1509</v>
      </c>
      <c r="G1189" t="s">
        <v>1536</v>
      </c>
      <c r="H1189" s="7">
        <v>1349</v>
      </c>
      <c r="I1189" s="7">
        <v>2999</v>
      </c>
      <c r="J1189" s="7" t="str">
        <f t="shared" si="56"/>
        <v>&gt;₹500</v>
      </c>
      <c r="K1189" s="1">
        <v>0.55000000000000004</v>
      </c>
      <c r="L1189" s="1" t="str">
        <f t="shared" si="54"/>
        <v>50% or More</v>
      </c>
      <c r="M1189">
        <v>3.8</v>
      </c>
      <c r="N1189" s="2">
        <v>441</v>
      </c>
      <c r="O1189" s="5">
        <f t="shared" si="55"/>
        <v>1322559</v>
      </c>
      <c r="P1189">
        <f>MAX(Table1[RATING COUNT])</f>
        <v>426973</v>
      </c>
    </row>
    <row r="1190" spans="1:16">
      <c r="A1190" t="s">
        <v>2684</v>
      </c>
      <c r="B1190" t="s">
        <v>1149</v>
      </c>
      <c r="D1190" t="s">
        <v>1416</v>
      </c>
      <c r="E1190" t="s">
        <v>1511</v>
      </c>
      <c r="F1190" t="s">
        <v>1524</v>
      </c>
      <c r="G1190" t="s">
        <v>1526</v>
      </c>
      <c r="H1190" s="7">
        <v>6800</v>
      </c>
      <c r="I1190" s="7">
        <v>11500</v>
      </c>
      <c r="J1190" s="7" t="str">
        <f t="shared" si="56"/>
        <v>&gt;₹500</v>
      </c>
      <c r="K1190" s="1">
        <v>0.41</v>
      </c>
      <c r="L1190" s="1" t="str">
        <f t="shared" si="54"/>
        <v>&lt;50%</v>
      </c>
      <c r="M1190">
        <v>4.0999999999999996</v>
      </c>
      <c r="N1190" s="2">
        <v>10308</v>
      </c>
      <c r="O1190" s="5">
        <f t="shared" si="55"/>
        <v>118542000</v>
      </c>
      <c r="P1190">
        <f>MAX(Table1[RATING COUNT])</f>
        <v>426973</v>
      </c>
    </row>
    <row r="1191" spans="1:16">
      <c r="A1191" t="s">
        <v>2685</v>
      </c>
      <c r="B1191" t="s">
        <v>1150</v>
      </c>
      <c r="D1191" t="s">
        <v>1416</v>
      </c>
      <c r="E1191" t="s">
        <v>1508</v>
      </c>
      <c r="F1191" t="s">
        <v>1515</v>
      </c>
      <c r="G1191" t="s">
        <v>1533</v>
      </c>
      <c r="H1191" s="7">
        <v>2099</v>
      </c>
      <c r="I1191" s="7">
        <v>2499</v>
      </c>
      <c r="J1191" s="7" t="str">
        <f t="shared" si="56"/>
        <v>&gt;₹500</v>
      </c>
      <c r="K1191" s="1">
        <v>0.16</v>
      </c>
      <c r="L1191" s="1" t="str">
        <f t="shared" si="54"/>
        <v>&lt;50%</v>
      </c>
      <c r="M1191" t="s">
        <v>1151</v>
      </c>
      <c r="N1191" s="2">
        <v>992</v>
      </c>
      <c r="O1191" s="5">
        <f t="shared" si="55"/>
        <v>2479008</v>
      </c>
      <c r="P1191">
        <f>MAX(Table1[RATING COUNT])</f>
        <v>426973</v>
      </c>
    </row>
    <row r="1192" spans="1:16">
      <c r="A1192" t="s">
        <v>2686</v>
      </c>
      <c r="B1192" t="s">
        <v>1152</v>
      </c>
      <c r="D1192" t="s">
        <v>1416</v>
      </c>
      <c r="E1192" t="s">
        <v>1508</v>
      </c>
      <c r="F1192" t="s">
        <v>1509</v>
      </c>
      <c r="G1192" t="s">
        <v>1535</v>
      </c>
      <c r="H1192" s="7">
        <v>1699</v>
      </c>
      <c r="I1192" s="7">
        <v>1975</v>
      </c>
      <c r="J1192" s="7" t="str">
        <f t="shared" si="56"/>
        <v>&gt;₹500</v>
      </c>
      <c r="K1192" s="1">
        <v>0.14000000000000001</v>
      </c>
      <c r="L1192" s="1" t="str">
        <f t="shared" si="54"/>
        <v>&lt;50%</v>
      </c>
      <c r="M1192">
        <v>4.0999999999999996</v>
      </c>
      <c r="N1192" s="2">
        <v>4716</v>
      </c>
      <c r="O1192" s="5">
        <f t="shared" si="55"/>
        <v>9314100</v>
      </c>
      <c r="P1192">
        <f>MAX(Table1[RATING COUNT])</f>
        <v>426973</v>
      </c>
    </row>
    <row r="1193" spans="1:16">
      <c r="A1193" t="s">
        <v>2687</v>
      </c>
      <c r="B1193" t="s">
        <v>1153</v>
      </c>
      <c r="D1193" t="s">
        <v>1416</v>
      </c>
      <c r="E1193" t="s">
        <v>1511</v>
      </c>
      <c r="F1193" t="s">
        <v>1512</v>
      </c>
      <c r="G1193" t="s">
        <v>1514</v>
      </c>
      <c r="H1193" s="7">
        <v>1069</v>
      </c>
      <c r="I1193" s="7">
        <v>1699</v>
      </c>
      <c r="J1193" s="7" t="str">
        <f t="shared" si="56"/>
        <v>&gt;₹500</v>
      </c>
      <c r="K1193" s="1">
        <v>0.37</v>
      </c>
      <c r="L1193" s="1" t="str">
        <f t="shared" si="54"/>
        <v>&lt;50%</v>
      </c>
      <c r="M1193">
        <v>3.9</v>
      </c>
      <c r="N1193" s="2">
        <v>313</v>
      </c>
      <c r="O1193" s="5">
        <f t="shared" si="55"/>
        <v>531787</v>
      </c>
      <c r="P1193">
        <f>MAX(Table1[RATING COUNT])</f>
        <v>426973</v>
      </c>
    </row>
    <row r="1194" spans="1:16">
      <c r="A1194" t="s">
        <v>2688</v>
      </c>
      <c r="B1194" t="s">
        <v>1154</v>
      </c>
      <c r="D1194" t="s">
        <v>1416</v>
      </c>
      <c r="E1194" t="s">
        <v>1511</v>
      </c>
      <c r="F1194" t="s">
        <v>1512</v>
      </c>
      <c r="G1194" t="s">
        <v>1514</v>
      </c>
      <c r="H1194" s="7">
        <v>1349</v>
      </c>
      <c r="I1194" s="7">
        <v>2495</v>
      </c>
      <c r="J1194" s="7" t="str">
        <f t="shared" si="56"/>
        <v>&gt;₹500</v>
      </c>
      <c r="K1194" s="1">
        <v>0.46</v>
      </c>
      <c r="L1194" s="1" t="str">
        <f t="shared" si="54"/>
        <v>&lt;50%</v>
      </c>
      <c r="M1194">
        <v>3.8</v>
      </c>
      <c r="N1194" s="2">
        <v>166</v>
      </c>
      <c r="O1194" s="5">
        <f t="shared" si="55"/>
        <v>414170</v>
      </c>
      <c r="P1194">
        <f>MAX(Table1[RATING COUNT])</f>
        <v>426973</v>
      </c>
    </row>
    <row r="1195" spans="1:16">
      <c r="A1195" t="s">
        <v>2689</v>
      </c>
      <c r="B1195" t="s">
        <v>1155</v>
      </c>
      <c r="D1195" t="s">
        <v>1416</v>
      </c>
      <c r="E1195" t="s">
        <v>1511</v>
      </c>
      <c r="F1195" t="s">
        <v>1524</v>
      </c>
      <c r="G1195" t="s">
        <v>1527</v>
      </c>
      <c r="H1195" s="7">
        <v>1499</v>
      </c>
      <c r="I1195" s="7">
        <v>3500</v>
      </c>
      <c r="J1195" s="7" t="str">
        <f t="shared" si="56"/>
        <v>&gt;₹500</v>
      </c>
      <c r="K1195" s="1">
        <v>0.56999999999999995</v>
      </c>
      <c r="L1195" s="1" t="str">
        <f t="shared" si="54"/>
        <v>50% or More</v>
      </c>
      <c r="M1195">
        <v>4.0999999999999996</v>
      </c>
      <c r="N1195" s="2">
        <v>303</v>
      </c>
      <c r="O1195" s="5">
        <f t="shared" si="55"/>
        <v>1060500</v>
      </c>
      <c r="P1195">
        <f>MAX(Table1[RATING COUNT])</f>
        <v>426973</v>
      </c>
    </row>
    <row r="1196" spans="1:16">
      <c r="A1196" t="s">
        <v>2690</v>
      </c>
      <c r="B1196" t="s">
        <v>1156</v>
      </c>
      <c r="D1196" t="s">
        <v>1416</v>
      </c>
      <c r="E1196" t="s">
        <v>1508</v>
      </c>
      <c r="F1196" t="s">
        <v>1509</v>
      </c>
      <c r="G1196" t="s">
        <v>1535</v>
      </c>
      <c r="H1196" s="7">
        <v>2092</v>
      </c>
      <c r="I1196" s="7">
        <v>4600</v>
      </c>
      <c r="J1196" s="7" t="str">
        <f t="shared" si="56"/>
        <v>&gt;₹500</v>
      </c>
      <c r="K1196" s="1">
        <v>0.55000000000000004</v>
      </c>
      <c r="L1196" s="1" t="str">
        <f t="shared" si="54"/>
        <v>50% or More</v>
      </c>
      <c r="M1196">
        <v>4.3</v>
      </c>
      <c r="N1196" s="2">
        <v>562</v>
      </c>
      <c r="O1196" s="5">
        <f t="shared" si="55"/>
        <v>2585200</v>
      </c>
      <c r="P1196">
        <f>MAX(Table1[RATING COUNT])</f>
        <v>426973</v>
      </c>
    </row>
    <row r="1197" spans="1:16">
      <c r="A1197" t="s">
        <v>2691</v>
      </c>
      <c r="B1197" t="s">
        <v>1157</v>
      </c>
      <c r="D1197" t="s">
        <v>1416</v>
      </c>
      <c r="E1197" t="s">
        <v>1508</v>
      </c>
      <c r="F1197" t="s">
        <v>1515</v>
      </c>
      <c r="G1197" t="s">
        <v>1533</v>
      </c>
      <c r="H1197" s="7">
        <v>3859</v>
      </c>
      <c r="I1197" s="7">
        <v>10295</v>
      </c>
      <c r="J1197" s="7" t="str">
        <f t="shared" si="56"/>
        <v>&gt;₹500</v>
      </c>
      <c r="K1197" s="1">
        <v>0.63</v>
      </c>
      <c r="L1197" s="1" t="str">
        <f t="shared" si="54"/>
        <v>50% or More</v>
      </c>
      <c r="M1197">
        <v>3.9</v>
      </c>
      <c r="N1197" s="2">
        <v>8095</v>
      </c>
      <c r="O1197" s="5">
        <f t="shared" si="55"/>
        <v>83338025</v>
      </c>
      <c r="P1197">
        <f>MAX(Table1[RATING COUNT])</f>
        <v>426973</v>
      </c>
    </row>
    <row r="1198" spans="1:16">
      <c r="A1198" t="s">
        <v>2692</v>
      </c>
      <c r="B1198" t="s">
        <v>1158</v>
      </c>
      <c r="D1198" t="s">
        <v>1416</v>
      </c>
      <c r="E1198" t="s">
        <v>1508</v>
      </c>
      <c r="F1198" t="s">
        <v>1509</v>
      </c>
      <c r="G1198" t="s">
        <v>1532</v>
      </c>
      <c r="H1198" s="7">
        <v>499</v>
      </c>
      <c r="I1198" s="7">
        <v>2199</v>
      </c>
      <c r="J1198" s="7" t="str">
        <f t="shared" si="56"/>
        <v>&gt;₹500</v>
      </c>
      <c r="K1198" s="1">
        <v>0.77</v>
      </c>
      <c r="L1198" s="1" t="str">
        <f t="shared" si="54"/>
        <v>50% or More</v>
      </c>
      <c r="M1198">
        <v>2.8</v>
      </c>
      <c r="N1198" s="2">
        <v>109</v>
      </c>
      <c r="O1198" s="5">
        <f t="shared" si="55"/>
        <v>239691</v>
      </c>
      <c r="P1198">
        <f>MAX(Table1[RATING COUNT])</f>
        <v>426973</v>
      </c>
    </row>
    <row r="1199" spans="1:16">
      <c r="A1199" t="s">
        <v>2693</v>
      </c>
      <c r="B1199" t="s">
        <v>1159</v>
      </c>
      <c r="D1199" t="s">
        <v>1416</v>
      </c>
      <c r="E1199" t="s">
        <v>1511</v>
      </c>
      <c r="F1199" t="s">
        <v>1538</v>
      </c>
      <c r="G1199" t="s">
        <v>1539</v>
      </c>
      <c r="H1199" s="7">
        <v>1804</v>
      </c>
      <c r="I1199" s="7">
        <v>2380</v>
      </c>
      <c r="J1199" s="7" t="str">
        <f t="shared" si="56"/>
        <v>&gt;₹500</v>
      </c>
      <c r="K1199" s="1">
        <v>0.24</v>
      </c>
      <c r="L1199" s="1" t="str">
        <f t="shared" si="54"/>
        <v>&lt;50%</v>
      </c>
      <c r="M1199">
        <v>4</v>
      </c>
      <c r="N1199" s="2">
        <v>15382</v>
      </c>
      <c r="O1199" s="5">
        <f t="shared" si="55"/>
        <v>36609160</v>
      </c>
      <c r="P1199">
        <f>MAX(Table1[RATING COUNT])</f>
        <v>426973</v>
      </c>
    </row>
    <row r="1200" spans="1:16">
      <c r="A1200" t="s">
        <v>2694</v>
      </c>
      <c r="B1200" t="s">
        <v>1160</v>
      </c>
      <c r="D1200" t="s">
        <v>1416</v>
      </c>
      <c r="E1200" t="s">
        <v>1508</v>
      </c>
      <c r="F1200" t="s">
        <v>1509</v>
      </c>
      <c r="G1200" t="s">
        <v>1532</v>
      </c>
      <c r="H1200" s="7">
        <v>6525</v>
      </c>
      <c r="I1200" s="7">
        <v>8820</v>
      </c>
      <c r="J1200" s="7" t="str">
        <f t="shared" si="56"/>
        <v>&gt;₹500</v>
      </c>
      <c r="K1200" s="1">
        <v>0.26</v>
      </c>
      <c r="L1200" s="1" t="str">
        <f t="shared" si="54"/>
        <v>&lt;50%</v>
      </c>
      <c r="M1200">
        <v>4.5</v>
      </c>
      <c r="N1200" s="2">
        <v>5137</v>
      </c>
      <c r="O1200" s="5">
        <f t="shared" si="55"/>
        <v>45308340</v>
      </c>
      <c r="P1200">
        <f>MAX(Table1[RATING COUNT])</f>
        <v>426973</v>
      </c>
    </row>
    <row r="1201" spans="1:16">
      <c r="A1201" t="s">
        <v>2695</v>
      </c>
      <c r="B1201" t="s">
        <v>1161</v>
      </c>
      <c r="D1201" t="s">
        <v>1416</v>
      </c>
      <c r="E1201" t="s">
        <v>1508</v>
      </c>
      <c r="F1201" t="s">
        <v>1548</v>
      </c>
      <c r="G1201" t="s">
        <v>1558</v>
      </c>
      <c r="H1201" s="7">
        <v>4999</v>
      </c>
      <c r="I1201" s="7">
        <v>24999</v>
      </c>
      <c r="J1201" s="7" t="str">
        <f t="shared" si="56"/>
        <v>&gt;₹500</v>
      </c>
      <c r="K1201" s="1">
        <v>0.8</v>
      </c>
      <c r="L1201" s="1" t="str">
        <f t="shared" si="54"/>
        <v>50% or More</v>
      </c>
      <c r="M1201">
        <v>4.5999999999999996</v>
      </c>
      <c r="N1201" s="2">
        <v>124</v>
      </c>
      <c r="O1201" s="5">
        <f t="shared" si="55"/>
        <v>3099876</v>
      </c>
      <c r="P1201">
        <f>MAX(Table1[RATING COUNT])</f>
        <v>426973</v>
      </c>
    </row>
    <row r="1202" spans="1:16">
      <c r="A1202" t="s">
        <v>2696</v>
      </c>
      <c r="B1202" t="s">
        <v>1162</v>
      </c>
      <c r="D1202" t="s">
        <v>1416</v>
      </c>
      <c r="E1202" t="s">
        <v>1508</v>
      </c>
      <c r="F1202" t="s">
        <v>1544</v>
      </c>
      <c r="G1202" t="s">
        <v>1547</v>
      </c>
      <c r="H1202" s="7">
        <v>1189</v>
      </c>
      <c r="I1202" s="7">
        <v>2400</v>
      </c>
      <c r="J1202" s="7" t="str">
        <f t="shared" si="56"/>
        <v>&gt;₹500</v>
      </c>
      <c r="K1202" s="1">
        <v>0.5</v>
      </c>
      <c r="L1202" s="1" t="str">
        <f t="shared" si="54"/>
        <v>50% or More</v>
      </c>
      <c r="M1202">
        <v>4.0999999999999996</v>
      </c>
      <c r="N1202" s="2">
        <v>618</v>
      </c>
      <c r="O1202" s="5">
        <f t="shared" si="55"/>
        <v>1483200</v>
      </c>
      <c r="P1202">
        <f>MAX(Table1[RATING COUNT])</f>
        <v>426973</v>
      </c>
    </row>
    <row r="1203" spans="1:16">
      <c r="A1203" t="s">
        <v>2697</v>
      </c>
      <c r="B1203" t="s">
        <v>1163</v>
      </c>
      <c r="D1203" t="s">
        <v>1416</v>
      </c>
      <c r="E1203" t="s">
        <v>1511</v>
      </c>
      <c r="F1203" t="s">
        <v>1512</v>
      </c>
      <c r="G1203" t="s">
        <v>1514</v>
      </c>
      <c r="H1203" s="7">
        <v>2590</v>
      </c>
      <c r="I1203" s="7">
        <v>4200</v>
      </c>
      <c r="J1203" s="7" t="str">
        <f t="shared" si="56"/>
        <v>&gt;₹500</v>
      </c>
      <c r="K1203" s="1">
        <v>0.38</v>
      </c>
      <c r="L1203" s="1" t="str">
        <f t="shared" si="54"/>
        <v>&lt;50%</v>
      </c>
      <c r="M1203">
        <v>4.0999999999999996</v>
      </c>
      <c r="N1203" s="2">
        <v>63</v>
      </c>
      <c r="O1203" s="5">
        <f t="shared" si="55"/>
        <v>264600</v>
      </c>
      <c r="P1203">
        <f>MAX(Table1[RATING COUNT])</f>
        <v>426973</v>
      </c>
    </row>
    <row r="1204" spans="1:16">
      <c r="A1204" t="s">
        <v>2698</v>
      </c>
      <c r="B1204" t="s">
        <v>1164</v>
      </c>
      <c r="D1204" t="s">
        <v>1416</v>
      </c>
      <c r="E1204" t="s">
        <v>1511</v>
      </c>
      <c r="F1204" t="s">
        <v>1512</v>
      </c>
      <c r="G1204" t="s">
        <v>1514</v>
      </c>
      <c r="H1204" s="7">
        <v>899</v>
      </c>
      <c r="I1204" s="7">
        <v>1599</v>
      </c>
      <c r="J1204" s="7" t="str">
        <f t="shared" si="56"/>
        <v>&gt;₹500</v>
      </c>
      <c r="K1204" s="1">
        <v>0.44</v>
      </c>
      <c r="L1204" s="1" t="str">
        <f t="shared" si="54"/>
        <v>&lt;50%</v>
      </c>
      <c r="M1204">
        <v>3.4</v>
      </c>
      <c r="N1204" s="2">
        <v>15</v>
      </c>
      <c r="O1204" s="5">
        <f t="shared" si="55"/>
        <v>23985</v>
      </c>
      <c r="P1204">
        <f>MAX(Table1[RATING COUNT])</f>
        <v>426973</v>
      </c>
    </row>
    <row r="1205" spans="1:16">
      <c r="A1205" t="s">
        <v>2699</v>
      </c>
      <c r="B1205" t="s">
        <v>1165</v>
      </c>
      <c r="D1205" t="s">
        <v>1416</v>
      </c>
      <c r="E1205" t="s">
        <v>1511</v>
      </c>
      <c r="F1205" t="s">
        <v>1512</v>
      </c>
      <c r="G1205" t="s">
        <v>1514</v>
      </c>
      <c r="H1205" s="7">
        <v>998</v>
      </c>
      <c r="I1205" s="7">
        <v>2999</v>
      </c>
      <c r="J1205" s="7" t="str">
        <f t="shared" si="56"/>
        <v>&gt;₹500</v>
      </c>
      <c r="K1205" s="1">
        <v>0.67</v>
      </c>
      <c r="L1205" s="1" t="str">
        <f t="shared" si="54"/>
        <v>50% or More</v>
      </c>
      <c r="M1205">
        <v>4.5999999999999996</v>
      </c>
      <c r="N1205" s="2">
        <v>9</v>
      </c>
      <c r="O1205" s="5">
        <f t="shared" si="55"/>
        <v>26991</v>
      </c>
      <c r="P1205">
        <f>MAX(Table1[RATING COUNT])</f>
        <v>426973</v>
      </c>
    </row>
    <row r="1206" spans="1:16">
      <c r="A1206" t="s">
        <v>2700</v>
      </c>
      <c r="B1206" t="s">
        <v>1166</v>
      </c>
      <c r="D1206" t="s">
        <v>1416</v>
      </c>
      <c r="E1206" t="s">
        <v>1529</v>
      </c>
      <c r="F1206" t="s">
        <v>1530</v>
      </c>
      <c r="G1206" t="s">
        <v>1531</v>
      </c>
      <c r="H1206" s="7">
        <v>998.06</v>
      </c>
      <c r="I1206" s="7">
        <v>1282</v>
      </c>
      <c r="J1206" s="7" t="str">
        <f t="shared" si="56"/>
        <v>&gt;₹500</v>
      </c>
      <c r="K1206" s="1">
        <v>0.22</v>
      </c>
      <c r="L1206" s="1" t="str">
        <f t="shared" si="54"/>
        <v>&lt;50%</v>
      </c>
      <c r="M1206">
        <v>4.2</v>
      </c>
      <c r="N1206" s="2">
        <v>7274</v>
      </c>
      <c r="O1206" s="5">
        <f t="shared" si="55"/>
        <v>9325268</v>
      </c>
      <c r="P1206">
        <f>MAX(Table1[RATING COUNT])</f>
        <v>426973</v>
      </c>
    </row>
    <row r="1207" spans="1:16">
      <c r="A1207" t="s">
        <v>2701</v>
      </c>
      <c r="B1207" t="s">
        <v>1167</v>
      </c>
      <c r="D1207" t="s">
        <v>1416</v>
      </c>
      <c r="E1207" t="s">
        <v>1511</v>
      </c>
      <c r="F1207" t="s">
        <v>1538</v>
      </c>
      <c r="G1207" t="s">
        <v>1539</v>
      </c>
      <c r="H1207" s="7">
        <v>1099</v>
      </c>
      <c r="I1207" s="7">
        <v>1990</v>
      </c>
      <c r="J1207" s="7" t="str">
        <f t="shared" si="56"/>
        <v>&gt;₹500</v>
      </c>
      <c r="K1207" s="1">
        <v>0.45</v>
      </c>
      <c r="L1207" s="1" t="str">
        <f t="shared" si="54"/>
        <v>&lt;50%</v>
      </c>
      <c r="M1207">
        <v>3.9</v>
      </c>
      <c r="N1207" s="2">
        <v>5911</v>
      </c>
      <c r="O1207" s="5">
        <f t="shared" si="55"/>
        <v>11762890</v>
      </c>
      <c r="P1207">
        <f>MAX(Table1[RATING COUNT])</f>
        <v>426973</v>
      </c>
    </row>
    <row r="1208" spans="1:16">
      <c r="A1208" t="s">
        <v>2702</v>
      </c>
      <c r="B1208" t="s">
        <v>1168</v>
      </c>
      <c r="D1208" t="s">
        <v>1416</v>
      </c>
      <c r="E1208" t="s">
        <v>1508</v>
      </c>
      <c r="F1208" t="s">
        <v>1515</v>
      </c>
      <c r="G1208" t="s">
        <v>1540</v>
      </c>
      <c r="H1208" s="7">
        <v>5999</v>
      </c>
      <c r="I1208" s="7">
        <v>9999</v>
      </c>
      <c r="J1208" s="7" t="str">
        <f t="shared" si="56"/>
        <v>&gt;₹500</v>
      </c>
      <c r="K1208" s="1">
        <v>0.4</v>
      </c>
      <c r="L1208" s="1" t="str">
        <f t="shared" si="54"/>
        <v>&lt;50%</v>
      </c>
      <c r="M1208">
        <v>4.2</v>
      </c>
      <c r="N1208" s="2">
        <v>170</v>
      </c>
      <c r="O1208" s="5">
        <f t="shared" si="55"/>
        <v>1699830</v>
      </c>
      <c r="P1208">
        <f>MAX(Table1[RATING COUNT])</f>
        <v>426973</v>
      </c>
    </row>
    <row r="1209" spans="1:16">
      <c r="A1209" t="s">
        <v>2703</v>
      </c>
      <c r="B1209" t="s">
        <v>1169</v>
      </c>
      <c r="D1209" t="s">
        <v>1416</v>
      </c>
      <c r="E1209" t="s">
        <v>1508</v>
      </c>
      <c r="F1209" t="s">
        <v>1515</v>
      </c>
      <c r="G1209" t="s">
        <v>1533</v>
      </c>
      <c r="H1209" s="7">
        <v>8886</v>
      </c>
      <c r="I1209" s="7">
        <v>11850</v>
      </c>
      <c r="J1209" s="7" t="str">
        <f t="shared" si="56"/>
        <v>&gt;₹500</v>
      </c>
      <c r="K1209" s="1">
        <v>0.25</v>
      </c>
      <c r="L1209" s="1" t="str">
        <f t="shared" si="54"/>
        <v>&lt;50%</v>
      </c>
      <c r="M1209">
        <v>4.2</v>
      </c>
      <c r="N1209" s="2">
        <v>3065</v>
      </c>
      <c r="O1209" s="5">
        <f t="shared" si="55"/>
        <v>36320250</v>
      </c>
      <c r="P1209">
        <f>MAX(Table1[RATING COUNT])</f>
        <v>426973</v>
      </c>
    </row>
    <row r="1210" spans="1:16">
      <c r="A1210" t="s">
        <v>2704</v>
      </c>
      <c r="B1210" t="s">
        <v>1170</v>
      </c>
      <c r="D1210" t="s">
        <v>1416</v>
      </c>
      <c r="E1210" t="s">
        <v>1508</v>
      </c>
      <c r="F1210" t="s">
        <v>1515</v>
      </c>
      <c r="G1210" t="s">
        <v>1516</v>
      </c>
      <c r="H1210" s="7">
        <v>475</v>
      </c>
      <c r="I1210" s="7">
        <v>999</v>
      </c>
      <c r="J1210" s="7" t="str">
        <f t="shared" si="56"/>
        <v>&gt;₹500</v>
      </c>
      <c r="K1210" s="1">
        <v>0.52</v>
      </c>
      <c r="L1210" s="1" t="str">
        <f t="shared" si="54"/>
        <v>50% or More</v>
      </c>
      <c r="M1210">
        <v>4.0999999999999996</v>
      </c>
      <c r="N1210" s="2">
        <v>1021</v>
      </c>
      <c r="O1210" s="5">
        <f t="shared" si="55"/>
        <v>1019979</v>
      </c>
      <c r="P1210">
        <f>MAX(Table1[RATING COUNT])</f>
        <v>426973</v>
      </c>
    </row>
    <row r="1211" spans="1:16">
      <c r="A1211" t="s">
        <v>2705</v>
      </c>
      <c r="B1211" t="s">
        <v>1171</v>
      </c>
      <c r="D1211" t="s">
        <v>1416</v>
      </c>
      <c r="E1211" t="s">
        <v>1508</v>
      </c>
      <c r="F1211" t="s">
        <v>1509</v>
      </c>
      <c r="G1211" t="s">
        <v>1528</v>
      </c>
      <c r="H1211" s="7">
        <v>4995</v>
      </c>
      <c r="I1211" s="7">
        <v>20049</v>
      </c>
      <c r="J1211" s="7" t="str">
        <f t="shared" si="56"/>
        <v>&gt;₹500</v>
      </c>
      <c r="K1211" s="1">
        <v>0.75</v>
      </c>
      <c r="L1211" s="1" t="str">
        <f t="shared" si="54"/>
        <v>50% or More</v>
      </c>
      <c r="M1211">
        <v>4.8</v>
      </c>
      <c r="N1211" s="2">
        <v>3964</v>
      </c>
      <c r="O1211" s="5">
        <f t="shared" si="55"/>
        <v>79474236</v>
      </c>
      <c r="P1211">
        <f>MAX(Table1[RATING COUNT])</f>
        <v>426973</v>
      </c>
    </row>
    <row r="1212" spans="1:16">
      <c r="A1212" t="s">
        <v>2706</v>
      </c>
      <c r="B1212" t="s">
        <v>1172</v>
      </c>
      <c r="D1212" t="s">
        <v>1416</v>
      </c>
      <c r="E1212" t="s">
        <v>1508</v>
      </c>
      <c r="F1212" t="s">
        <v>1548</v>
      </c>
      <c r="G1212" t="s">
        <v>1558</v>
      </c>
      <c r="H1212" s="7">
        <v>13999</v>
      </c>
      <c r="I1212" s="7">
        <v>24850</v>
      </c>
      <c r="J1212" s="7" t="str">
        <f t="shared" si="56"/>
        <v>&gt;₹500</v>
      </c>
      <c r="K1212" s="1">
        <v>0.44</v>
      </c>
      <c r="L1212" s="1" t="str">
        <f t="shared" si="54"/>
        <v>&lt;50%</v>
      </c>
      <c r="M1212">
        <v>4.4000000000000004</v>
      </c>
      <c r="N1212" s="2">
        <v>8948</v>
      </c>
      <c r="O1212" s="5">
        <f t="shared" si="55"/>
        <v>222357800</v>
      </c>
      <c r="P1212">
        <f>MAX(Table1[RATING COUNT])</f>
        <v>426973</v>
      </c>
    </row>
    <row r="1213" spans="1:16">
      <c r="A1213" t="s">
        <v>2707</v>
      </c>
      <c r="B1213" t="s">
        <v>1173</v>
      </c>
      <c r="D1213" t="s">
        <v>1416</v>
      </c>
      <c r="E1213" t="s">
        <v>1508</v>
      </c>
      <c r="F1213" t="s">
        <v>1548</v>
      </c>
      <c r="G1213" t="s">
        <v>1558</v>
      </c>
      <c r="H1213" s="7">
        <v>8499</v>
      </c>
      <c r="I1213" s="7">
        <v>16490</v>
      </c>
      <c r="J1213" s="7" t="str">
        <f t="shared" si="56"/>
        <v>&gt;₹500</v>
      </c>
      <c r="K1213" s="1">
        <v>0.48</v>
      </c>
      <c r="L1213" s="1" t="str">
        <f t="shared" si="54"/>
        <v>&lt;50%</v>
      </c>
      <c r="M1213">
        <v>4.3</v>
      </c>
      <c r="N1213" s="2">
        <v>97</v>
      </c>
      <c r="O1213" s="5">
        <f t="shared" si="55"/>
        <v>1599530</v>
      </c>
      <c r="P1213">
        <f>MAX(Table1[RATING COUNT])</f>
        <v>426973</v>
      </c>
    </row>
    <row r="1214" spans="1:16">
      <c r="A1214" t="s">
        <v>2708</v>
      </c>
      <c r="B1214" t="s">
        <v>1174</v>
      </c>
      <c r="D1214" t="s">
        <v>1416</v>
      </c>
      <c r="E1214" t="s">
        <v>1508</v>
      </c>
      <c r="F1214" t="s">
        <v>1515</v>
      </c>
      <c r="G1214" t="s">
        <v>1516</v>
      </c>
      <c r="H1214" s="7">
        <v>949</v>
      </c>
      <c r="I1214" s="7">
        <v>975</v>
      </c>
      <c r="J1214" s="7" t="str">
        <f t="shared" si="56"/>
        <v>&gt;₹500</v>
      </c>
      <c r="K1214" s="1">
        <v>0.03</v>
      </c>
      <c r="L1214" s="1" t="str">
        <f t="shared" si="54"/>
        <v>&lt;50%</v>
      </c>
      <c r="M1214">
        <v>4.3</v>
      </c>
      <c r="N1214" s="2">
        <v>7223</v>
      </c>
      <c r="O1214" s="5">
        <f t="shared" si="55"/>
        <v>7042425</v>
      </c>
      <c r="P1214">
        <f>MAX(Table1[RATING COUNT])</f>
        <v>426973</v>
      </c>
    </row>
    <row r="1215" spans="1:16">
      <c r="A1215" t="s">
        <v>2709</v>
      </c>
      <c r="B1215" t="s">
        <v>1175</v>
      </c>
      <c r="D1215" t="s">
        <v>1416</v>
      </c>
      <c r="E1215" t="s">
        <v>1529</v>
      </c>
      <c r="F1215" t="s">
        <v>1530</v>
      </c>
      <c r="G1215" t="s">
        <v>1531</v>
      </c>
      <c r="H1215" s="7">
        <v>395</v>
      </c>
      <c r="I1215" s="7">
        <v>499</v>
      </c>
      <c r="J1215" s="7" t="str">
        <f t="shared" si="56"/>
        <v>₹200–₹500</v>
      </c>
      <c r="K1215" s="1">
        <v>0.21</v>
      </c>
      <c r="L1215" s="1" t="str">
        <f t="shared" si="54"/>
        <v>&lt;50%</v>
      </c>
      <c r="M1215">
        <v>4</v>
      </c>
      <c r="N1215" s="2">
        <v>330</v>
      </c>
      <c r="O1215" s="5">
        <f t="shared" si="55"/>
        <v>164670</v>
      </c>
      <c r="P1215">
        <f>MAX(Table1[RATING COUNT])</f>
        <v>426973</v>
      </c>
    </row>
    <row r="1216" spans="1:16">
      <c r="A1216" t="s">
        <v>2710</v>
      </c>
      <c r="B1216" t="s">
        <v>1176</v>
      </c>
      <c r="D1216" t="s">
        <v>1416</v>
      </c>
      <c r="E1216" t="s">
        <v>1508</v>
      </c>
      <c r="F1216" t="s">
        <v>1509</v>
      </c>
      <c r="G1216" t="s">
        <v>1575</v>
      </c>
      <c r="H1216" s="7">
        <v>635</v>
      </c>
      <c r="I1216" s="7">
        <v>635</v>
      </c>
      <c r="J1216" s="7" t="str">
        <f t="shared" si="56"/>
        <v>&gt;₹500</v>
      </c>
      <c r="K1216" s="1">
        <v>0</v>
      </c>
      <c r="L1216" s="1" t="str">
        <f t="shared" si="54"/>
        <v>&lt;50%</v>
      </c>
      <c r="M1216">
        <v>4.3</v>
      </c>
      <c r="N1216" s="2">
        <v>4570</v>
      </c>
      <c r="O1216" s="5">
        <f t="shared" si="55"/>
        <v>2901950</v>
      </c>
      <c r="P1216">
        <f>MAX(Table1[RATING COUNT])</f>
        <v>426973</v>
      </c>
    </row>
    <row r="1217" spans="1:16">
      <c r="A1217" t="s">
        <v>2711</v>
      </c>
      <c r="B1217" t="s">
        <v>1177</v>
      </c>
      <c r="D1217" t="s">
        <v>1416</v>
      </c>
      <c r="E1217" t="s">
        <v>1508</v>
      </c>
      <c r="F1217" t="s">
        <v>1515</v>
      </c>
      <c r="G1217" t="s">
        <v>1516</v>
      </c>
      <c r="H1217" s="7">
        <v>717</v>
      </c>
      <c r="I1217" s="7">
        <v>1390</v>
      </c>
      <c r="J1217" s="7" t="str">
        <f t="shared" si="56"/>
        <v>&gt;₹500</v>
      </c>
      <c r="K1217" s="1">
        <v>0.48</v>
      </c>
      <c r="L1217" s="1" t="str">
        <f t="shared" si="54"/>
        <v>&lt;50%</v>
      </c>
      <c r="M1217">
        <v>4</v>
      </c>
      <c r="N1217" s="2">
        <v>4867</v>
      </c>
      <c r="O1217" s="5">
        <f t="shared" si="55"/>
        <v>6765130</v>
      </c>
      <c r="P1217">
        <f>MAX(Table1[RATING COUNT])</f>
        <v>426973</v>
      </c>
    </row>
    <row r="1218" spans="1:16">
      <c r="A1218" t="s">
        <v>2712</v>
      </c>
      <c r="B1218" t="s">
        <v>1178</v>
      </c>
      <c r="D1218" t="s">
        <v>1416</v>
      </c>
      <c r="E1218" t="s">
        <v>1508</v>
      </c>
      <c r="F1218" t="s">
        <v>1515</v>
      </c>
      <c r="G1218" t="s">
        <v>1533</v>
      </c>
      <c r="H1218" s="7">
        <v>27900</v>
      </c>
      <c r="I1218" s="7">
        <v>59900</v>
      </c>
      <c r="J1218" s="7" t="str">
        <f t="shared" si="56"/>
        <v>&gt;₹500</v>
      </c>
      <c r="K1218" s="1">
        <v>0.53</v>
      </c>
      <c r="L1218" s="1" t="str">
        <f t="shared" ref="L1218:L1281" si="57">IF(K1218&gt;=50%,"50% or More","&lt;50%")</f>
        <v>50% or More</v>
      </c>
      <c r="M1218">
        <v>4.4000000000000004</v>
      </c>
      <c r="N1218" s="2">
        <v>5298</v>
      </c>
      <c r="O1218" s="5">
        <f t="shared" ref="O1218:O1281" si="58">I1218*N1218</f>
        <v>317350200</v>
      </c>
      <c r="P1218">
        <f>MAX(Table1[RATING COUNT])</f>
        <v>426973</v>
      </c>
    </row>
    <row r="1219" spans="1:16">
      <c r="A1219" t="s">
        <v>2713</v>
      </c>
      <c r="B1219" t="s">
        <v>1179</v>
      </c>
      <c r="D1219" t="s">
        <v>1416</v>
      </c>
      <c r="E1219" t="s">
        <v>1508</v>
      </c>
      <c r="F1219" t="s">
        <v>1548</v>
      </c>
      <c r="G1219" t="s">
        <v>1550</v>
      </c>
      <c r="H1219" s="7">
        <v>649</v>
      </c>
      <c r="I1219" s="7">
        <v>670</v>
      </c>
      <c r="J1219" s="7" t="str">
        <f t="shared" ref="J1219:J1282" si="59">IF(I1219&lt;200, "&lt;₹200", IF(I1219&lt;=500, "₹200–₹500", "&gt;₹500"))</f>
        <v>&gt;₹500</v>
      </c>
      <c r="K1219" s="1">
        <v>0.03</v>
      </c>
      <c r="L1219" s="1" t="str">
        <f t="shared" si="57"/>
        <v>&lt;50%</v>
      </c>
      <c r="M1219">
        <v>4.0999999999999996</v>
      </c>
      <c r="N1219" s="2">
        <v>7786</v>
      </c>
      <c r="O1219" s="5">
        <f t="shared" si="58"/>
        <v>5216620</v>
      </c>
      <c r="P1219">
        <f>MAX(Table1[RATING COUNT])</f>
        <v>426973</v>
      </c>
    </row>
    <row r="1220" spans="1:16">
      <c r="A1220" t="s">
        <v>2714</v>
      </c>
      <c r="B1220" t="s">
        <v>1180</v>
      </c>
      <c r="D1220" t="s">
        <v>1416</v>
      </c>
      <c r="E1220" t="s">
        <v>1508</v>
      </c>
      <c r="F1220" t="s">
        <v>1548</v>
      </c>
      <c r="G1220" t="s">
        <v>1549</v>
      </c>
      <c r="H1220" s="7">
        <v>193</v>
      </c>
      <c r="I1220" s="7">
        <v>399</v>
      </c>
      <c r="J1220" s="7" t="str">
        <f t="shared" si="59"/>
        <v>₹200–₹500</v>
      </c>
      <c r="K1220" s="1">
        <v>0.52</v>
      </c>
      <c r="L1220" s="1" t="str">
        <f t="shared" si="57"/>
        <v>50% or More</v>
      </c>
      <c r="M1220">
        <v>3.6</v>
      </c>
      <c r="N1220" s="2">
        <v>37</v>
      </c>
      <c r="O1220" s="5">
        <f t="shared" si="58"/>
        <v>14763</v>
      </c>
      <c r="P1220">
        <f>MAX(Table1[RATING COUNT])</f>
        <v>426973</v>
      </c>
    </row>
    <row r="1221" spans="1:16">
      <c r="A1221" t="s">
        <v>2715</v>
      </c>
      <c r="B1221" t="s">
        <v>1181</v>
      </c>
      <c r="D1221" t="s">
        <v>1416</v>
      </c>
      <c r="E1221" t="s">
        <v>1511</v>
      </c>
      <c r="F1221" t="s">
        <v>1512</v>
      </c>
      <c r="G1221" t="s">
        <v>1514</v>
      </c>
      <c r="H1221" s="7">
        <v>1299</v>
      </c>
      <c r="I1221" s="7">
        <v>2495</v>
      </c>
      <c r="J1221" s="7" t="str">
        <f t="shared" si="59"/>
        <v>&gt;₹500</v>
      </c>
      <c r="K1221" s="1">
        <v>0.48</v>
      </c>
      <c r="L1221" s="1" t="str">
        <f t="shared" si="57"/>
        <v>&lt;50%</v>
      </c>
      <c r="M1221">
        <v>2</v>
      </c>
      <c r="N1221" s="2">
        <v>2</v>
      </c>
      <c r="O1221" s="5">
        <f t="shared" si="58"/>
        <v>4990</v>
      </c>
      <c r="P1221">
        <f>MAX(Table1[RATING COUNT])</f>
        <v>426973</v>
      </c>
    </row>
    <row r="1222" spans="1:16">
      <c r="A1222" t="s">
        <v>2716</v>
      </c>
      <c r="B1222" t="s">
        <v>1182</v>
      </c>
      <c r="D1222" t="s">
        <v>1416</v>
      </c>
      <c r="E1222" t="s">
        <v>1508</v>
      </c>
      <c r="F1222" t="s">
        <v>1509</v>
      </c>
      <c r="G1222" t="s">
        <v>1523</v>
      </c>
      <c r="H1222" s="7">
        <v>2449</v>
      </c>
      <c r="I1222" s="7">
        <v>3390</v>
      </c>
      <c r="J1222" s="7" t="str">
        <f t="shared" si="59"/>
        <v>&gt;₹500</v>
      </c>
      <c r="K1222" s="1">
        <v>0.28000000000000003</v>
      </c>
      <c r="L1222" s="1" t="str">
        <f t="shared" si="57"/>
        <v>&lt;50%</v>
      </c>
      <c r="M1222">
        <v>4</v>
      </c>
      <c r="N1222" s="2">
        <v>5206</v>
      </c>
      <c r="O1222" s="5">
        <f t="shared" si="58"/>
        <v>17648340</v>
      </c>
      <c r="P1222">
        <f>MAX(Table1[RATING COUNT])</f>
        <v>426973</v>
      </c>
    </row>
    <row r="1223" spans="1:16">
      <c r="A1223" t="s">
        <v>2717</v>
      </c>
      <c r="B1223" t="s">
        <v>1183</v>
      </c>
      <c r="D1223" t="s">
        <v>1416</v>
      </c>
      <c r="E1223" t="s">
        <v>1511</v>
      </c>
      <c r="F1223" t="s">
        <v>1524</v>
      </c>
      <c r="G1223" t="s">
        <v>1525</v>
      </c>
      <c r="H1223" s="7">
        <v>1049</v>
      </c>
      <c r="I1223" s="7">
        <v>2499</v>
      </c>
      <c r="J1223" s="7" t="str">
        <f t="shared" si="59"/>
        <v>&gt;₹500</v>
      </c>
      <c r="K1223" s="1">
        <v>0.57999999999999996</v>
      </c>
      <c r="L1223" s="1" t="str">
        <f t="shared" si="57"/>
        <v>50% or More</v>
      </c>
      <c r="M1223">
        <v>3.7</v>
      </c>
      <c r="N1223" s="2">
        <v>638</v>
      </c>
      <c r="O1223" s="5">
        <f t="shared" si="58"/>
        <v>1594362</v>
      </c>
      <c r="P1223">
        <f>MAX(Table1[RATING COUNT])</f>
        <v>426973</v>
      </c>
    </row>
    <row r="1224" spans="1:16">
      <c r="A1224" t="s">
        <v>2718</v>
      </c>
      <c r="B1224" t="s">
        <v>1184</v>
      </c>
      <c r="D1224" t="s">
        <v>1416</v>
      </c>
      <c r="E1224" t="s">
        <v>1511</v>
      </c>
      <c r="F1224" t="s">
        <v>1538</v>
      </c>
      <c r="G1224" t="s">
        <v>1572</v>
      </c>
      <c r="H1224" s="7">
        <v>2399</v>
      </c>
      <c r="I1224" s="7">
        <v>4200</v>
      </c>
      <c r="J1224" s="7" t="str">
        <f t="shared" si="59"/>
        <v>&gt;₹500</v>
      </c>
      <c r="K1224" s="1">
        <v>0.43</v>
      </c>
      <c r="L1224" s="1" t="str">
        <f t="shared" si="57"/>
        <v>&lt;50%</v>
      </c>
      <c r="M1224">
        <v>3.8</v>
      </c>
      <c r="N1224" s="2">
        <v>397</v>
      </c>
      <c r="O1224" s="5">
        <f t="shared" si="58"/>
        <v>1667400</v>
      </c>
      <c r="P1224">
        <f>MAX(Table1[RATING COUNT])</f>
        <v>426973</v>
      </c>
    </row>
    <row r="1225" spans="1:16">
      <c r="A1225" t="s">
        <v>2719</v>
      </c>
      <c r="B1225" t="s">
        <v>1185</v>
      </c>
      <c r="D1225" t="s">
        <v>1416</v>
      </c>
      <c r="E1225" t="s">
        <v>1508</v>
      </c>
      <c r="F1225" t="s">
        <v>1515</v>
      </c>
      <c r="G1225" t="s">
        <v>1533</v>
      </c>
      <c r="H1225" s="7">
        <v>2286</v>
      </c>
      <c r="I1225" s="7">
        <v>4495</v>
      </c>
      <c r="J1225" s="7" t="str">
        <f t="shared" si="59"/>
        <v>&gt;₹500</v>
      </c>
      <c r="K1225" s="1">
        <v>0.49</v>
      </c>
      <c r="L1225" s="1" t="str">
        <f t="shared" si="57"/>
        <v>&lt;50%</v>
      </c>
      <c r="M1225">
        <v>3.9</v>
      </c>
      <c r="N1225" s="2">
        <v>326</v>
      </c>
      <c r="O1225" s="5">
        <f t="shared" si="58"/>
        <v>1465370</v>
      </c>
      <c r="P1225">
        <f>MAX(Table1[RATING COUNT])</f>
        <v>426973</v>
      </c>
    </row>
    <row r="1226" spans="1:16">
      <c r="A1226" t="s">
        <v>2720</v>
      </c>
      <c r="B1226" t="s">
        <v>1186</v>
      </c>
      <c r="D1226" t="s">
        <v>1416</v>
      </c>
      <c r="E1226" t="s">
        <v>1508</v>
      </c>
      <c r="F1226" t="s">
        <v>1509</v>
      </c>
      <c r="G1226" t="s">
        <v>1566</v>
      </c>
      <c r="H1226" s="7">
        <v>499</v>
      </c>
      <c r="I1226" s="7">
        <v>2199</v>
      </c>
      <c r="J1226" s="7" t="str">
        <f t="shared" si="59"/>
        <v>&gt;₹500</v>
      </c>
      <c r="K1226" s="1">
        <v>0.77</v>
      </c>
      <c r="L1226" s="1" t="str">
        <f t="shared" si="57"/>
        <v>50% or More</v>
      </c>
      <c r="M1226">
        <v>3.1</v>
      </c>
      <c r="N1226" s="2">
        <v>3527</v>
      </c>
      <c r="O1226" s="5">
        <f t="shared" si="58"/>
        <v>7755873</v>
      </c>
      <c r="P1226">
        <f>MAX(Table1[RATING COUNT])</f>
        <v>426973</v>
      </c>
    </row>
    <row r="1227" spans="1:16">
      <c r="A1227" t="s">
        <v>2721</v>
      </c>
      <c r="B1227" t="s">
        <v>1187</v>
      </c>
      <c r="D1227" t="s">
        <v>1416</v>
      </c>
      <c r="E1227" t="s">
        <v>1508</v>
      </c>
      <c r="F1227" t="s">
        <v>1509</v>
      </c>
      <c r="G1227" t="s">
        <v>1537</v>
      </c>
      <c r="H1227" s="7">
        <v>429</v>
      </c>
      <c r="I1227" s="7">
        <v>999</v>
      </c>
      <c r="J1227" s="7" t="str">
        <f t="shared" si="59"/>
        <v>&gt;₹500</v>
      </c>
      <c r="K1227" s="1">
        <v>0.56999999999999995</v>
      </c>
      <c r="L1227" s="1" t="str">
        <f t="shared" si="57"/>
        <v>50% or More</v>
      </c>
      <c r="M1227">
        <v>3</v>
      </c>
      <c r="N1227" s="2">
        <v>617</v>
      </c>
      <c r="O1227" s="5">
        <f t="shared" si="58"/>
        <v>616383</v>
      </c>
      <c r="P1227">
        <f>MAX(Table1[RATING COUNT])</f>
        <v>426973</v>
      </c>
    </row>
    <row r="1228" spans="1:16">
      <c r="A1228" t="s">
        <v>2722</v>
      </c>
      <c r="B1228" t="s">
        <v>1188</v>
      </c>
      <c r="D1228" t="s">
        <v>1416</v>
      </c>
      <c r="E1228" t="s">
        <v>1508</v>
      </c>
      <c r="F1228" t="s">
        <v>1509</v>
      </c>
      <c r="G1228" t="s">
        <v>1535</v>
      </c>
      <c r="H1228" s="7">
        <v>299</v>
      </c>
      <c r="I1228" s="7">
        <v>595</v>
      </c>
      <c r="J1228" s="7" t="str">
        <f t="shared" si="59"/>
        <v>&gt;₹500</v>
      </c>
      <c r="K1228" s="1">
        <v>0.5</v>
      </c>
      <c r="L1228" s="1" t="str">
        <f t="shared" si="57"/>
        <v>50% or More</v>
      </c>
      <c r="M1228">
        <v>4</v>
      </c>
      <c r="N1228" s="2">
        <v>314</v>
      </c>
      <c r="O1228" s="5">
        <f t="shared" si="58"/>
        <v>186830</v>
      </c>
      <c r="P1228">
        <f>MAX(Table1[RATING COUNT])</f>
        <v>426973</v>
      </c>
    </row>
    <row r="1229" spans="1:16">
      <c r="A1229" t="s">
        <v>2723</v>
      </c>
      <c r="B1229" t="s">
        <v>1189</v>
      </c>
      <c r="D1229" t="s">
        <v>1416</v>
      </c>
      <c r="E1229" t="s">
        <v>1508</v>
      </c>
      <c r="F1229" t="s">
        <v>1548</v>
      </c>
      <c r="G1229" t="s">
        <v>1558</v>
      </c>
      <c r="H1229" s="7">
        <v>5395</v>
      </c>
      <c r="I1229" s="7">
        <v>19990</v>
      </c>
      <c r="J1229" s="7" t="str">
        <f t="shared" si="59"/>
        <v>&gt;₹500</v>
      </c>
      <c r="K1229" s="1">
        <v>0.73</v>
      </c>
      <c r="L1229" s="1" t="str">
        <f t="shared" si="57"/>
        <v>50% or More</v>
      </c>
      <c r="M1229">
        <v>4.4000000000000004</v>
      </c>
      <c r="N1229" s="2">
        <v>535</v>
      </c>
      <c r="O1229" s="5">
        <f t="shared" si="58"/>
        <v>10694650</v>
      </c>
      <c r="P1229">
        <f>MAX(Table1[RATING COUNT])</f>
        <v>426973</v>
      </c>
    </row>
    <row r="1230" spans="1:16">
      <c r="A1230" t="s">
        <v>2724</v>
      </c>
      <c r="B1230" t="s">
        <v>1190</v>
      </c>
      <c r="D1230" t="s">
        <v>1416</v>
      </c>
      <c r="E1230" t="s">
        <v>1508</v>
      </c>
      <c r="F1230" t="s">
        <v>1515</v>
      </c>
      <c r="G1230" t="s">
        <v>1516</v>
      </c>
      <c r="H1230" s="7">
        <v>559</v>
      </c>
      <c r="I1230" s="7">
        <v>1010</v>
      </c>
      <c r="J1230" s="7" t="str">
        <f t="shared" si="59"/>
        <v>&gt;₹500</v>
      </c>
      <c r="K1230" s="1">
        <v>0.45</v>
      </c>
      <c r="L1230" s="1" t="str">
        <f t="shared" si="57"/>
        <v>&lt;50%</v>
      </c>
      <c r="M1230">
        <v>4.0999999999999996</v>
      </c>
      <c r="N1230" s="2">
        <v>17325</v>
      </c>
      <c r="O1230" s="5">
        <f t="shared" si="58"/>
        <v>17498250</v>
      </c>
      <c r="P1230">
        <f>MAX(Table1[RATING COUNT])</f>
        <v>426973</v>
      </c>
    </row>
    <row r="1231" spans="1:16">
      <c r="A1231" t="s">
        <v>2725</v>
      </c>
      <c r="B1231" t="s">
        <v>1191</v>
      </c>
      <c r="D1231" t="s">
        <v>1416</v>
      </c>
      <c r="E1231" t="s">
        <v>1508</v>
      </c>
      <c r="F1231" t="s">
        <v>1515</v>
      </c>
      <c r="G1231" t="s">
        <v>1516</v>
      </c>
      <c r="H1231" s="7">
        <v>660</v>
      </c>
      <c r="I1231" s="7">
        <v>1100</v>
      </c>
      <c r="J1231" s="7" t="str">
        <f t="shared" si="59"/>
        <v>&gt;₹500</v>
      </c>
      <c r="K1231" s="1">
        <v>0.4</v>
      </c>
      <c r="L1231" s="1" t="str">
        <f t="shared" si="57"/>
        <v>&lt;50%</v>
      </c>
      <c r="M1231">
        <v>3.6</v>
      </c>
      <c r="N1231" s="2">
        <v>91</v>
      </c>
      <c r="O1231" s="5">
        <f t="shared" si="58"/>
        <v>100100</v>
      </c>
      <c r="P1231">
        <f>MAX(Table1[RATING COUNT])</f>
        <v>426973</v>
      </c>
    </row>
    <row r="1232" spans="1:16">
      <c r="A1232" t="s">
        <v>2726</v>
      </c>
      <c r="B1232" t="s">
        <v>1192</v>
      </c>
      <c r="D1232" t="s">
        <v>1416</v>
      </c>
      <c r="E1232" t="s">
        <v>1508</v>
      </c>
      <c r="F1232" t="s">
        <v>1509</v>
      </c>
      <c r="G1232" t="s">
        <v>1534</v>
      </c>
      <c r="H1232" s="7">
        <v>419</v>
      </c>
      <c r="I1232" s="7">
        <v>999</v>
      </c>
      <c r="J1232" s="7" t="str">
        <f t="shared" si="59"/>
        <v>&gt;₹500</v>
      </c>
      <c r="K1232" s="1">
        <v>0.57999999999999996</v>
      </c>
      <c r="L1232" s="1" t="str">
        <f t="shared" si="57"/>
        <v>50% or More</v>
      </c>
      <c r="M1232">
        <v>4.4000000000000004</v>
      </c>
      <c r="N1232" s="2">
        <v>227</v>
      </c>
      <c r="O1232" s="5">
        <f t="shared" si="58"/>
        <v>226773</v>
      </c>
      <c r="P1232">
        <f>MAX(Table1[RATING COUNT])</f>
        <v>426973</v>
      </c>
    </row>
    <row r="1233" spans="1:16">
      <c r="A1233" t="s">
        <v>2727</v>
      </c>
      <c r="B1233" t="s">
        <v>1193</v>
      </c>
      <c r="D1233" t="s">
        <v>1416</v>
      </c>
      <c r="E1233" t="s">
        <v>1511</v>
      </c>
      <c r="F1233" t="s">
        <v>1524</v>
      </c>
      <c r="G1233" t="s">
        <v>1526</v>
      </c>
      <c r="H1233" s="7">
        <v>7349</v>
      </c>
      <c r="I1233" s="7">
        <v>10900</v>
      </c>
      <c r="J1233" s="7" t="str">
        <f t="shared" si="59"/>
        <v>&gt;₹500</v>
      </c>
      <c r="K1233" s="1">
        <v>0.33</v>
      </c>
      <c r="L1233" s="1" t="str">
        <f t="shared" si="57"/>
        <v>&lt;50%</v>
      </c>
      <c r="M1233">
        <v>4.2</v>
      </c>
      <c r="N1233" s="2">
        <v>11957</v>
      </c>
      <c r="O1233" s="5">
        <f t="shared" si="58"/>
        <v>130331300</v>
      </c>
      <c r="P1233">
        <f>MAX(Table1[RATING COUNT])</f>
        <v>426973</v>
      </c>
    </row>
    <row r="1234" spans="1:16">
      <c r="A1234" t="s">
        <v>2728</v>
      </c>
      <c r="B1234" t="s">
        <v>1194</v>
      </c>
      <c r="D1234" t="s">
        <v>1416</v>
      </c>
      <c r="E1234" t="s">
        <v>1511</v>
      </c>
      <c r="F1234" t="s">
        <v>1538</v>
      </c>
      <c r="G1234" t="s">
        <v>1539</v>
      </c>
      <c r="H1234" s="7">
        <v>2899</v>
      </c>
      <c r="I1234" s="7">
        <v>4005</v>
      </c>
      <c r="J1234" s="7" t="str">
        <f t="shared" si="59"/>
        <v>&gt;₹500</v>
      </c>
      <c r="K1234" s="1">
        <v>0.28000000000000003</v>
      </c>
      <c r="L1234" s="1" t="str">
        <f t="shared" si="57"/>
        <v>&lt;50%</v>
      </c>
      <c r="M1234">
        <v>4.3</v>
      </c>
      <c r="N1234" s="2">
        <v>7140</v>
      </c>
      <c r="O1234" s="5">
        <f t="shared" si="58"/>
        <v>28595700</v>
      </c>
      <c r="P1234">
        <f>MAX(Table1[RATING COUNT])</f>
        <v>426973</v>
      </c>
    </row>
    <row r="1235" spans="1:16">
      <c r="A1235" t="s">
        <v>2729</v>
      </c>
      <c r="B1235" t="s">
        <v>1195</v>
      </c>
      <c r="D1235" t="s">
        <v>1416</v>
      </c>
      <c r="E1235" t="s">
        <v>1508</v>
      </c>
      <c r="F1235" t="s">
        <v>1515</v>
      </c>
      <c r="G1235" t="s">
        <v>1533</v>
      </c>
      <c r="H1235" s="7">
        <v>1799</v>
      </c>
      <c r="I1235" s="7">
        <v>3295</v>
      </c>
      <c r="J1235" s="7" t="str">
        <f t="shared" si="59"/>
        <v>&gt;₹500</v>
      </c>
      <c r="K1235" s="1">
        <v>0.45</v>
      </c>
      <c r="L1235" s="1" t="str">
        <f t="shared" si="57"/>
        <v>&lt;50%</v>
      </c>
      <c r="M1235">
        <v>3.8</v>
      </c>
      <c r="N1235" s="2">
        <v>687</v>
      </c>
      <c r="O1235" s="5">
        <f t="shared" si="58"/>
        <v>2263665</v>
      </c>
      <c r="P1235">
        <f>MAX(Table1[RATING COUNT])</f>
        <v>426973</v>
      </c>
    </row>
    <row r="1236" spans="1:16">
      <c r="A1236" t="s">
        <v>2730</v>
      </c>
      <c r="B1236" t="s">
        <v>1196</v>
      </c>
      <c r="D1236" t="s">
        <v>1416</v>
      </c>
      <c r="E1236" t="s">
        <v>1508</v>
      </c>
      <c r="F1236" t="s">
        <v>1509</v>
      </c>
      <c r="G1236" t="s">
        <v>1535</v>
      </c>
      <c r="H1236" s="7">
        <v>1474</v>
      </c>
      <c r="I1236" s="7">
        <v>4650</v>
      </c>
      <c r="J1236" s="7" t="str">
        <f t="shared" si="59"/>
        <v>&gt;₹500</v>
      </c>
      <c r="K1236" s="1">
        <v>0.68</v>
      </c>
      <c r="L1236" s="1" t="str">
        <f t="shared" si="57"/>
        <v>50% or More</v>
      </c>
      <c r="M1236">
        <v>4.0999999999999996</v>
      </c>
      <c r="N1236" s="2">
        <v>1045</v>
      </c>
      <c r="O1236" s="5">
        <f t="shared" si="58"/>
        <v>4859250</v>
      </c>
      <c r="P1236">
        <f>MAX(Table1[RATING COUNT])</f>
        <v>426973</v>
      </c>
    </row>
    <row r="1237" spans="1:16">
      <c r="A1237" t="s">
        <v>2731</v>
      </c>
      <c r="B1237" t="s">
        <v>1197</v>
      </c>
      <c r="D1237" t="s">
        <v>1416</v>
      </c>
      <c r="E1237" t="s">
        <v>1508</v>
      </c>
      <c r="F1237" t="s">
        <v>1548</v>
      </c>
      <c r="G1237" t="s">
        <v>1558</v>
      </c>
      <c r="H1237" s="7">
        <v>15999</v>
      </c>
      <c r="I1237" s="7">
        <v>24500</v>
      </c>
      <c r="J1237" s="7" t="str">
        <f t="shared" si="59"/>
        <v>&gt;₹500</v>
      </c>
      <c r="K1237" s="1">
        <v>0.35</v>
      </c>
      <c r="L1237" s="1" t="str">
        <f t="shared" si="57"/>
        <v>&lt;50%</v>
      </c>
      <c r="M1237">
        <v>4</v>
      </c>
      <c r="N1237" s="2">
        <v>11206</v>
      </c>
      <c r="O1237" s="5">
        <f t="shared" si="58"/>
        <v>274547000</v>
      </c>
      <c r="P1237">
        <f>MAX(Table1[RATING COUNT])</f>
        <v>426973</v>
      </c>
    </row>
    <row r="1238" spans="1:16">
      <c r="A1238" t="s">
        <v>2732</v>
      </c>
      <c r="B1238" t="s">
        <v>1198</v>
      </c>
      <c r="D1238" t="s">
        <v>1416</v>
      </c>
      <c r="E1238" t="s">
        <v>1511</v>
      </c>
      <c r="F1238" t="s">
        <v>1524</v>
      </c>
      <c r="G1238" t="s">
        <v>1525</v>
      </c>
      <c r="H1238" s="7">
        <v>3645</v>
      </c>
      <c r="I1238" s="7">
        <v>6070</v>
      </c>
      <c r="J1238" s="7" t="str">
        <f t="shared" si="59"/>
        <v>&gt;₹500</v>
      </c>
      <c r="K1238" s="1">
        <v>0.4</v>
      </c>
      <c r="L1238" s="1" t="str">
        <f t="shared" si="57"/>
        <v>&lt;50%</v>
      </c>
      <c r="M1238">
        <v>4.2</v>
      </c>
      <c r="N1238" s="2">
        <v>561</v>
      </c>
      <c r="O1238" s="5">
        <f t="shared" si="58"/>
        <v>3405270</v>
      </c>
      <c r="P1238">
        <f>MAX(Table1[RATING COUNT])</f>
        <v>426973</v>
      </c>
    </row>
    <row r="1239" spans="1:16">
      <c r="A1239" t="s">
        <v>2733</v>
      </c>
      <c r="B1239" t="s">
        <v>1199</v>
      </c>
      <c r="D1239" t="s">
        <v>1416</v>
      </c>
      <c r="E1239" t="s">
        <v>1508</v>
      </c>
      <c r="F1239" t="s">
        <v>1509</v>
      </c>
      <c r="G1239" t="s">
        <v>1522</v>
      </c>
      <c r="H1239" s="7">
        <v>375</v>
      </c>
      <c r="I1239" s="7">
        <v>999</v>
      </c>
      <c r="J1239" s="7" t="str">
        <f t="shared" si="59"/>
        <v>&gt;₹500</v>
      </c>
      <c r="K1239" s="1">
        <v>0.62</v>
      </c>
      <c r="L1239" s="1" t="str">
        <f t="shared" si="57"/>
        <v>50% or More</v>
      </c>
      <c r="M1239">
        <v>3.6</v>
      </c>
      <c r="N1239" s="2">
        <v>1988</v>
      </c>
      <c r="O1239" s="5">
        <f t="shared" si="58"/>
        <v>1986012</v>
      </c>
      <c r="P1239">
        <f>MAX(Table1[RATING COUNT])</f>
        <v>426973</v>
      </c>
    </row>
    <row r="1240" spans="1:16">
      <c r="A1240" t="s">
        <v>2734</v>
      </c>
      <c r="B1240" t="s">
        <v>1200</v>
      </c>
      <c r="D1240" t="s">
        <v>1416</v>
      </c>
      <c r="E1240" t="s">
        <v>1508</v>
      </c>
      <c r="F1240" t="s">
        <v>1509</v>
      </c>
      <c r="G1240" t="s">
        <v>1551</v>
      </c>
      <c r="H1240" s="7">
        <v>2976</v>
      </c>
      <c r="I1240" s="7">
        <v>3945</v>
      </c>
      <c r="J1240" s="7" t="str">
        <f t="shared" si="59"/>
        <v>&gt;₹500</v>
      </c>
      <c r="K1240" s="1">
        <v>0.25</v>
      </c>
      <c r="L1240" s="1" t="str">
        <f t="shared" si="57"/>
        <v>&lt;50%</v>
      </c>
      <c r="M1240">
        <v>4.2</v>
      </c>
      <c r="N1240" s="2">
        <v>3740</v>
      </c>
      <c r="O1240" s="5">
        <f t="shared" si="58"/>
        <v>14754300</v>
      </c>
      <c r="P1240">
        <f>MAX(Table1[RATING COUNT])</f>
        <v>426973</v>
      </c>
    </row>
    <row r="1241" spans="1:16">
      <c r="A1241" t="s">
        <v>2735</v>
      </c>
      <c r="B1241" t="s">
        <v>1201</v>
      </c>
      <c r="D1241" t="s">
        <v>1416</v>
      </c>
      <c r="E1241" t="s">
        <v>1508</v>
      </c>
      <c r="F1241" t="s">
        <v>1544</v>
      </c>
      <c r="G1241" t="s">
        <v>1573</v>
      </c>
      <c r="H1241" s="7">
        <v>1099</v>
      </c>
      <c r="I1241" s="7">
        <v>1499</v>
      </c>
      <c r="J1241" s="7" t="str">
        <f t="shared" si="59"/>
        <v>&gt;₹500</v>
      </c>
      <c r="K1241" s="1">
        <v>0.27</v>
      </c>
      <c r="L1241" s="1" t="str">
        <f t="shared" si="57"/>
        <v>&lt;50%</v>
      </c>
      <c r="M1241">
        <v>4.0999999999999996</v>
      </c>
      <c r="N1241" s="2">
        <v>4401</v>
      </c>
      <c r="O1241" s="5">
        <f t="shared" si="58"/>
        <v>6597099</v>
      </c>
      <c r="P1241">
        <f>MAX(Table1[RATING COUNT])</f>
        <v>426973</v>
      </c>
    </row>
    <row r="1242" spans="1:16">
      <c r="A1242" t="s">
        <v>2736</v>
      </c>
      <c r="B1242" t="s">
        <v>1202</v>
      </c>
      <c r="D1242" t="s">
        <v>1416</v>
      </c>
      <c r="E1242" t="s">
        <v>1508</v>
      </c>
      <c r="F1242" t="s">
        <v>1515</v>
      </c>
      <c r="G1242" t="s">
        <v>1516</v>
      </c>
      <c r="H1242" s="7">
        <v>2575</v>
      </c>
      <c r="I1242" s="7">
        <v>6700</v>
      </c>
      <c r="J1242" s="7" t="str">
        <f t="shared" si="59"/>
        <v>&gt;₹500</v>
      </c>
      <c r="K1242" s="1">
        <v>0.62</v>
      </c>
      <c r="L1242" s="1" t="str">
        <f t="shared" si="57"/>
        <v>50% or More</v>
      </c>
      <c r="M1242">
        <v>4.2</v>
      </c>
      <c r="N1242" s="2">
        <v>611</v>
      </c>
      <c r="O1242" s="5">
        <f t="shared" si="58"/>
        <v>4093700</v>
      </c>
      <c r="P1242">
        <f>MAX(Table1[RATING COUNT])</f>
        <v>426973</v>
      </c>
    </row>
    <row r="1243" spans="1:16">
      <c r="A1243" t="s">
        <v>2737</v>
      </c>
      <c r="B1243" t="s">
        <v>1203</v>
      </c>
      <c r="D1243" t="s">
        <v>1416</v>
      </c>
      <c r="E1243" t="s">
        <v>1508</v>
      </c>
      <c r="F1243" t="s">
        <v>1509</v>
      </c>
      <c r="G1243" t="s">
        <v>1523</v>
      </c>
      <c r="H1243" s="7">
        <v>1649</v>
      </c>
      <c r="I1243" s="7">
        <v>2800</v>
      </c>
      <c r="J1243" s="7" t="str">
        <f t="shared" si="59"/>
        <v>&gt;₹500</v>
      </c>
      <c r="K1243" s="1">
        <v>0.41</v>
      </c>
      <c r="L1243" s="1" t="str">
        <f t="shared" si="57"/>
        <v>&lt;50%</v>
      </c>
      <c r="M1243">
        <v>3.9</v>
      </c>
      <c r="N1243" s="2">
        <v>2162</v>
      </c>
      <c r="O1243" s="5">
        <f t="shared" si="58"/>
        <v>6053600</v>
      </c>
      <c r="P1243">
        <f>MAX(Table1[RATING COUNT])</f>
        <v>426973</v>
      </c>
    </row>
    <row r="1244" spans="1:16">
      <c r="A1244" t="s">
        <v>2738</v>
      </c>
      <c r="B1244" t="s">
        <v>1204</v>
      </c>
      <c r="D1244" t="s">
        <v>1416</v>
      </c>
      <c r="E1244" t="s">
        <v>1508</v>
      </c>
      <c r="F1244" t="s">
        <v>1509</v>
      </c>
      <c r="G1244" t="s">
        <v>1522</v>
      </c>
      <c r="H1244" s="7">
        <v>799</v>
      </c>
      <c r="I1244" s="7">
        <v>1699</v>
      </c>
      <c r="J1244" s="7" t="str">
        <f t="shared" si="59"/>
        <v>&gt;₹500</v>
      </c>
      <c r="K1244" s="1">
        <v>0.53</v>
      </c>
      <c r="L1244" s="1" t="str">
        <f t="shared" si="57"/>
        <v>50% or More</v>
      </c>
      <c r="M1244">
        <v>4</v>
      </c>
      <c r="N1244" s="2">
        <v>97</v>
      </c>
      <c r="O1244" s="5">
        <f t="shared" si="58"/>
        <v>164803</v>
      </c>
      <c r="P1244">
        <f>MAX(Table1[RATING COUNT])</f>
        <v>426973</v>
      </c>
    </row>
    <row r="1245" spans="1:16">
      <c r="A1245" t="s">
        <v>2739</v>
      </c>
      <c r="B1245" t="s">
        <v>1205</v>
      </c>
      <c r="D1245" t="s">
        <v>1416</v>
      </c>
      <c r="E1245" t="s">
        <v>1508</v>
      </c>
      <c r="F1245" t="s">
        <v>1509</v>
      </c>
      <c r="G1245" t="s">
        <v>1522</v>
      </c>
      <c r="H1245" s="7">
        <v>765</v>
      </c>
      <c r="I1245" s="7">
        <v>970</v>
      </c>
      <c r="J1245" s="7" t="str">
        <f t="shared" si="59"/>
        <v>&gt;₹500</v>
      </c>
      <c r="K1245" s="1">
        <v>0.21</v>
      </c>
      <c r="L1245" s="1" t="str">
        <f t="shared" si="57"/>
        <v>&lt;50%</v>
      </c>
      <c r="M1245">
        <v>4.2</v>
      </c>
      <c r="N1245" s="2">
        <v>6055</v>
      </c>
      <c r="O1245" s="5">
        <f t="shared" si="58"/>
        <v>5873350</v>
      </c>
      <c r="P1245">
        <f>MAX(Table1[RATING COUNT])</f>
        <v>426973</v>
      </c>
    </row>
    <row r="1246" spans="1:16">
      <c r="A1246" t="s">
        <v>2740</v>
      </c>
      <c r="B1246" t="s">
        <v>1206</v>
      </c>
      <c r="D1246" t="s">
        <v>1416</v>
      </c>
      <c r="E1246" t="s">
        <v>1508</v>
      </c>
      <c r="F1246" t="s">
        <v>1515</v>
      </c>
      <c r="G1246" t="s">
        <v>1516</v>
      </c>
      <c r="H1246" s="7">
        <v>999</v>
      </c>
      <c r="I1246" s="7">
        <v>1500</v>
      </c>
      <c r="J1246" s="7" t="str">
        <f t="shared" si="59"/>
        <v>&gt;₹500</v>
      </c>
      <c r="K1246" s="1">
        <v>0.33</v>
      </c>
      <c r="L1246" s="1" t="str">
        <f t="shared" si="57"/>
        <v>&lt;50%</v>
      </c>
      <c r="M1246">
        <v>4.2</v>
      </c>
      <c r="N1246" s="2">
        <v>386</v>
      </c>
      <c r="O1246" s="5">
        <f t="shared" si="58"/>
        <v>579000</v>
      </c>
      <c r="P1246">
        <f>MAX(Table1[RATING COUNT])</f>
        <v>426973</v>
      </c>
    </row>
    <row r="1247" spans="1:16">
      <c r="A1247" t="s">
        <v>2741</v>
      </c>
      <c r="B1247" t="s">
        <v>1207</v>
      </c>
      <c r="D1247" t="s">
        <v>1416</v>
      </c>
      <c r="E1247" t="s">
        <v>1508</v>
      </c>
      <c r="F1247" t="s">
        <v>1509</v>
      </c>
      <c r="G1247" t="s">
        <v>1576</v>
      </c>
      <c r="H1247" s="7">
        <v>587</v>
      </c>
      <c r="I1247" s="7">
        <v>1295</v>
      </c>
      <c r="J1247" s="7" t="str">
        <f t="shared" si="59"/>
        <v>&gt;₹500</v>
      </c>
      <c r="K1247" s="1">
        <v>0.55000000000000004</v>
      </c>
      <c r="L1247" s="1" t="str">
        <f t="shared" si="57"/>
        <v>50% or More</v>
      </c>
      <c r="M1247">
        <v>4.0999999999999996</v>
      </c>
      <c r="N1247" s="2">
        <v>557</v>
      </c>
      <c r="O1247" s="5">
        <f t="shared" si="58"/>
        <v>721315</v>
      </c>
      <c r="P1247">
        <f>MAX(Table1[RATING COUNT])</f>
        <v>426973</v>
      </c>
    </row>
    <row r="1248" spans="1:16">
      <c r="A1248" t="s">
        <v>2742</v>
      </c>
      <c r="B1248" t="s">
        <v>1208</v>
      </c>
      <c r="D1248" t="s">
        <v>1416</v>
      </c>
      <c r="E1248" t="s">
        <v>1508</v>
      </c>
      <c r="F1248" t="s">
        <v>1509</v>
      </c>
      <c r="G1248" t="s">
        <v>1566</v>
      </c>
      <c r="H1248" s="7">
        <v>12609</v>
      </c>
      <c r="I1248" s="7">
        <v>23999</v>
      </c>
      <c r="J1248" s="7" t="str">
        <f t="shared" si="59"/>
        <v>&gt;₹500</v>
      </c>
      <c r="K1248" s="1">
        <v>0.47</v>
      </c>
      <c r="L1248" s="1" t="str">
        <f t="shared" si="57"/>
        <v>&lt;50%</v>
      </c>
      <c r="M1248">
        <v>4.4000000000000004</v>
      </c>
      <c r="N1248" s="2">
        <v>2288</v>
      </c>
      <c r="O1248" s="5">
        <f t="shared" si="58"/>
        <v>54909712</v>
      </c>
      <c r="P1248">
        <f>MAX(Table1[RATING COUNT])</f>
        <v>426973</v>
      </c>
    </row>
    <row r="1249" spans="1:16">
      <c r="A1249" t="s">
        <v>2743</v>
      </c>
      <c r="B1249" t="s">
        <v>1209</v>
      </c>
      <c r="D1249" t="s">
        <v>1416</v>
      </c>
      <c r="E1249" t="s">
        <v>1508</v>
      </c>
      <c r="F1249" t="s">
        <v>1515</v>
      </c>
      <c r="G1249" t="s">
        <v>1516</v>
      </c>
      <c r="H1249" s="7">
        <v>699</v>
      </c>
      <c r="I1249" s="7">
        <v>850</v>
      </c>
      <c r="J1249" s="7" t="str">
        <f t="shared" si="59"/>
        <v>&gt;₹500</v>
      </c>
      <c r="K1249" s="1">
        <v>0.18</v>
      </c>
      <c r="L1249" s="1" t="str">
        <f t="shared" si="57"/>
        <v>&lt;50%</v>
      </c>
      <c r="M1249">
        <v>4.0999999999999996</v>
      </c>
      <c r="N1249" s="2">
        <v>1106</v>
      </c>
      <c r="O1249" s="5">
        <f t="shared" si="58"/>
        <v>940100</v>
      </c>
      <c r="P1249">
        <f>MAX(Table1[RATING COUNT])</f>
        <v>426973</v>
      </c>
    </row>
    <row r="1250" spans="1:16">
      <c r="A1250" t="s">
        <v>2744</v>
      </c>
      <c r="B1250" t="s">
        <v>1210</v>
      </c>
      <c r="D1250" t="s">
        <v>1416</v>
      </c>
      <c r="E1250" t="s">
        <v>1508</v>
      </c>
      <c r="F1250" t="s">
        <v>1515</v>
      </c>
      <c r="G1250" t="s">
        <v>1533</v>
      </c>
      <c r="H1250" s="7">
        <v>3799</v>
      </c>
      <c r="I1250" s="7">
        <v>6000</v>
      </c>
      <c r="J1250" s="7" t="str">
        <f t="shared" si="59"/>
        <v>&gt;₹500</v>
      </c>
      <c r="K1250" s="1">
        <v>0.37</v>
      </c>
      <c r="L1250" s="1" t="str">
        <f t="shared" si="57"/>
        <v>&lt;50%</v>
      </c>
      <c r="M1250">
        <v>4.2</v>
      </c>
      <c r="N1250" s="2">
        <v>11935</v>
      </c>
      <c r="O1250" s="5">
        <f t="shared" si="58"/>
        <v>71610000</v>
      </c>
      <c r="P1250">
        <f>MAX(Table1[RATING COUNT])</f>
        <v>426973</v>
      </c>
    </row>
    <row r="1251" spans="1:16">
      <c r="A1251" t="s">
        <v>2745</v>
      </c>
      <c r="B1251" t="s">
        <v>1211</v>
      </c>
      <c r="D1251" t="s">
        <v>1416</v>
      </c>
      <c r="E1251" t="s">
        <v>1511</v>
      </c>
      <c r="F1251" t="s">
        <v>1524</v>
      </c>
      <c r="G1251" t="s">
        <v>1527</v>
      </c>
      <c r="H1251" s="7">
        <v>640</v>
      </c>
      <c r="I1251" s="7">
        <v>1020</v>
      </c>
      <c r="J1251" s="7" t="str">
        <f t="shared" si="59"/>
        <v>&gt;₹500</v>
      </c>
      <c r="K1251" s="1">
        <v>0.37</v>
      </c>
      <c r="L1251" s="1" t="str">
        <f t="shared" si="57"/>
        <v>&lt;50%</v>
      </c>
      <c r="M1251">
        <v>4.0999999999999996</v>
      </c>
      <c r="N1251" s="2">
        <v>5059</v>
      </c>
      <c r="O1251" s="5">
        <f t="shared" si="58"/>
        <v>5160180</v>
      </c>
      <c r="P1251">
        <f>MAX(Table1[RATING COUNT])</f>
        <v>426973</v>
      </c>
    </row>
    <row r="1252" spans="1:16">
      <c r="A1252" t="s">
        <v>2746</v>
      </c>
      <c r="B1252" t="s">
        <v>1212</v>
      </c>
      <c r="D1252" t="s">
        <v>1416</v>
      </c>
      <c r="E1252" t="s">
        <v>1511</v>
      </c>
      <c r="F1252" t="s">
        <v>1512</v>
      </c>
      <c r="G1252" t="s">
        <v>1514</v>
      </c>
      <c r="H1252" s="7">
        <v>979</v>
      </c>
      <c r="I1252" s="7">
        <v>1999</v>
      </c>
      <c r="J1252" s="7" t="str">
        <f t="shared" si="59"/>
        <v>&gt;₹500</v>
      </c>
      <c r="K1252" s="1">
        <v>0.51</v>
      </c>
      <c r="L1252" s="1" t="str">
        <f t="shared" si="57"/>
        <v>50% or More</v>
      </c>
      <c r="M1252">
        <v>3.9</v>
      </c>
      <c r="N1252" s="2">
        <v>157</v>
      </c>
      <c r="O1252" s="5">
        <f t="shared" si="58"/>
        <v>313843</v>
      </c>
      <c r="P1252">
        <f>MAX(Table1[RATING COUNT])</f>
        <v>426973</v>
      </c>
    </row>
    <row r="1253" spans="1:16">
      <c r="A1253" t="s">
        <v>2747</v>
      </c>
      <c r="B1253" t="s">
        <v>1213</v>
      </c>
      <c r="D1253" t="s">
        <v>1416</v>
      </c>
      <c r="E1253" t="s">
        <v>1511</v>
      </c>
      <c r="F1253" t="s">
        <v>1524</v>
      </c>
      <c r="G1253" t="s">
        <v>1525</v>
      </c>
      <c r="H1253" s="7">
        <v>5365</v>
      </c>
      <c r="I1253" s="7">
        <v>7445</v>
      </c>
      <c r="J1253" s="7" t="str">
        <f t="shared" si="59"/>
        <v>&gt;₹500</v>
      </c>
      <c r="K1253" s="1">
        <v>0.28000000000000003</v>
      </c>
      <c r="L1253" s="1" t="str">
        <f t="shared" si="57"/>
        <v>&lt;50%</v>
      </c>
      <c r="M1253">
        <v>3.9</v>
      </c>
      <c r="N1253" s="2">
        <v>3584</v>
      </c>
      <c r="O1253" s="5">
        <f t="shared" si="58"/>
        <v>26682880</v>
      </c>
      <c r="P1253">
        <f>MAX(Table1[RATING COUNT])</f>
        <v>426973</v>
      </c>
    </row>
    <row r="1254" spans="1:16">
      <c r="A1254" t="s">
        <v>2748</v>
      </c>
      <c r="B1254" t="s">
        <v>1214</v>
      </c>
      <c r="D1254" t="s">
        <v>1416</v>
      </c>
      <c r="E1254" t="s">
        <v>1508</v>
      </c>
      <c r="F1254" t="s">
        <v>1515</v>
      </c>
      <c r="G1254" t="s">
        <v>1516</v>
      </c>
      <c r="H1254" s="7">
        <v>3199</v>
      </c>
      <c r="I1254" s="7">
        <v>3500</v>
      </c>
      <c r="J1254" s="7" t="str">
        <f t="shared" si="59"/>
        <v>&gt;₹500</v>
      </c>
      <c r="K1254" s="1">
        <v>0.09</v>
      </c>
      <c r="L1254" s="1" t="str">
        <f t="shared" si="57"/>
        <v>&lt;50%</v>
      </c>
      <c r="M1254">
        <v>4.2</v>
      </c>
      <c r="N1254" s="2">
        <v>1899</v>
      </c>
      <c r="O1254" s="5">
        <f t="shared" si="58"/>
        <v>6646500</v>
      </c>
      <c r="P1254">
        <f>MAX(Table1[RATING COUNT])</f>
        <v>426973</v>
      </c>
    </row>
    <row r="1255" spans="1:16">
      <c r="A1255" t="s">
        <v>2749</v>
      </c>
      <c r="B1255" t="s">
        <v>1215</v>
      </c>
      <c r="D1255" t="s">
        <v>1416</v>
      </c>
      <c r="E1255" t="s">
        <v>1508</v>
      </c>
      <c r="F1255" t="s">
        <v>1509</v>
      </c>
      <c r="G1255" t="s">
        <v>1563</v>
      </c>
      <c r="H1255" s="7">
        <v>979</v>
      </c>
      <c r="I1255" s="7">
        <v>1395</v>
      </c>
      <c r="J1255" s="7" t="str">
        <f t="shared" si="59"/>
        <v>&gt;₹500</v>
      </c>
      <c r="K1255" s="1">
        <v>0.3</v>
      </c>
      <c r="L1255" s="1" t="str">
        <f t="shared" si="57"/>
        <v>&lt;50%</v>
      </c>
      <c r="M1255">
        <v>4.2</v>
      </c>
      <c r="N1255" s="2">
        <v>15252</v>
      </c>
      <c r="O1255" s="5">
        <f t="shared" si="58"/>
        <v>21276540</v>
      </c>
      <c r="P1255">
        <f>MAX(Table1[RATING COUNT])</f>
        <v>426973</v>
      </c>
    </row>
    <row r="1256" spans="1:16">
      <c r="A1256" t="s">
        <v>2750</v>
      </c>
      <c r="B1256" t="s">
        <v>1216</v>
      </c>
      <c r="D1256" t="s">
        <v>1416</v>
      </c>
      <c r="E1256" t="s">
        <v>1511</v>
      </c>
      <c r="F1256" t="s">
        <v>1512</v>
      </c>
      <c r="G1256" t="s">
        <v>1513</v>
      </c>
      <c r="H1256" s="7">
        <v>929</v>
      </c>
      <c r="I1256" s="7">
        <v>2199</v>
      </c>
      <c r="J1256" s="7" t="str">
        <f t="shared" si="59"/>
        <v>&gt;₹500</v>
      </c>
      <c r="K1256" s="1">
        <v>0.57999999999999996</v>
      </c>
      <c r="L1256" s="1" t="str">
        <f t="shared" si="57"/>
        <v>50% or More</v>
      </c>
      <c r="M1256">
        <v>3.7</v>
      </c>
      <c r="N1256" s="2">
        <v>4</v>
      </c>
      <c r="O1256" s="5">
        <f t="shared" si="58"/>
        <v>8796</v>
      </c>
      <c r="P1256">
        <f>MAX(Table1[RATING COUNT])</f>
        <v>426973</v>
      </c>
    </row>
    <row r="1257" spans="1:16">
      <c r="A1257" t="s">
        <v>2751</v>
      </c>
      <c r="B1257" t="s">
        <v>1217</v>
      </c>
      <c r="D1257" t="s">
        <v>1416</v>
      </c>
      <c r="E1257" t="s">
        <v>1508</v>
      </c>
      <c r="F1257" t="s">
        <v>1509</v>
      </c>
      <c r="G1257" t="s">
        <v>1564</v>
      </c>
      <c r="H1257" s="7">
        <v>3710</v>
      </c>
      <c r="I1257" s="7">
        <v>4330</v>
      </c>
      <c r="J1257" s="7" t="str">
        <f t="shared" si="59"/>
        <v>&gt;₹500</v>
      </c>
      <c r="K1257" s="1">
        <v>0.14000000000000001</v>
      </c>
      <c r="L1257" s="1" t="str">
        <f t="shared" si="57"/>
        <v>&lt;50%</v>
      </c>
      <c r="M1257">
        <v>3.7</v>
      </c>
      <c r="N1257" s="2">
        <v>1662</v>
      </c>
      <c r="O1257" s="5">
        <f t="shared" si="58"/>
        <v>7196460</v>
      </c>
      <c r="P1257">
        <f>MAX(Table1[RATING COUNT])</f>
        <v>426973</v>
      </c>
    </row>
    <row r="1258" spans="1:16">
      <c r="A1258" t="s">
        <v>2752</v>
      </c>
      <c r="B1258" t="s">
        <v>1218</v>
      </c>
      <c r="D1258" t="s">
        <v>1416</v>
      </c>
      <c r="E1258" t="s">
        <v>1508</v>
      </c>
      <c r="F1258" t="s">
        <v>1509</v>
      </c>
      <c r="G1258" t="s">
        <v>1523</v>
      </c>
      <c r="H1258" s="7">
        <v>2033</v>
      </c>
      <c r="I1258" s="7">
        <v>4295</v>
      </c>
      <c r="J1258" s="7" t="str">
        <f t="shared" si="59"/>
        <v>&gt;₹500</v>
      </c>
      <c r="K1258" s="1">
        <v>0.53</v>
      </c>
      <c r="L1258" s="1" t="str">
        <f t="shared" si="57"/>
        <v>50% or More</v>
      </c>
      <c r="M1258">
        <v>3.4</v>
      </c>
      <c r="N1258" s="2">
        <v>422</v>
      </c>
      <c r="O1258" s="5">
        <f t="shared" si="58"/>
        <v>1812490</v>
      </c>
      <c r="P1258">
        <f>MAX(Table1[RATING COUNT])</f>
        <v>426973</v>
      </c>
    </row>
    <row r="1259" spans="1:16">
      <c r="A1259" t="s">
        <v>2753</v>
      </c>
      <c r="B1259" t="s">
        <v>1219</v>
      </c>
      <c r="D1259" t="s">
        <v>1416</v>
      </c>
      <c r="E1259" t="s">
        <v>1511</v>
      </c>
      <c r="F1259" t="s">
        <v>1512</v>
      </c>
      <c r="G1259" t="s">
        <v>1513</v>
      </c>
      <c r="H1259" s="7">
        <v>9495</v>
      </c>
      <c r="I1259" s="7">
        <v>18990</v>
      </c>
      <c r="J1259" s="7" t="str">
        <f t="shared" si="59"/>
        <v>&gt;₹500</v>
      </c>
      <c r="K1259" s="1">
        <v>0.5</v>
      </c>
      <c r="L1259" s="1" t="str">
        <f t="shared" si="57"/>
        <v>50% or More</v>
      </c>
      <c r="M1259">
        <v>4.2</v>
      </c>
      <c r="N1259" s="2">
        <v>79</v>
      </c>
      <c r="O1259" s="5">
        <f t="shared" si="58"/>
        <v>1500210</v>
      </c>
      <c r="P1259">
        <f>MAX(Table1[RATING COUNT])</f>
        <v>426973</v>
      </c>
    </row>
    <row r="1260" spans="1:16">
      <c r="A1260" t="s">
        <v>2754</v>
      </c>
      <c r="B1260" t="s">
        <v>1220</v>
      </c>
      <c r="D1260" t="s">
        <v>1416</v>
      </c>
      <c r="E1260" t="s">
        <v>1511</v>
      </c>
      <c r="F1260" t="s">
        <v>1524</v>
      </c>
      <c r="G1260" t="s">
        <v>1526</v>
      </c>
      <c r="H1260" s="7">
        <v>7799</v>
      </c>
      <c r="I1260" s="7">
        <v>12500</v>
      </c>
      <c r="J1260" s="7" t="str">
        <f t="shared" si="59"/>
        <v>&gt;₹500</v>
      </c>
      <c r="K1260" s="1">
        <v>0.38</v>
      </c>
      <c r="L1260" s="1" t="str">
        <f t="shared" si="57"/>
        <v>&lt;50%</v>
      </c>
      <c r="M1260">
        <v>4</v>
      </c>
      <c r="N1260" s="2">
        <v>5160</v>
      </c>
      <c r="O1260" s="5">
        <f t="shared" si="58"/>
        <v>64500000</v>
      </c>
      <c r="P1260">
        <f>MAX(Table1[RATING COUNT])</f>
        <v>426973</v>
      </c>
    </row>
    <row r="1261" spans="1:16">
      <c r="A1261" t="s">
        <v>2755</v>
      </c>
      <c r="B1261" t="s">
        <v>1221</v>
      </c>
      <c r="D1261" t="s">
        <v>1416</v>
      </c>
      <c r="E1261" t="s">
        <v>1508</v>
      </c>
      <c r="F1261" t="s">
        <v>1509</v>
      </c>
      <c r="G1261" t="s">
        <v>1510</v>
      </c>
      <c r="H1261" s="7">
        <v>949</v>
      </c>
      <c r="I1261" s="7">
        <v>2385</v>
      </c>
      <c r="J1261" s="7" t="str">
        <f t="shared" si="59"/>
        <v>&gt;₹500</v>
      </c>
      <c r="K1261" s="1">
        <v>0.6</v>
      </c>
      <c r="L1261" s="1" t="str">
        <f t="shared" si="57"/>
        <v>50% or More</v>
      </c>
      <c r="M1261">
        <v>4.0999999999999996</v>
      </c>
      <c r="N1261" s="2">
        <v>2311</v>
      </c>
      <c r="O1261" s="5">
        <f t="shared" si="58"/>
        <v>5511735</v>
      </c>
      <c r="P1261">
        <f>MAX(Table1[RATING COUNT])</f>
        <v>426973</v>
      </c>
    </row>
    <row r="1262" spans="1:16">
      <c r="A1262" t="s">
        <v>2756</v>
      </c>
      <c r="B1262" t="s">
        <v>1222</v>
      </c>
      <c r="D1262" t="s">
        <v>1416</v>
      </c>
      <c r="E1262" t="s">
        <v>1511</v>
      </c>
      <c r="F1262" t="s">
        <v>1524</v>
      </c>
      <c r="G1262" t="s">
        <v>1525</v>
      </c>
      <c r="H1262" s="7">
        <v>2790</v>
      </c>
      <c r="I1262" s="7">
        <v>4890</v>
      </c>
      <c r="J1262" s="7" t="str">
        <f t="shared" si="59"/>
        <v>&gt;₹500</v>
      </c>
      <c r="K1262" s="1">
        <v>0.43</v>
      </c>
      <c r="L1262" s="1" t="str">
        <f t="shared" si="57"/>
        <v>&lt;50%</v>
      </c>
      <c r="M1262">
        <v>3.9</v>
      </c>
      <c r="N1262" s="2">
        <v>588</v>
      </c>
      <c r="O1262" s="5">
        <f t="shared" si="58"/>
        <v>2875320</v>
      </c>
      <c r="P1262">
        <f>MAX(Table1[RATING COUNT])</f>
        <v>426973</v>
      </c>
    </row>
    <row r="1263" spans="1:16">
      <c r="A1263" t="s">
        <v>2757</v>
      </c>
      <c r="B1263" t="s">
        <v>1223</v>
      </c>
      <c r="D1263" t="s">
        <v>1416</v>
      </c>
      <c r="E1263" t="s">
        <v>1508</v>
      </c>
      <c r="F1263" t="s">
        <v>1515</v>
      </c>
      <c r="G1263" t="s">
        <v>1516</v>
      </c>
      <c r="H1263" s="7">
        <v>645</v>
      </c>
      <c r="I1263" s="7">
        <v>1100</v>
      </c>
      <c r="J1263" s="7" t="str">
        <f t="shared" si="59"/>
        <v>&gt;₹500</v>
      </c>
      <c r="K1263" s="1">
        <v>0.41</v>
      </c>
      <c r="L1263" s="1" t="str">
        <f t="shared" si="57"/>
        <v>&lt;50%</v>
      </c>
      <c r="M1263">
        <v>4</v>
      </c>
      <c r="N1263" s="2">
        <v>3271</v>
      </c>
      <c r="O1263" s="5">
        <f t="shared" si="58"/>
        <v>3598100</v>
      </c>
      <c r="P1263">
        <f>MAX(Table1[RATING COUNT])</f>
        <v>426973</v>
      </c>
    </row>
    <row r="1264" spans="1:16">
      <c r="A1264" t="s">
        <v>2758</v>
      </c>
      <c r="B1264" t="s">
        <v>1224</v>
      </c>
      <c r="D1264" t="s">
        <v>1416</v>
      </c>
      <c r="E1264" t="s">
        <v>1508</v>
      </c>
      <c r="F1264" t="s">
        <v>1509</v>
      </c>
      <c r="G1264" t="s">
        <v>1523</v>
      </c>
      <c r="H1264" s="7">
        <v>2237.81</v>
      </c>
      <c r="I1264" s="7">
        <v>3899</v>
      </c>
      <c r="J1264" s="7" t="str">
        <f t="shared" si="59"/>
        <v>&gt;₹500</v>
      </c>
      <c r="K1264" s="1">
        <v>0.43</v>
      </c>
      <c r="L1264" s="1" t="str">
        <f t="shared" si="57"/>
        <v>&lt;50%</v>
      </c>
      <c r="M1264">
        <v>3.9</v>
      </c>
      <c r="N1264" s="2">
        <v>11004</v>
      </c>
      <c r="O1264" s="5">
        <f t="shared" si="58"/>
        <v>42904596</v>
      </c>
      <c r="P1264">
        <f>MAX(Table1[RATING COUNT])</f>
        <v>426973</v>
      </c>
    </row>
    <row r="1265" spans="1:16">
      <c r="A1265" t="s">
        <v>2759</v>
      </c>
      <c r="B1265" t="s">
        <v>1225</v>
      </c>
      <c r="D1265" t="s">
        <v>1416</v>
      </c>
      <c r="E1265" t="s">
        <v>1511</v>
      </c>
      <c r="F1265" t="s">
        <v>1524</v>
      </c>
      <c r="G1265" t="s">
        <v>1526</v>
      </c>
      <c r="H1265" s="7">
        <v>8699</v>
      </c>
      <c r="I1265" s="7">
        <v>16899</v>
      </c>
      <c r="J1265" s="7" t="str">
        <f t="shared" si="59"/>
        <v>&gt;₹500</v>
      </c>
      <c r="K1265" s="1">
        <v>0.49</v>
      </c>
      <c r="L1265" s="1" t="str">
        <f t="shared" si="57"/>
        <v>&lt;50%</v>
      </c>
      <c r="M1265">
        <v>4.2</v>
      </c>
      <c r="N1265" s="2">
        <v>3195</v>
      </c>
      <c r="O1265" s="5">
        <f t="shared" si="58"/>
        <v>53992305</v>
      </c>
      <c r="P1265">
        <f>MAX(Table1[RATING COUNT])</f>
        <v>426973</v>
      </c>
    </row>
    <row r="1266" spans="1:16">
      <c r="A1266" t="s">
        <v>2760</v>
      </c>
      <c r="B1266" t="s">
        <v>1226</v>
      </c>
      <c r="D1266" t="s">
        <v>1416</v>
      </c>
      <c r="E1266" t="s">
        <v>1511</v>
      </c>
      <c r="F1266" t="s">
        <v>1577</v>
      </c>
      <c r="G1266" t="s">
        <v>1578</v>
      </c>
      <c r="H1266" s="7">
        <v>42990</v>
      </c>
      <c r="I1266" s="7">
        <v>75990</v>
      </c>
      <c r="J1266" s="7" t="str">
        <f t="shared" si="59"/>
        <v>&gt;₹500</v>
      </c>
      <c r="K1266" s="1">
        <v>0.43</v>
      </c>
      <c r="L1266" s="1" t="str">
        <f t="shared" si="57"/>
        <v>&lt;50%</v>
      </c>
      <c r="M1266">
        <v>4.3</v>
      </c>
      <c r="N1266" s="2">
        <v>3231</v>
      </c>
      <c r="O1266" s="5">
        <f t="shared" si="58"/>
        <v>245523690</v>
      </c>
      <c r="P1266">
        <f>MAX(Table1[RATING COUNT])</f>
        <v>426973</v>
      </c>
    </row>
    <row r="1267" spans="1:16">
      <c r="A1267" t="s">
        <v>2761</v>
      </c>
      <c r="B1267" t="s">
        <v>1227</v>
      </c>
      <c r="D1267" t="s">
        <v>1416</v>
      </c>
      <c r="E1267" t="s">
        <v>1508</v>
      </c>
      <c r="F1267" t="s">
        <v>1548</v>
      </c>
      <c r="G1267" t="s">
        <v>1549</v>
      </c>
      <c r="H1267" s="7">
        <v>825</v>
      </c>
      <c r="I1267" s="7">
        <v>825</v>
      </c>
      <c r="J1267" s="7" t="str">
        <f t="shared" si="59"/>
        <v>&gt;₹500</v>
      </c>
      <c r="K1267" s="1">
        <v>0</v>
      </c>
      <c r="L1267" s="1" t="str">
        <f t="shared" si="57"/>
        <v>&lt;50%</v>
      </c>
      <c r="M1267">
        <v>4</v>
      </c>
      <c r="N1267" s="2">
        <v>3246</v>
      </c>
      <c r="O1267" s="5">
        <f t="shared" si="58"/>
        <v>2677950</v>
      </c>
      <c r="P1267">
        <f>MAX(Table1[RATING COUNT])</f>
        <v>426973</v>
      </c>
    </row>
    <row r="1268" spans="1:16">
      <c r="A1268" t="s">
        <v>2762</v>
      </c>
      <c r="B1268" t="s">
        <v>1228</v>
      </c>
      <c r="D1268" t="s">
        <v>1416</v>
      </c>
      <c r="E1268" t="s">
        <v>1508</v>
      </c>
      <c r="F1268" t="s">
        <v>1509</v>
      </c>
      <c r="G1268" t="s">
        <v>1537</v>
      </c>
      <c r="H1268" s="7">
        <v>161</v>
      </c>
      <c r="I1268" s="7">
        <v>300</v>
      </c>
      <c r="J1268" s="7" t="str">
        <f t="shared" si="59"/>
        <v>₹200–₹500</v>
      </c>
      <c r="K1268" s="1">
        <v>0.46</v>
      </c>
      <c r="L1268" s="1" t="str">
        <f t="shared" si="57"/>
        <v>&lt;50%</v>
      </c>
      <c r="M1268">
        <v>2.6</v>
      </c>
      <c r="N1268" s="2">
        <v>24</v>
      </c>
      <c r="O1268" s="5">
        <f t="shared" si="58"/>
        <v>7200</v>
      </c>
      <c r="P1268">
        <f>MAX(Table1[RATING COUNT])</f>
        <v>426973</v>
      </c>
    </row>
    <row r="1269" spans="1:16">
      <c r="A1269" t="s">
        <v>2763</v>
      </c>
      <c r="B1269" t="s">
        <v>1229</v>
      </c>
      <c r="D1269" t="s">
        <v>1416</v>
      </c>
      <c r="E1269" t="s">
        <v>1508</v>
      </c>
      <c r="F1269" t="s">
        <v>1509</v>
      </c>
      <c r="G1269" t="s">
        <v>1521</v>
      </c>
      <c r="H1269" s="7">
        <v>697</v>
      </c>
      <c r="I1269" s="7">
        <v>1499</v>
      </c>
      <c r="J1269" s="7" t="str">
        <f t="shared" si="59"/>
        <v>&gt;₹500</v>
      </c>
      <c r="K1269" s="1">
        <v>0.54</v>
      </c>
      <c r="L1269" s="1" t="str">
        <f t="shared" si="57"/>
        <v>50% or More</v>
      </c>
      <c r="M1269">
        <v>3.8</v>
      </c>
      <c r="N1269" s="2">
        <v>144</v>
      </c>
      <c r="O1269" s="5">
        <f t="shared" si="58"/>
        <v>215856</v>
      </c>
      <c r="P1269">
        <f>MAX(Table1[RATING COUNT])</f>
        <v>426973</v>
      </c>
    </row>
    <row r="1270" spans="1:16">
      <c r="A1270" t="s">
        <v>2764</v>
      </c>
      <c r="B1270" t="s">
        <v>1230</v>
      </c>
      <c r="D1270" t="s">
        <v>1416</v>
      </c>
      <c r="E1270" t="s">
        <v>1508</v>
      </c>
      <c r="F1270" t="s">
        <v>1509</v>
      </c>
      <c r="G1270" t="s">
        <v>1575</v>
      </c>
      <c r="H1270" s="7">
        <v>688</v>
      </c>
      <c r="I1270" s="7">
        <v>747</v>
      </c>
      <c r="J1270" s="7" t="str">
        <f t="shared" si="59"/>
        <v>&gt;₹500</v>
      </c>
      <c r="K1270" s="1">
        <v>0.08</v>
      </c>
      <c r="L1270" s="1" t="str">
        <f t="shared" si="57"/>
        <v>&lt;50%</v>
      </c>
      <c r="M1270">
        <v>4.5</v>
      </c>
      <c r="N1270" s="2">
        <v>2280</v>
      </c>
      <c r="O1270" s="5">
        <f t="shared" si="58"/>
        <v>1703160</v>
      </c>
      <c r="P1270">
        <f>MAX(Table1[RATING COUNT])</f>
        <v>426973</v>
      </c>
    </row>
    <row r="1271" spans="1:16">
      <c r="A1271" t="s">
        <v>2765</v>
      </c>
      <c r="B1271" t="s">
        <v>1231</v>
      </c>
      <c r="D1271" t="s">
        <v>1416</v>
      </c>
      <c r="E1271" t="s">
        <v>1511</v>
      </c>
      <c r="F1271" t="s">
        <v>1512</v>
      </c>
      <c r="G1271" t="s">
        <v>1541</v>
      </c>
      <c r="H1271" s="7">
        <v>2199</v>
      </c>
      <c r="I1271" s="7">
        <v>3999</v>
      </c>
      <c r="J1271" s="7" t="str">
        <f t="shared" si="59"/>
        <v>&gt;₹500</v>
      </c>
      <c r="K1271" s="1">
        <v>0.45</v>
      </c>
      <c r="L1271" s="1" t="str">
        <f t="shared" si="57"/>
        <v>&lt;50%</v>
      </c>
      <c r="M1271">
        <v>3.5</v>
      </c>
      <c r="N1271" s="2">
        <v>340</v>
      </c>
      <c r="O1271" s="5">
        <f t="shared" si="58"/>
        <v>1359660</v>
      </c>
      <c r="P1271">
        <f>MAX(Table1[RATING COUNT])</f>
        <v>426973</v>
      </c>
    </row>
    <row r="1272" spans="1:16">
      <c r="A1272" t="s">
        <v>2766</v>
      </c>
      <c r="B1272" t="s">
        <v>1232</v>
      </c>
      <c r="D1272" t="s">
        <v>1416</v>
      </c>
      <c r="E1272" t="s">
        <v>1511</v>
      </c>
      <c r="F1272" t="s">
        <v>1512</v>
      </c>
      <c r="G1272" t="s">
        <v>1514</v>
      </c>
      <c r="H1272" s="7">
        <v>6850</v>
      </c>
      <c r="I1272" s="7">
        <v>11990</v>
      </c>
      <c r="J1272" s="7" t="str">
        <f t="shared" si="59"/>
        <v>&gt;₹500</v>
      </c>
      <c r="K1272" s="1">
        <v>0.43</v>
      </c>
      <c r="L1272" s="1" t="str">
        <f t="shared" si="57"/>
        <v>&lt;50%</v>
      </c>
      <c r="M1272">
        <v>3.9</v>
      </c>
      <c r="N1272" s="2">
        <v>144</v>
      </c>
      <c r="O1272" s="5">
        <f t="shared" si="58"/>
        <v>1726560</v>
      </c>
      <c r="P1272">
        <f>MAX(Table1[RATING COUNT])</f>
        <v>426973</v>
      </c>
    </row>
    <row r="1273" spans="1:16">
      <c r="A1273" t="s">
        <v>2767</v>
      </c>
      <c r="B1273" t="s">
        <v>1233</v>
      </c>
      <c r="D1273" t="s">
        <v>1416</v>
      </c>
      <c r="E1273" t="s">
        <v>1511</v>
      </c>
      <c r="F1273" t="s">
        <v>1524</v>
      </c>
      <c r="G1273" t="s">
        <v>1525</v>
      </c>
      <c r="H1273" s="7">
        <v>2699</v>
      </c>
      <c r="I1273" s="7">
        <v>3799</v>
      </c>
      <c r="J1273" s="7" t="str">
        <f t="shared" si="59"/>
        <v>&gt;₹500</v>
      </c>
      <c r="K1273" s="1">
        <v>0.28999999999999998</v>
      </c>
      <c r="L1273" s="1" t="str">
        <f t="shared" si="57"/>
        <v>&lt;50%</v>
      </c>
      <c r="M1273">
        <v>4</v>
      </c>
      <c r="N1273" s="2">
        <v>727</v>
      </c>
      <c r="O1273" s="5">
        <f t="shared" si="58"/>
        <v>2761873</v>
      </c>
      <c r="P1273">
        <f>MAX(Table1[RATING COUNT])</f>
        <v>426973</v>
      </c>
    </row>
    <row r="1274" spans="1:16">
      <c r="A1274" t="s">
        <v>2768</v>
      </c>
      <c r="B1274" t="s">
        <v>1234</v>
      </c>
      <c r="D1274" t="s">
        <v>1416</v>
      </c>
      <c r="E1274" t="s">
        <v>1508</v>
      </c>
      <c r="F1274" t="s">
        <v>1509</v>
      </c>
      <c r="G1274" t="s">
        <v>1579</v>
      </c>
      <c r="H1274" s="7">
        <v>899</v>
      </c>
      <c r="I1274" s="7">
        <v>1999</v>
      </c>
      <c r="J1274" s="7" t="str">
        <f t="shared" si="59"/>
        <v>&gt;₹500</v>
      </c>
      <c r="K1274" s="1">
        <v>0.55000000000000004</v>
      </c>
      <c r="L1274" s="1" t="str">
        <f t="shared" si="57"/>
        <v>50% or More</v>
      </c>
      <c r="M1274">
        <v>4</v>
      </c>
      <c r="N1274" s="2">
        <v>832</v>
      </c>
      <c r="O1274" s="5">
        <f t="shared" si="58"/>
        <v>1663168</v>
      </c>
      <c r="P1274">
        <f>MAX(Table1[RATING COUNT])</f>
        <v>426973</v>
      </c>
    </row>
    <row r="1275" spans="1:16">
      <c r="A1275" t="s">
        <v>2769</v>
      </c>
      <c r="B1275" t="s">
        <v>1235</v>
      </c>
      <c r="D1275" t="s">
        <v>1416</v>
      </c>
      <c r="E1275" t="s">
        <v>1511</v>
      </c>
      <c r="F1275" t="s">
        <v>1512</v>
      </c>
      <c r="G1275" t="s">
        <v>1514</v>
      </c>
      <c r="H1275" s="7">
        <v>1090</v>
      </c>
      <c r="I1275" s="7">
        <v>2999</v>
      </c>
      <c r="J1275" s="7" t="str">
        <f t="shared" si="59"/>
        <v>&gt;₹500</v>
      </c>
      <c r="K1275" s="1">
        <v>0.64</v>
      </c>
      <c r="L1275" s="1" t="str">
        <f t="shared" si="57"/>
        <v>50% or More</v>
      </c>
      <c r="M1275">
        <v>3.5</v>
      </c>
      <c r="N1275" s="2">
        <v>57</v>
      </c>
      <c r="O1275" s="5">
        <f t="shared" si="58"/>
        <v>170943</v>
      </c>
      <c r="P1275">
        <f>MAX(Table1[RATING COUNT])</f>
        <v>426973</v>
      </c>
    </row>
    <row r="1276" spans="1:16">
      <c r="A1276" t="s">
        <v>2770</v>
      </c>
      <c r="B1276" t="s">
        <v>1236</v>
      </c>
      <c r="D1276" t="s">
        <v>1416</v>
      </c>
      <c r="E1276" t="s">
        <v>1508</v>
      </c>
      <c r="F1276" t="s">
        <v>1509</v>
      </c>
      <c r="G1276" t="s">
        <v>1517</v>
      </c>
      <c r="H1276" s="7">
        <v>295</v>
      </c>
      <c r="I1276" s="7">
        <v>599</v>
      </c>
      <c r="J1276" s="7" t="str">
        <f t="shared" si="59"/>
        <v>&gt;₹500</v>
      </c>
      <c r="K1276" s="1">
        <v>0.51</v>
      </c>
      <c r="L1276" s="1" t="str">
        <f t="shared" si="57"/>
        <v>50% or More</v>
      </c>
      <c r="M1276">
        <v>4</v>
      </c>
      <c r="N1276" s="2">
        <v>1644</v>
      </c>
      <c r="O1276" s="5">
        <f t="shared" si="58"/>
        <v>984756</v>
      </c>
      <c r="P1276">
        <f>MAX(Table1[RATING COUNT])</f>
        <v>426973</v>
      </c>
    </row>
    <row r="1277" spans="1:16">
      <c r="A1277" t="s">
        <v>2771</v>
      </c>
      <c r="B1277" t="s">
        <v>1237</v>
      </c>
      <c r="D1277" t="s">
        <v>1416</v>
      </c>
      <c r="E1277" t="s">
        <v>1508</v>
      </c>
      <c r="F1277" t="s">
        <v>1509</v>
      </c>
      <c r="G1277" t="s">
        <v>1510</v>
      </c>
      <c r="H1277" s="7">
        <v>479</v>
      </c>
      <c r="I1277" s="7">
        <v>1999</v>
      </c>
      <c r="J1277" s="7" t="str">
        <f t="shared" si="59"/>
        <v>&gt;₹500</v>
      </c>
      <c r="K1277" s="1">
        <v>0.76</v>
      </c>
      <c r="L1277" s="1" t="str">
        <f t="shared" si="57"/>
        <v>50% or More</v>
      </c>
      <c r="M1277">
        <v>3.4</v>
      </c>
      <c r="N1277" s="2">
        <v>1066</v>
      </c>
      <c r="O1277" s="5">
        <f t="shared" si="58"/>
        <v>2130934</v>
      </c>
      <c r="P1277">
        <f>MAX(Table1[RATING COUNT])</f>
        <v>426973</v>
      </c>
    </row>
    <row r="1278" spans="1:16">
      <c r="A1278" t="s">
        <v>2772</v>
      </c>
      <c r="B1278" t="s">
        <v>1238</v>
      </c>
      <c r="D1278" t="s">
        <v>1416</v>
      </c>
      <c r="E1278" t="s">
        <v>1511</v>
      </c>
      <c r="F1278" t="s">
        <v>1524</v>
      </c>
      <c r="G1278" t="s">
        <v>1525</v>
      </c>
      <c r="H1278" s="7">
        <v>2949</v>
      </c>
      <c r="I1278" s="7">
        <v>4849</v>
      </c>
      <c r="J1278" s="7" t="str">
        <f t="shared" si="59"/>
        <v>&gt;₹500</v>
      </c>
      <c r="K1278" s="1">
        <v>0.39</v>
      </c>
      <c r="L1278" s="1" t="str">
        <f t="shared" si="57"/>
        <v>&lt;50%</v>
      </c>
      <c r="M1278">
        <v>4.2</v>
      </c>
      <c r="N1278" s="2">
        <v>7968</v>
      </c>
      <c r="O1278" s="5">
        <f t="shared" si="58"/>
        <v>38636832</v>
      </c>
      <c r="P1278">
        <f>MAX(Table1[RATING COUNT])</f>
        <v>426973</v>
      </c>
    </row>
    <row r="1279" spans="1:16">
      <c r="A1279" t="s">
        <v>2773</v>
      </c>
      <c r="B1279" t="s">
        <v>1239</v>
      </c>
      <c r="D1279" t="s">
        <v>1416</v>
      </c>
      <c r="E1279" t="s">
        <v>1511</v>
      </c>
      <c r="F1279" t="s">
        <v>1524</v>
      </c>
      <c r="G1279" t="s">
        <v>1527</v>
      </c>
      <c r="H1279" s="7">
        <v>335</v>
      </c>
      <c r="I1279" s="7">
        <v>510</v>
      </c>
      <c r="J1279" s="7" t="str">
        <f t="shared" si="59"/>
        <v>&gt;₹500</v>
      </c>
      <c r="K1279" s="1">
        <v>0.34</v>
      </c>
      <c r="L1279" s="1" t="str">
        <f t="shared" si="57"/>
        <v>&lt;50%</v>
      </c>
      <c r="M1279">
        <v>3.8</v>
      </c>
      <c r="N1279" s="2">
        <v>3195</v>
      </c>
      <c r="O1279" s="5">
        <f t="shared" si="58"/>
        <v>1629450</v>
      </c>
      <c r="P1279">
        <f>MAX(Table1[RATING COUNT])</f>
        <v>426973</v>
      </c>
    </row>
    <row r="1280" spans="1:16">
      <c r="A1280" t="s">
        <v>2774</v>
      </c>
      <c r="B1280" t="s">
        <v>1240</v>
      </c>
      <c r="D1280" t="s">
        <v>1416</v>
      </c>
      <c r="E1280" t="s">
        <v>1508</v>
      </c>
      <c r="F1280" t="s">
        <v>1544</v>
      </c>
      <c r="G1280" t="s">
        <v>1547</v>
      </c>
      <c r="H1280" s="7">
        <v>293</v>
      </c>
      <c r="I1280" s="7">
        <v>499</v>
      </c>
      <c r="J1280" s="7" t="str">
        <f t="shared" si="59"/>
        <v>₹200–₹500</v>
      </c>
      <c r="K1280" s="1">
        <v>0.41</v>
      </c>
      <c r="L1280" s="1" t="str">
        <f t="shared" si="57"/>
        <v>&lt;50%</v>
      </c>
      <c r="M1280">
        <v>4.0999999999999996</v>
      </c>
      <c r="N1280" s="2">
        <v>1456</v>
      </c>
      <c r="O1280" s="5">
        <f t="shared" si="58"/>
        <v>726544</v>
      </c>
      <c r="P1280">
        <f>MAX(Table1[RATING COUNT])</f>
        <v>426973</v>
      </c>
    </row>
    <row r="1281" spans="1:16">
      <c r="A1281" t="s">
        <v>2775</v>
      </c>
      <c r="B1281" t="s">
        <v>1241</v>
      </c>
      <c r="D1281" t="s">
        <v>1416</v>
      </c>
      <c r="E1281" t="s">
        <v>1508</v>
      </c>
      <c r="F1281" t="s">
        <v>1544</v>
      </c>
      <c r="G1281" t="s">
        <v>1580</v>
      </c>
      <c r="H1281" s="7">
        <v>599</v>
      </c>
      <c r="I1281" s="7">
        <v>1299</v>
      </c>
      <c r="J1281" s="7" t="str">
        <f t="shared" si="59"/>
        <v>&gt;₹500</v>
      </c>
      <c r="K1281" s="1">
        <v>0.54</v>
      </c>
      <c r="L1281" s="1" t="str">
        <f t="shared" si="57"/>
        <v>50% or More</v>
      </c>
      <c r="M1281">
        <v>4.2</v>
      </c>
      <c r="N1281" s="2">
        <v>590</v>
      </c>
      <c r="O1281" s="5">
        <f t="shared" si="58"/>
        <v>766410</v>
      </c>
      <c r="P1281">
        <f>MAX(Table1[RATING COUNT])</f>
        <v>426973</v>
      </c>
    </row>
    <row r="1282" spans="1:16">
      <c r="A1282" t="s">
        <v>2776</v>
      </c>
      <c r="B1282" t="s">
        <v>1242</v>
      </c>
      <c r="D1282" t="s">
        <v>1416</v>
      </c>
      <c r="E1282" t="s">
        <v>1508</v>
      </c>
      <c r="F1282" t="s">
        <v>1548</v>
      </c>
      <c r="G1282" t="s">
        <v>1549</v>
      </c>
      <c r="H1282" s="7">
        <v>499</v>
      </c>
      <c r="I1282" s="7">
        <v>999</v>
      </c>
      <c r="J1282" s="7" t="str">
        <f t="shared" si="59"/>
        <v>&gt;₹500</v>
      </c>
      <c r="K1282" s="1">
        <v>0.5</v>
      </c>
      <c r="L1282" s="1" t="str">
        <f t="shared" ref="L1282:L1345" si="60">IF(K1282&gt;=50%,"50% or More","&lt;50%")</f>
        <v>50% or More</v>
      </c>
      <c r="M1282">
        <v>4.3</v>
      </c>
      <c r="N1282" s="2">
        <v>1436</v>
      </c>
      <c r="O1282" s="5">
        <f t="shared" ref="O1282:O1345" si="61">I1282*N1282</f>
        <v>1434564</v>
      </c>
      <c r="P1282">
        <f>MAX(Table1[RATING COUNT])</f>
        <v>426973</v>
      </c>
    </row>
    <row r="1283" spans="1:16">
      <c r="A1283" t="s">
        <v>2777</v>
      </c>
      <c r="B1283" t="s">
        <v>1243</v>
      </c>
      <c r="D1283" t="s">
        <v>1416</v>
      </c>
      <c r="E1283" t="s">
        <v>1508</v>
      </c>
      <c r="F1283" t="s">
        <v>1515</v>
      </c>
      <c r="G1283" t="s">
        <v>1516</v>
      </c>
      <c r="H1283" s="7">
        <v>849</v>
      </c>
      <c r="I1283" s="7">
        <v>1190</v>
      </c>
      <c r="J1283" s="7" t="str">
        <f t="shared" ref="J1283:J1346" si="62">IF(I1283&lt;200, "&lt;₹200", IF(I1283&lt;=500, "₹200–₹500", "&gt;₹500"))</f>
        <v>&gt;₹500</v>
      </c>
      <c r="K1283" s="1">
        <v>0.28999999999999998</v>
      </c>
      <c r="L1283" s="1" t="str">
        <f t="shared" si="60"/>
        <v>&lt;50%</v>
      </c>
      <c r="M1283">
        <v>4.2</v>
      </c>
      <c r="N1283" s="2">
        <v>4184</v>
      </c>
      <c r="O1283" s="5">
        <f t="shared" si="61"/>
        <v>4978960</v>
      </c>
      <c r="P1283">
        <f>MAX(Table1[RATING COUNT])</f>
        <v>426973</v>
      </c>
    </row>
    <row r="1284" spans="1:16">
      <c r="A1284" t="s">
        <v>2778</v>
      </c>
      <c r="B1284" t="s">
        <v>1244</v>
      </c>
      <c r="D1284" t="s">
        <v>1416</v>
      </c>
      <c r="E1284" t="s">
        <v>1508</v>
      </c>
      <c r="F1284" t="s">
        <v>1544</v>
      </c>
      <c r="G1284" t="s">
        <v>1547</v>
      </c>
      <c r="H1284" s="7">
        <v>249</v>
      </c>
      <c r="I1284" s="7">
        <v>400</v>
      </c>
      <c r="J1284" s="7" t="str">
        <f t="shared" si="62"/>
        <v>₹200–₹500</v>
      </c>
      <c r="K1284" s="1">
        <v>0.38</v>
      </c>
      <c r="L1284" s="1" t="str">
        <f t="shared" si="60"/>
        <v>&lt;50%</v>
      </c>
      <c r="M1284">
        <v>4.0999999999999996</v>
      </c>
      <c r="N1284" s="2">
        <v>693</v>
      </c>
      <c r="O1284" s="5">
        <f t="shared" si="61"/>
        <v>277200</v>
      </c>
      <c r="P1284">
        <f>MAX(Table1[RATING COUNT])</f>
        <v>426973</v>
      </c>
    </row>
    <row r="1285" spans="1:16">
      <c r="A1285" t="s">
        <v>2779</v>
      </c>
      <c r="B1285" t="s">
        <v>1245</v>
      </c>
      <c r="D1285" t="s">
        <v>1416</v>
      </c>
      <c r="E1285" t="s">
        <v>1508</v>
      </c>
      <c r="F1285" t="s">
        <v>1548</v>
      </c>
      <c r="G1285" t="s">
        <v>1549</v>
      </c>
      <c r="H1285" s="7">
        <v>185</v>
      </c>
      <c r="I1285" s="7">
        <v>599</v>
      </c>
      <c r="J1285" s="7" t="str">
        <f t="shared" si="62"/>
        <v>&gt;₹500</v>
      </c>
      <c r="K1285" s="1">
        <v>0.69</v>
      </c>
      <c r="L1285" s="1" t="str">
        <f t="shared" si="60"/>
        <v>50% or More</v>
      </c>
      <c r="M1285">
        <v>3.9</v>
      </c>
      <c r="N1285" s="2">
        <v>1306</v>
      </c>
      <c r="O1285" s="5">
        <f t="shared" si="61"/>
        <v>782294</v>
      </c>
      <c r="P1285">
        <f>MAX(Table1[RATING COUNT])</f>
        <v>426973</v>
      </c>
    </row>
    <row r="1286" spans="1:16">
      <c r="A1286" t="s">
        <v>2780</v>
      </c>
      <c r="B1286" t="s">
        <v>1246</v>
      </c>
      <c r="D1286" t="s">
        <v>1416</v>
      </c>
      <c r="E1286" t="s">
        <v>1511</v>
      </c>
      <c r="F1286" t="s">
        <v>1512</v>
      </c>
      <c r="G1286" t="s">
        <v>1514</v>
      </c>
      <c r="H1286" s="7">
        <v>778</v>
      </c>
      <c r="I1286" s="7">
        <v>999</v>
      </c>
      <c r="J1286" s="7" t="str">
        <f t="shared" si="62"/>
        <v>&gt;₹500</v>
      </c>
      <c r="K1286" s="1">
        <v>0.22</v>
      </c>
      <c r="L1286" s="1" t="str">
        <f t="shared" si="60"/>
        <v>&lt;50%</v>
      </c>
      <c r="M1286">
        <v>3.3</v>
      </c>
      <c r="N1286" s="2">
        <v>8</v>
      </c>
      <c r="O1286" s="5">
        <f t="shared" si="61"/>
        <v>7992</v>
      </c>
      <c r="P1286">
        <f>MAX(Table1[RATING COUNT])</f>
        <v>426973</v>
      </c>
    </row>
    <row r="1287" spans="1:16">
      <c r="A1287" t="s">
        <v>2781</v>
      </c>
      <c r="B1287" t="s">
        <v>1247</v>
      </c>
      <c r="D1287" t="s">
        <v>1416</v>
      </c>
      <c r="E1287" t="s">
        <v>1508</v>
      </c>
      <c r="F1287" t="s">
        <v>1544</v>
      </c>
      <c r="G1287" t="s">
        <v>1581</v>
      </c>
      <c r="H1287" s="7">
        <v>279</v>
      </c>
      <c r="I1287" s="7">
        <v>699</v>
      </c>
      <c r="J1287" s="7" t="str">
        <f t="shared" si="62"/>
        <v>&gt;₹500</v>
      </c>
      <c r="K1287" s="1">
        <v>0.6</v>
      </c>
      <c r="L1287" s="1" t="str">
        <f t="shared" si="60"/>
        <v>50% or More</v>
      </c>
      <c r="M1287">
        <v>4.3</v>
      </c>
      <c r="N1287" s="2">
        <v>2326</v>
      </c>
      <c r="O1287" s="5">
        <f t="shared" si="61"/>
        <v>1625874</v>
      </c>
      <c r="P1287">
        <f>MAX(Table1[RATING COUNT])</f>
        <v>426973</v>
      </c>
    </row>
    <row r="1288" spans="1:16">
      <c r="A1288" t="s">
        <v>2782</v>
      </c>
      <c r="B1288" t="s">
        <v>1248</v>
      </c>
      <c r="D1288" t="s">
        <v>1416</v>
      </c>
      <c r="E1288" t="s">
        <v>1508</v>
      </c>
      <c r="F1288" t="s">
        <v>1548</v>
      </c>
      <c r="G1288" t="s">
        <v>1549</v>
      </c>
      <c r="H1288" s="7">
        <v>215</v>
      </c>
      <c r="I1288" s="7">
        <v>1499</v>
      </c>
      <c r="J1288" s="7" t="str">
        <f t="shared" si="62"/>
        <v>&gt;₹500</v>
      </c>
      <c r="K1288" s="1">
        <v>0.86</v>
      </c>
      <c r="L1288" s="1" t="str">
        <f t="shared" si="60"/>
        <v>50% or More</v>
      </c>
      <c r="M1288">
        <v>3.9</v>
      </c>
      <c r="N1288" s="2">
        <v>1004</v>
      </c>
      <c r="O1288" s="5">
        <f t="shared" si="61"/>
        <v>1504996</v>
      </c>
      <c r="P1288">
        <f>MAX(Table1[RATING COUNT])</f>
        <v>426973</v>
      </c>
    </row>
    <row r="1289" spans="1:16">
      <c r="A1289" t="s">
        <v>2783</v>
      </c>
      <c r="B1289" t="s">
        <v>1249</v>
      </c>
      <c r="D1289" t="s">
        <v>1416</v>
      </c>
      <c r="E1289" t="s">
        <v>1508</v>
      </c>
      <c r="F1289" t="s">
        <v>1515</v>
      </c>
      <c r="G1289" t="s">
        <v>1516</v>
      </c>
      <c r="H1289" s="7">
        <v>889</v>
      </c>
      <c r="I1289" s="7">
        <v>1295</v>
      </c>
      <c r="J1289" s="7" t="str">
        <f t="shared" si="62"/>
        <v>&gt;₹500</v>
      </c>
      <c r="K1289" s="1">
        <v>0.31</v>
      </c>
      <c r="L1289" s="1" t="str">
        <f t="shared" si="60"/>
        <v>&lt;50%</v>
      </c>
      <c r="M1289">
        <v>4.3</v>
      </c>
      <c r="N1289" s="2">
        <v>6400</v>
      </c>
      <c r="O1289" s="5">
        <f t="shared" si="61"/>
        <v>8288000</v>
      </c>
      <c r="P1289">
        <f>MAX(Table1[RATING COUNT])</f>
        <v>426973</v>
      </c>
    </row>
    <row r="1290" spans="1:16">
      <c r="A1290" t="s">
        <v>2784</v>
      </c>
      <c r="B1290" t="s">
        <v>1250</v>
      </c>
      <c r="D1290" t="s">
        <v>1416</v>
      </c>
      <c r="E1290" t="s">
        <v>1511</v>
      </c>
      <c r="F1290" t="s">
        <v>1524</v>
      </c>
      <c r="G1290" t="s">
        <v>1525</v>
      </c>
      <c r="H1290" s="7">
        <v>1449</v>
      </c>
      <c r="I1290" s="7">
        <v>4999</v>
      </c>
      <c r="J1290" s="7" t="str">
        <f t="shared" si="62"/>
        <v>&gt;₹500</v>
      </c>
      <c r="K1290" s="1">
        <v>0.71</v>
      </c>
      <c r="L1290" s="1" t="str">
        <f t="shared" si="60"/>
        <v>50% or More</v>
      </c>
      <c r="M1290">
        <v>3.6</v>
      </c>
      <c r="N1290" s="2">
        <v>63</v>
      </c>
      <c r="O1290" s="5">
        <f t="shared" si="61"/>
        <v>314937</v>
      </c>
      <c r="P1290">
        <f>MAX(Table1[RATING COUNT])</f>
        <v>426973</v>
      </c>
    </row>
    <row r="1291" spans="1:16">
      <c r="A1291" t="s">
        <v>2785</v>
      </c>
      <c r="B1291" t="s">
        <v>1251</v>
      </c>
      <c r="D1291" t="s">
        <v>1416</v>
      </c>
      <c r="E1291" t="s">
        <v>1511</v>
      </c>
      <c r="F1291" t="s">
        <v>1524</v>
      </c>
      <c r="G1291" t="s">
        <v>1525</v>
      </c>
      <c r="H1291" s="7">
        <v>1190</v>
      </c>
      <c r="I1291" s="7">
        <v>2550</v>
      </c>
      <c r="J1291" s="7" t="str">
        <f t="shared" si="62"/>
        <v>&gt;₹500</v>
      </c>
      <c r="K1291" s="1">
        <v>0.53</v>
      </c>
      <c r="L1291" s="1" t="str">
        <f t="shared" si="60"/>
        <v>50% or More</v>
      </c>
      <c r="M1291">
        <v>3.8</v>
      </c>
      <c r="N1291" s="2">
        <v>1181</v>
      </c>
      <c r="O1291" s="5">
        <f t="shared" si="61"/>
        <v>3011550</v>
      </c>
      <c r="P1291">
        <f>MAX(Table1[RATING COUNT])</f>
        <v>426973</v>
      </c>
    </row>
    <row r="1292" spans="1:16">
      <c r="A1292" t="s">
        <v>2786</v>
      </c>
      <c r="B1292" t="s">
        <v>1252</v>
      </c>
      <c r="D1292" t="s">
        <v>1416</v>
      </c>
      <c r="E1292" t="s">
        <v>1508</v>
      </c>
      <c r="F1292" t="s">
        <v>1548</v>
      </c>
      <c r="G1292" t="s">
        <v>1558</v>
      </c>
      <c r="H1292" s="7">
        <v>1799</v>
      </c>
      <c r="I1292" s="7">
        <v>1950</v>
      </c>
      <c r="J1292" s="7" t="str">
        <f t="shared" si="62"/>
        <v>&gt;₹500</v>
      </c>
      <c r="K1292" s="1">
        <v>0.08</v>
      </c>
      <c r="L1292" s="1" t="str">
        <f t="shared" si="60"/>
        <v>&lt;50%</v>
      </c>
      <c r="M1292">
        <v>3.9</v>
      </c>
      <c r="N1292" s="2">
        <v>1888</v>
      </c>
      <c r="O1292" s="5">
        <f t="shared" si="61"/>
        <v>3681600</v>
      </c>
      <c r="P1292">
        <f>MAX(Table1[RATING COUNT])</f>
        <v>426973</v>
      </c>
    </row>
    <row r="1293" spans="1:16">
      <c r="A1293" t="s">
        <v>2787</v>
      </c>
      <c r="B1293" t="s">
        <v>1253</v>
      </c>
      <c r="D1293" t="s">
        <v>1416</v>
      </c>
      <c r="E1293" t="s">
        <v>1508</v>
      </c>
      <c r="F1293" t="s">
        <v>1509</v>
      </c>
      <c r="G1293" t="s">
        <v>1523</v>
      </c>
      <c r="H1293" s="7">
        <v>6120</v>
      </c>
      <c r="I1293" s="7">
        <v>8478</v>
      </c>
      <c r="J1293" s="7" t="str">
        <f t="shared" si="62"/>
        <v>&gt;₹500</v>
      </c>
      <c r="K1293" s="1">
        <v>0.28000000000000003</v>
      </c>
      <c r="L1293" s="1" t="str">
        <f t="shared" si="60"/>
        <v>&lt;50%</v>
      </c>
      <c r="M1293">
        <v>4.5999999999999996</v>
      </c>
      <c r="N1293" s="2">
        <v>6550</v>
      </c>
      <c r="O1293" s="5">
        <f t="shared" si="61"/>
        <v>55530900</v>
      </c>
      <c r="P1293">
        <f>MAX(Table1[RATING COUNT])</f>
        <v>426973</v>
      </c>
    </row>
    <row r="1294" spans="1:16">
      <c r="A1294" t="s">
        <v>2788</v>
      </c>
      <c r="B1294" t="s">
        <v>1254</v>
      </c>
      <c r="D1294" t="s">
        <v>1416</v>
      </c>
      <c r="E1294" t="s">
        <v>1508</v>
      </c>
      <c r="F1294" t="s">
        <v>1509</v>
      </c>
      <c r="G1294" t="s">
        <v>1523</v>
      </c>
      <c r="H1294" s="7">
        <v>1799</v>
      </c>
      <c r="I1294" s="7">
        <v>3299</v>
      </c>
      <c r="J1294" s="7" t="str">
        <f t="shared" si="62"/>
        <v>&gt;₹500</v>
      </c>
      <c r="K1294" s="1">
        <v>0.45</v>
      </c>
      <c r="L1294" s="1" t="str">
        <f t="shared" si="60"/>
        <v>&lt;50%</v>
      </c>
      <c r="M1294">
        <v>3.8</v>
      </c>
      <c r="N1294" s="2">
        <v>1846</v>
      </c>
      <c r="O1294" s="5">
        <f t="shared" si="61"/>
        <v>6089954</v>
      </c>
      <c r="P1294">
        <f>MAX(Table1[RATING COUNT])</f>
        <v>426973</v>
      </c>
    </row>
    <row r="1295" spans="1:16">
      <c r="A1295" t="s">
        <v>2789</v>
      </c>
      <c r="B1295" t="s">
        <v>1255</v>
      </c>
      <c r="D1295" t="s">
        <v>1416</v>
      </c>
      <c r="E1295" t="s">
        <v>1508</v>
      </c>
      <c r="F1295" t="s">
        <v>1509</v>
      </c>
      <c r="G1295" t="s">
        <v>1523</v>
      </c>
      <c r="H1295" s="7">
        <v>2199</v>
      </c>
      <c r="I1295" s="7">
        <v>3895</v>
      </c>
      <c r="J1295" s="7" t="str">
        <f t="shared" si="62"/>
        <v>&gt;₹500</v>
      </c>
      <c r="K1295" s="1">
        <v>0.44</v>
      </c>
      <c r="L1295" s="1" t="str">
        <f t="shared" si="60"/>
        <v>&lt;50%</v>
      </c>
      <c r="M1295">
        <v>3.9</v>
      </c>
      <c r="N1295" s="2">
        <v>1085</v>
      </c>
      <c r="O1295" s="5">
        <f t="shared" si="61"/>
        <v>4226075</v>
      </c>
      <c r="P1295">
        <f>MAX(Table1[RATING COUNT])</f>
        <v>426973</v>
      </c>
    </row>
    <row r="1296" spans="1:16">
      <c r="A1296" t="s">
        <v>2790</v>
      </c>
      <c r="B1296" t="s">
        <v>1256</v>
      </c>
      <c r="D1296" t="s">
        <v>1416</v>
      </c>
      <c r="E1296" t="s">
        <v>1508</v>
      </c>
      <c r="F1296" t="s">
        <v>1509</v>
      </c>
      <c r="G1296" t="s">
        <v>1551</v>
      </c>
      <c r="H1296" s="7">
        <v>3685</v>
      </c>
      <c r="I1296" s="7">
        <v>5495</v>
      </c>
      <c r="J1296" s="7" t="str">
        <f t="shared" si="62"/>
        <v>&gt;₹500</v>
      </c>
      <c r="K1296" s="1">
        <v>0.33</v>
      </c>
      <c r="L1296" s="1" t="str">
        <f t="shared" si="60"/>
        <v>&lt;50%</v>
      </c>
      <c r="M1296">
        <v>4.0999999999999996</v>
      </c>
      <c r="N1296" s="2">
        <v>290</v>
      </c>
      <c r="O1296" s="5">
        <f t="shared" si="61"/>
        <v>1593550</v>
      </c>
      <c r="P1296">
        <f>MAX(Table1[RATING COUNT])</f>
        <v>426973</v>
      </c>
    </row>
    <row r="1297" spans="1:16">
      <c r="A1297" t="s">
        <v>2791</v>
      </c>
      <c r="B1297" t="s">
        <v>1257</v>
      </c>
      <c r="D1297" t="s">
        <v>1416</v>
      </c>
      <c r="E1297" t="s">
        <v>1508</v>
      </c>
      <c r="F1297" t="s">
        <v>1509</v>
      </c>
      <c r="G1297" t="s">
        <v>1532</v>
      </c>
      <c r="H1297" s="7">
        <v>649</v>
      </c>
      <c r="I1297" s="7">
        <v>999</v>
      </c>
      <c r="J1297" s="7" t="str">
        <f t="shared" si="62"/>
        <v>&gt;₹500</v>
      </c>
      <c r="K1297" s="1">
        <v>0.35</v>
      </c>
      <c r="L1297" s="1" t="str">
        <f t="shared" si="60"/>
        <v>&lt;50%</v>
      </c>
      <c r="M1297">
        <v>3.6</v>
      </c>
      <c r="N1297" s="2">
        <v>4</v>
      </c>
      <c r="O1297" s="5">
        <f t="shared" si="61"/>
        <v>3996</v>
      </c>
      <c r="P1297">
        <f>MAX(Table1[RATING COUNT])</f>
        <v>426973</v>
      </c>
    </row>
    <row r="1298" spans="1:16">
      <c r="A1298" t="s">
        <v>2792</v>
      </c>
      <c r="B1298" t="s">
        <v>1258</v>
      </c>
      <c r="D1298" t="s">
        <v>1416</v>
      </c>
      <c r="E1298" t="s">
        <v>1508</v>
      </c>
      <c r="F1298" t="s">
        <v>1509</v>
      </c>
      <c r="G1298" t="s">
        <v>1565</v>
      </c>
      <c r="H1298" s="7">
        <v>8599</v>
      </c>
      <c r="I1298" s="7">
        <v>8995</v>
      </c>
      <c r="J1298" s="7" t="str">
        <f t="shared" si="62"/>
        <v>&gt;₹500</v>
      </c>
      <c r="K1298" s="1">
        <v>0.04</v>
      </c>
      <c r="L1298" s="1" t="str">
        <f t="shared" si="60"/>
        <v>&lt;50%</v>
      </c>
      <c r="M1298">
        <v>4.4000000000000004</v>
      </c>
      <c r="N1298" s="2">
        <v>9734</v>
      </c>
      <c r="O1298" s="5">
        <f t="shared" si="61"/>
        <v>87557330</v>
      </c>
      <c r="P1298">
        <f>MAX(Table1[RATING COUNT])</f>
        <v>426973</v>
      </c>
    </row>
    <row r="1299" spans="1:16">
      <c r="A1299" t="s">
        <v>2793</v>
      </c>
      <c r="B1299" t="s">
        <v>1259</v>
      </c>
      <c r="D1299" t="s">
        <v>1416</v>
      </c>
      <c r="E1299" t="s">
        <v>1508</v>
      </c>
      <c r="F1299" t="s">
        <v>1515</v>
      </c>
      <c r="G1299" t="s">
        <v>1516</v>
      </c>
      <c r="H1299" s="7">
        <v>1110</v>
      </c>
      <c r="I1299" s="7">
        <v>1599</v>
      </c>
      <c r="J1299" s="7" t="str">
        <f t="shared" si="62"/>
        <v>&gt;₹500</v>
      </c>
      <c r="K1299" s="1">
        <v>0.31</v>
      </c>
      <c r="L1299" s="1" t="str">
        <f t="shared" si="60"/>
        <v>&lt;50%</v>
      </c>
      <c r="M1299">
        <v>4.3</v>
      </c>
      <c r="N1299" s="2">
        <v>4022</v>
      </c>
      <c r="O1299" s="5">
        <f t="shared" si="61"/>
        <v>6431178</v>
      </c>
      <c r="P1299">
        <f>MAX(Table1[RATING COUNT])</f>
        <v>426973</v>
      </c>
    </row>
    <row r="1300" spans="1:16">
      <c r="A1300" t="s">
        <v>2794</v>
      </c>
      <c r="B1300" t="s">
        <v>1260</v>
      </c>
      <c r="D1300" t="s">
        <v>1416</v>
      </c>
      <c r="E1300" t="s">
        <v>1511</v>
      </c>
      <c r="F1300" t="s">
        <v>1524</v>
      </c>
      <c r="G1300" t="s">
        <v>1525</v>
      </c>
      <c r="H1300" s="7">
        <v>1499</v>
      </c>
      <c r="I1300" s="7">
        <v>3500</v>
      </c>
      <c r="J1300" s="7" t="str">
        <f t="shared" si="62"/>
        <v>&gt;₹500</v>
      </c>
      <c r="K1300" s="1">
        <v>0.56999999999999995</v>
      </c>
      <c r="L1300" s="1" t="str">
        <f t="shared" si="60"/>
        <v>50% or More</v>
      </c>
      <c r="M1300">
        <v>4.7</v>
      </c>
      <c r="N1300" s="2">
        <v>2591</v>
      </c>
      <c r="O1300" s="5">
        <f t="shared" si="61"/>
        <v>9068500</v>
      </c>
      <c r="P1300">
        <f>MAX(Table1[RATING COUNT])</f>
        <v>426973</v>
      </c>
    </row>
    <row r="1301" spans="1:16">
      <c r="A1301" t="s">
        <v>2795</v>
      </c>
      <c r="B1301" t="s">
        <v>1261</v>
      </c>
      <c r="D1301" t="s">
        <v>1416</v>
      </c>
      <c r="E1301" t="s">
        <v>1508</v>
      </c>
      <c r="F1301" t="s">
        <v>1509</v>
      </c>
      <c r="G1301" t="s">
        <v>1517</v>
      </c>
      <c r="H1301" s="7">
        <v>759</v>
      </c>
      <c r="I1301" s="7">
        <v>1999</v>
      </c>
      <c r="J1301" s="7" t="str">
        <f t="shared" si="62"/>
        <v>&gt;₹500</v>
      </c>
      <c r="K1301" s="1">
        <v>0.62</v>
      </c>
      <c r="L1301" s="1" t="str">
        <f t="shared" si="60"/>
        <v>50% or More</v>
      </c>
      <c r="M1301">
        <v>4.3</v>
      </c>
      <c r="N1301" s="2">
        <v>532</v>
      </c>
      <c r="O1301" s="5">
        <f t="shared" si="61"/>
        <v>1063468</v>
      </c>
      <c r="P1301">
        <f>MAX(Table1[RATING COUNT])</f>
        <v>426973</v>
      </c>
    </row>
    <row r="1302" spans="1:16">
      <c r="A1302" t="s">
        <v>2796</v>
      </c>
      <c r="B1302" t="s">
        <v>1262</v>
      </c>
      <c r="D1302" t="s">
        <v>1416</v>
      </c>
      <c r="E1302" t="s">
        <v>1508</v>
      </c>
      <c r="F1302" t="s">
        <v>1515</v>
      </c>
      <c r="G1302" t="s">
        <v>1533</v>
      </c>
      <c r="H1302" s="7">
        <v>2669</v>
      </c>
      <c r="I1302" s="7">
        <v>3199</v>
      </c>
      <c r="J1302" s="7" t="str">
        <f t="shared" si="62"/>
        <v>&gt;₹500</v>
      </c>
      <c r="K1302" s="1">
        <v>0.17</v>
      </c>
      <c r="L1302" s="1" t="str">
        <f t="shared" si="60"/>
        <v>&lt;50%</v>
      </c>
      <c r="M1302">
        <v>3.9</v>
      </c>
      <c r="N1302" s="2">
        <v>260</v>
      </c>
      <c r="O1302" s="5">
        <f t="shared" si="61"/>
        <v>831740</v>
      </c>
      <c r="P1302">
        <f>MAX(Table1[RATING COUNT])</f>
        <v>426973</v>
      </c>
    </row>
    <row r="1303" spans="1:16">
      <c r="A1303" t="s">
        <v>2797</v>
      </c>
      <c r="B1303" t="s">
        <v>1263</v>
      </c>
      <c r="D1303" t="s">
        <v>1416</v>
      </c>
      <c r="E1303" t="s">
        <v>1508</v>
      </c>
      <c r="F1303" t="s">
        <v>1509</v>
      </c>
      <c r="G1303" t="s">
        <v>1535</v>
      </c>
      <c r="H1303" s="7">
        <v>929</v>
      </c>
      <c r="I1303" s="7">
        <v>1300</v>
      </c>
      <c r="J1303" s="7" t="str">
        <f t="shared" si="62"/>
        <v>&gt;₹500</v>
      </c>
      <c r="K1303" s="1">
        <v>0.28999999999999998</v>
      </c>
      <c r="L1303" s="1" t="str">
        <f t="shared" si="60"/>
        <v>&lt;50%</v>
      </c>
      <c r="M1303">
        <v>3.9</v>
      </c>
      <c r="N1303" s="2">
        <v>1672</v>
      </c>
      <c r="O1303" s="5">
        <f t="shared" si="61"/>
        <v>2173600</v>
      </c>
      <c r="P1303">
        <f>MAX(Table1[RATING COUNT])</f>
        <v>426973</v>
      </c>
    </row>
    <row r="1304" spans="1:16">
      <c r="A1304" t="s">
        <v>2798</v>
      </c>
      <c r="B1304" t="s">
        <v>1264</v>
      </c>
      <c r="D1304" t="s">
        <v>1416</v>
      </c>
      <c r="E1304" t="s">
        <v>1529</v>
      </c>
      <c r="F1304" t="s">
        <v>1530</v>
      </c>
      <c r="G1304" t="s">
        <v>1531</v>
      </c>
      <c r="H1304" s="7">
        <v>199</v>
      </c>
      <c r="I1304" s="7">
        <v>399</v>
      </c>
      <c r="J1304" s="7" t="str">
        <f t="shared" si="62"/>
        <v>₹200–₹500</v>
      </c>
      <c r="K1304" s="1">
        <v>0.5</v>
      </c>
      <c r="L1304" s="1" t="str">
        <f t="shared" si="60"/>
        <v>50% or More</v>
      </c>
      <c r="M1304">
        <v>3.7</v>
      </c>
      <c r="N1304" s="2">
        <v>7945</v>
      </c>
      <c r="O1304" s="5">
        <f t="shared" si="61"/>
        <v>3170055</v>
      </c>
      <c r="P1304">
        <f>MAX(Table1[RATING COUNT])</f>
        <v>426973</v>
      </c>
    </row>
    <row r="1305" spans="1:16">
      <c r="A1305" t="s">
        <v>2799</v>
      </c>
      <c r="B1305" t="s">
        <v>1265</v>
      </c>
      <c r="D1305" t="s">
        <v>1416</v>
      </c>
      <c r="E1305" t="s">
        <v>1508</v>
      </c>
      <c r="F1305" t="s">
        <v>1515</v>
      </c>
      <c r="G1305" t="s">
        <v>1516</v>
      </c>
      <c r="H1305" s="7">
        <v>279</v>
      </c>
      <c r="I1305" s="7">
        <v>599</v>
      </c>
      <c r="J1305" s="7" t="str">
        <f t="shared" si="62"/>
        <v>&gt;₹500</v>
      </c>
      <c r="K1305" s="1">
        <v>0.53</v>
      </c>
      <c r="L1305" s="1" t="str">
        <f t="shared" si="60"/>
        <v>50% or More</v>
      </c>
      <c r="M1305">
        <v>3.5</v>
      </c>
      <c r="N1305" s="2">
        <v>1367</v>
      </c>
      <c r="O1305" s="5">
        <f t="shared" si="61"/>
        <v>818833</v>
      </c>
      <c r="P1305">
        <f>MAX(Table1[RATING COUNT])</f>
        <v>426973</v>
      </c>
    </row>
    <row r="1306" spans="1:16">
      <c r="A1306" t="s">
        <v>2800</v>
      </c>
      <c r="B1306" t="s">
        <v>1266</v>
      </c>
      <c r="D1306" t="s">
        <v>1416</v>
      </c>
      <c r="E1306" t="s">
        <v>1508</v>
      </c>
      <c r="F1306" t="s">
        <v>1509</v>
      </c>
      <c r="G1306" t="s">
        <v>1522</v>
      </c>
      <c r="H1306" s="7">
        <v>549</v>
      </c>
      <c r="I1306" s="7">
        <v>999</v>
      </c>
      <c r="J1306" s="7" t="str">
        <f t="shared" si="62"/>
        <v>&gt;₹500</v>
      </c>
      <c r="K1306" s="1">
        <v>0.45</v>
      </c>
      <c r="L1306" s="1" t="str">
        <f t="shared" si="60"/>
        <v>&lt;50%</v>
      </c>
      <c r="M1306">
        <v>4</v>
      </c>
      <c r="N1306" s="2">
        <v>1313</v>
      </c>
      <c r="O1306" s="5">
        <f t="shared" si="61"/>
        <v>1311687</v>
      </c>
      <c r="P1306">
        <f>MAX(Table1[RATING COUNT])</f>
        <v>426973</v>
      </c>
    </row>
    <row r="1307" spans="1:16">
      <c r="A1307" t="s">
        <v>2801</v>
      </c>
      <c r="B1307" t="s">
        <v>1267</v>
      </c>
      <c r="D1307" t="s">
        <v>1416</v>
      </c>
      <c r="E1307" t="s">
        <v>1529</v>
      </c>
      <c r="F1307" t="s">
        <v>1530</v>
      </c>
      <c r="G1307" t="s">
        <v>1562</v>
      </c>
      <c r="H1307" s="7">
        <v>85</v>
      </c>
      <c r="I1307" s="7">
        <v>199</v>
      </c>
      <c r="J1307" s="7" t="str">
        <f t="shared" si="62"/>
        <v>&lt;₹200</v>
      </c>
      <c r="K1307" s="1">
        <v>0.56999999999999995</v>
      </c>
      <c r="L1307" s="1" t="str">
        <f t="shared" si="60"/>
        <v>50% or More</v>
      </c>
      <c r="M1307">
        <v>4.0999999999999996</v>
      </c>
      <c r="N1307" s="2">
        <v>212</v>
      </c>
      <c r="O1307" s="5">
        <f t="shared" si="61"/>
        <v>42188</v>
      </c>
      <c r="P1307">
        <f>MAX(Table1[RATING COUNT])</f>
        <v>426973</v>
      </c>
    </row>
    <row r="1308" spans="1:16">
      <c r="A1308" t="s">
        <v>2802</v>
      </c>
      <c r="B1308" t="s">
        <v>1268</v>
      </c>
      <c r="D1308" t="s">
        <v>1416</v>
      </c>
      <c r="E1308" t="s">
        <v>1508</v>
      </c>
      <c r="F1308" t="s">
        <v>1509</v>
      </c>
      <c r="G1308" t="s">
        <v>1532</v>
      </c>
      <c r="H1308" s="7">
        <v>499</v>
      </c>
      <c r="I1308" s="7">
        <v>1299</v>
      </c>
      <c r="J1308" s="7" t="str">
        <f t="shared" si="62"/>
        <v>&gt;₹500</v>
      </c>
      <c r="K1308" s="1">
        <v>0.62</v>
      </c>
      <c r="L1308" s="1" t="str">
        <f t="shared" si="60"/>
        <v>50% or More</v>
      </c>
      <c r="M1308">
        <v>3.9</v>
      </c>
      <c r="N1308" s="2">
        <v>65</v>
      </c>
      <c r="O1308" s="5">
        <f t="shared" si="61"/>
        <v>84435</v>
      </c>
      <c r="P1308">
        <f>MAX(Table1[RATING COUNT])</f>
        <v>426973</v>
      </c>
    </row>
    <row r="1309" spans="1:16">
      <c r="A1309" t="s">
        <v>2803</v>
      </c>
      <c r="B1309" t="s">
        <v>1269</v>
      </c>
      <c r="D1309" t="s">
        <v>1416</v>
      </c>
      <c r="E1309" t="s">
        <v>1508</v>
      </c>
      <c r="F1309" t="s">
        <v>1509</v>
      </c>
      <c r="G1309" t="s">
        <v>1532</v>
      </c>
      <c r="H1309" s="7">
        <v>5865</v>
      </c>
      <c r="I1309" s="7">
        <v>7776</v>
      </c>
      <c r="J1309" s="7" t="str">
        <f t="shared" si="62"/>
        <v>&gt;₹500</v>
      </c>
      <c r="K1309" s="1">
        <v>0.25</v>
      </c>
      <c r="L1309" s="1" t="str">
        <f t="shared" si="60"/>
        <v>&lt;50%</v>
      </c>
      <c r="M1309">
        <v>4.4000000000000004</v>
      </c>
      <c r="N1309" s="2">
        <v>2737</v>
      </c>
      <c r="O1309" s="5">
        <f t="shared" si="61"/>
        <v>21282912</v>
      </c>
      <c r="P1309">
        <f>MAX(Table1[RATING COUNT])</f>
        <v>426973</v>
      </c>
    </row>
    <row r="1310" spans="1:16">
      <c r="A1310" t="s">
        <v>2804</v>
      </c>
      <c r="B1310" t="s">
        <v>1270</v>
      </c>
      <c r="D1310" t="s">
        <v>1416</v>
      </c>
      <c r="E1310" t="s">
        <v>1508</v>
      </c>
      <c r="F1310" t="s">
        <v>1509</v>
      </c>
      <c r="G1310" t="s">
        <v>1510</v>
      </c>
      <c r="H1310" s="7">
        <v>1260</v>
      </c>
      <c r="I1310" s="7">
        <v>2299</v>
      </c>
      <c r="J1310" s="7" t="str">
        <f t="shared" si="62"/>
        <v>&gt;₹500</v>
      </c>
      <c r="K1310" s="1">
        <v>0.45</v>
      </c>
      <c r="L1310" s="1" t="str">
        <f t="shared" si="60"/>
        <v>&lt;50%</v>
      </c>
      <c r="M1310">
        <v>4.3</v>
      </c>
      <c r="N1310" s="2">
        <v>55</v>
      </c>
      <c r="O1310" s="5">
        <f t="shared" si="61"/>
        <v>126445</v>
      </c>
      <c r="P1310">
        <f>MAX(Table1[RATING COUNT])</f>
        <v>426973</v>
      </c>
    </row>
    <row r="1311" spans="1:16">
      <c r="A1311" t="s">
        <v>2805</v>
      </c>
      <c r="B1311" t="s">
        <v>1271</v>
      </c>
      <c r="D1311" t="s">
        <v>1416</v>
      </c>
      <c r="E1311" t="s">
        <v>1508</v>
      </c>
      <c r="F1311" t="s">
        <v>1544</v>
      </c>
      <c r="G1311" t="s">
        <v>1582</v>
      </c>
      <c r="H1311" s="7">
        <v>1099</v>
      </c>
      <c r="I1311" s="7">
        <v>1500</v>
      </c>
      <c r="J1311" s="7" t="str">
        <f t="shared" si="62"/>
        <v>&gt;₹500</v>
      </c>
      <c r="K1311" s="1">
        <v>0.27</v>
      </c>
      <c r="L1311" s="1" t="str">
        <f t="shared" si="60"/>
        <v>&lt;50%</v>
      </c>
      <c r="M1311">
        <v>4.5</v>
      </c>
      <c r="N1311" s="2">
        <v>1065</v>
      </c>
      <c r="O1311" s="5">
        <f t="shared" si="61"/>
        <v>1597500</v>
      </c>
      <c r="P1311">
        <f>MAX(Table1[RATING COUNT])</f>
        <v>426973</v>
      </c>
    </row>
    <row r="1312" spans="1:16">
      <c r="A1312" t="s">
        <v>2806</v>
      </c>
      <c r="B1312" t="s">
        <v>1272</v>
      </c>
      <c r="D1312" t="s">
        <v>1416</v>
      </c>
      <c r="E1312" t="s">
        <v>1508</v>
      </c>
      <c r="F1312" t="s">
        <v>1509</v>
      </c>
      <c r="G1312" t="s">
        <v>1535</v>
      </c>
      <c r="H1312" s="7">
        <v>1928</v>
      </c>
      <c r="I1312" s="7">
        <v>2590</v>
      </c>
      <c r="J1312" s="7" t="str">
        <f t="shared" si="62"/>
        <v>&gt;₹500</v>
      </c>
      <c r="K1312" s="1">
        <v>0.26</v>
      </c>
      <c r="L1312" s="1" t="str">
        <f t="shared" si="60"/>
        <v>&lt;50%</v>
      </c>
      <c r="M1312">
        <v>4</v>
      </c>
      <c r="N1312" s="2">
        <v>2377</v>
      </c>
      <c r="O1312" s="5">
        <f t="shared" si="61"/>
        <v>6156430</v>
      </c>
      <c r="P1312">
        <f>MAX(Table1[RATING COUNT])</f>
        <v>426973</v>
      </c>
    </row>
    <row r="1313" spans="1:16">
      <c r="A1313" t="s">
        <v>2807</v>
      </c>
      <c r="B1313" t="s">
        <v>1273</v>
      </c>
      <c r="D1313" t="s">
        <v>1416</v>
      </c>
      <c r="E1313" t="s">
        <v>1511</v>
      </c>
      <c r="F1313" t="s">
        <v>1524</v>
      </c>
      <c r="G1313" t="s">
        <v>1526</v>
      </c>
      <c r="H1313" s="7">
        <v>3249</v>
      </c>
      <c r="I1313" s="7">
        <v>6299</v>
      </c>
      <c r="J1313" s="7" t="str">
        <f t="shared" si="62"/>
        <v>&gt;₹500</v>
      </c>
      <c r="K1313" s="1">
        <v>0.48</v>
      </c>
      <c r="L1313" s="1" t="str">
        <f t="shared" si="60"/>
        <v>&lt;50%</v>
      </c>
      <c r="M1313">
        <v>3.9</v>
      </c>
      <c r="N1313" s="2">
        <v>2569</v>
      </c>
      <c r="O1313" s="5">
        <f t="shared" si="61"/>
        <v>16182131</v>
      </c>
      <c r="P1313">
        <f>MAX(Table1[RATING COUNT])</f>
        <v>426973</v>
      </c>
    </row>
    <row r="1314" spans="1:16">
      <c r="A1314" t="s">
        <v>2808</v>
      </c>
      <c r="B1314" t="s">
        <v>1274</v>
      </c>
      <c r="D1314" t="s">
        <v>1416</v>
      </c>
      <c r="E1314" t="s">
        <v>1508</v>
      </c>
      <c r="F1314" t="s">
        <v>1509</v>
      </c>
      <c r="G1314" t="s">
        <v>1535</v>
      </c>
      <c r="H1314" s="7">
        <v>1199</v>
      </c>
      <c r="I1314" s="7">
        <v>1795</v>
      </c>
      <c r="J1314" s="7" t="str">
        <f t="shared" si="62"/>
        <v>&gt;₹500</v>
      </c>
      <c r="K1314" s="1">
        <v>0.33</v>
      </c>
      <c r="L1314" s="1" t="str">
        <f t="shared" si="60"/>
        <v>&lt;50%</v>
      </c>
      <c r="M1314">
        <v>4.2</v>
      </c>
      <c r="N1314" s="2">
        <v>5967</v>
      </c>
      <c r="O1314" s="5">
        <f t="shared" si="61"/>
        <v>10710765</v>
      </c>
      <c r="P1314">
        <f>MAX(Table1[RATING COUNT])</f>
        <v>426973</v>
      </c>
    </row>
    <row r="1315" spans="1:16">
      <c r="A1315" t="s">
        <v>2809</v>
      </c>
      <c r="B1315" t="s">
        <v>1275</v>
      </c>
      <c r="D1315" t="s">
        <v>1416</v>
      </c>
      <c r="E1315" t="s">
        <v>1508</v>
      </c>
      <c r="F1315" t="s">
        <v>1509</v>
      </c>
      <c r="G1315" t="s">
        <v>1510</v>
      </c>
      <c r="H1315" s="7">
        <v>1456</v>
      </c>
      <c r="I1315" s="7">
        <v>3190</v>
      </c>
      <c r="J1315" s="7" t="str">
        <f t="shared" si="62"/>
        <v>&gt;₹500</v>
      </c>
      <c r="K1315" s="1">
        <v>0.54</v>
      </c>
      <c r="L1315" s="1" t="str">
        <f t="shared" si="60"/>
        <v>50% or More</v>
      </c>
      <c r="M1315">
        <v>4.0999999999999996</v>
      </c>
      <c r="N1315" s="2">
        <v>1776</v>
      </c>
      <c r="O1315" s="5">
        <f t="shared" si="61"/>
        <v>5665440</v>
      </c>
      <c r="P1315">
        <f>MAX(Table1[RATING COUNT])</f>
        <v>426973</v>
      </c>
    </row>
    <row r="1316" spans="1:16">
      <c r="A1316" t="s">
        <v>2810</v>
      </c>
      <c r="B1316" t="s">
        <v>1276</v>
      </c>
      <c r="D1316" t="s">
        <v>1416</v>
      </c>
      <c r="E1316" t="s">
        <v>1508</v>
      </c>
      <c r="F1316" t="s">
        <v>1509</v>
      </c>
      <c r="G1316" t="s">
        <v>1532</v>
      </c>
      <c r="H1316" s="7">
        <v>3349</v>
      </c>
      <c r="I1316" s="7">
        <v>4799</v>
      </c>
      <c r="J1316" s="7" t="str">
        <f t="shared" si="62"/>
        <v>&gt;₹500</v>
      </c>
      <c r="K1316" s="1">
        <v>0.3</v>
      </c>
      <c r="L1316" s="1" t="str">
        <f t="shared" si="60"/>
        <v>&lt;50%</v>
      </c>
      <c r="M1316">
        <v>3.7</v>
      </c>
      <c r="N1316" s="2">
        <v>4200</v>
      </c>
      <c r="O1316" s="5">
        <f t="shared" si="61"/>
        <v>20155800</v>
      </c>
      <c r="P1316">
        <f>MAX(Table1[RATING COUNT])</f>
        <v>426973</v>
      </c>
    </row>
    <row r="1317" spans="1:16">
      <c r="A1317" t="s">
        <v>2811</v>
      </c>
      <c r="B1317" t="s">
        <v>1277</v>
      </c>
      <c r="D1317" t="s">
        <v>1416</v>
      </c>
      <c r="E1317" t="s">
        <v>1508</v>
      </c>
      <c r="F1317" t="s">
        <v>1515</v>
      </c>
      <c r="G1317" t="s">
        <v>1540</v>
      </c>
      <c r="H1317" s="7">
        <v>4899</v>
      </c>
      <c r="I1317" s="7">
        <v>8999</v>
      </c>
      <c r="J1317" s="7" t="str">
        <f t="shared" si="62"/>
        <v>&gt;₹500</v>
      </c>
      <c r="K1317" s="1">
        <v>0.46</v>
      </c>
      <c r="L1317" s="1" t="str">
        <f t="shared" si="60"/>
        <v>&lt;50%</v>
      </c>
      <c r="M1317">
        <v>4.0999999999999996</v>
      </c>
      <c r="N1317" s="2">
        <v>297</v>
      </c>
      <c r="O1317" s="5">
        <f t="shared" si="61"/>
        <v>2672703</v>
      </c>
      <c r="P1317">
        <f>MAX(Table1[RATING COUNT])</f>
        <v>426973</v>
      </c>
    </row>
    <row r="1318" spans="1:16">
      <c r="A1318" t="s">
        <v>2812</v>
      </c>
      <c r="B1318" t="s">
        <v>1278</v>
      </c>
      <c r="D1318" t="s">
        <v>1416</v>
      </c>
      <c r="E1318" t="s">
        <v>1508</v>
      </c>
      <c r="F1318" t="s">
        <v>1509</v>
      </c>
      <c r="G1318" t="s">
        <v>1510</v>
      </c>
      <c r="H1318" s="7">
        <v>1199</v>
      </c>
      <c r="I1318" s="7">
        <v>1899</v>
      </c>
      <c r="J1318" s="7" t="str">
        <f t="shared" si="62"/>
        <v>&gt;₹500</v>
      </c>
      <c r="K1318" s="1">
        <v>0.37</v>
      </c>
      <c r="L1318" s="1" t="str">
        <f t="shared" si="60"/>
        <v>&lt;50%</v>
      </c>
      <c r="M1318">
        <v>4.2</v>
      </c>
      <c r="N1318" s="2">
        <v>3858</v>
      </c>
      <c r="O1318" s="5">
        <f t="shared" si="61"/>
        <v>7326342</v>
      </c>
      <c r="P1318">
        <f>MAX(Table1[RATING COUNT])</f>
        <v>426973</v>
      </c>
    </row>
    <row r="1319" spans="1:16">
      <c r="A1319" t="s">
        <v>2813</v>
      </c>
      <c r="B1319" t="s">
        <v>1279</v>
      </c>
      <c r="D1319" t="s">
        <v>1416</v>
      </c>
      <c r="E1319" t="s">
        <v>1511</v>
      </c>
      <c r="F1319" t="s">
        <v>1574</v>
      </c>
      <c r="H1319" s="7">
        <v>3290</v>
      </c>
      <c r="I1319" s="7">
        <v>5799</v>
      </c>
      <c r="J1319" s="7" t="str">
        <f t="shared" si="62"/>
        <v>&gt;₹500</v>
      </c>
      <c r="K1319" s="1">
        <v>0.43</v>
      </c>
      <c r="L1319" s="1" t="str">
        <f t="shared" si="60"/>
        <v>&lt;50%</v>
      </c>
      <c r="M1319">
        <v>4.3</v>
      </c>
      <c r="N1319" s="2">
        <v>168</v>
      </c>
      <c r="O1319" s="5">
        <f t="shared" si="61"/>
        <v>974232</v>
      </c>
      <c r="P1319">
        <f>MAX(Table1[RATING COUNT])</f>
        <v>426973</v>
      </c>
    </row>
    <row r="1320" spans="1:16">
      <c r="A1320" t="s">
        <v>2814</v>
      </c>
      <c r="B1320" t="s">
        <v>1280</v>
      </c>
      <c r="D1320" t="s">
        <v>1416</v>
      </c>
      <c r="E1320" t="s">
        <v>1508</v>
      </c>
      <c r="F1320" t="s">
        <v>1515</v>
      </c>
      <c r="G1320" t="s">
        <v>1516</v>
      </c>
      <c r="H1320" s="7">
        <v>179</v>
      </c>
      <c r="I1320" s="7">
        <v>799</v>
      </c>
      <c r="J1320" s="7" t="str">
        <f t="shared" si="62"/>
        <v>&gt;₹500</v>
      </c>
      <c r="K1320" s="1">
        <v>0.78</v>
      </c>
      <c r="L1320" s="1" t="str">
        <f t="shared" si="60"/>
        <v>50% or More</v>
      </c>
      <c r="M1320">
        <v>3.6</v>
      </c>
      <c r="N1320" s="2">
        <v>101</v>
      </c>
      <c r="O1320" s="5">
        <f t="shared" si="61"/>
        <v>80699</v>
      </c>
      <c r="P1320">
        <f>MAX(Table1[RATING COUNT])</f>
        <v>426973</v>
      </c>
    </row>
    <row r="1321" spans="1:16">
      <c r="A1321" t="s">
        <v>2815</v>
      </c>
      <c r="B1321" t="s">
        <v>1281</v>
      </c>
      <c r="D1321" t="s">
        <v>1416</v>
      </c>
      <c r="E1321" t="s">
        <v>1508</v>
      </c>
      <c r="F1321" t="s">
        <v>1544</v>
      </c>
      <c r="G1321" t="s">
        <v>1581</v>
      </c>
      <c r="H1321" s="7">
        <v>149</v>
      </c>
      <c r="I1321" s="7">
        <v>300</v>
      </c>
      <c r="J1321" s="7" t="str">
        <f t="shared" si="62"/>
        <v>₹200–₹500</v>
      </c>
      <c r="K1321" s="1">
        <v>0.5</v>
      </c>
      <c r="L1321" s="1" t="str">
        <f t="shared" si="60"/>
        <v>50% or More</v>
      </c>
      <c r="M1321">
        <v>4.0999999999999996</v>
      </c>
      <c r="N1321" s="2">
        <v>4074</v>
      </c>
      <c r="O1321" s="5">
        <f t="shared" si="61"/>
        <v>1222200</v>
      </c>
      <c r="P1321">
        <f>MAX(Table1[RATING COUNT])</f>
        <v>426973</v>
      </c>
    </row>
    <row r="1322" spans="1:16">
      <c r="A1322" t="s">
        <v>2816</v>
      </c>
      <c r="B1322" t="s">
        <v>1282</v>
      </c>
      <c r="D1322" t="s">
        <v>1416</v>
      </c>
      <c r="E1322" t="s">
        <v>1508</v>
      </c>
      <c r="F1322" t="s">
        <v>1509</v>
      </c>
      <c r="G1322" t="s">
        <v>1523</v>
      </c>
      <c r="H1322" s="7">
        <v>5490</v>
      </c>
      <c r="I1322" s="7">
        <v>7200</v>
      </c>
      <c r="J1322" s="7" t="str">
        <f t="shared" si="62"/>
        <v>&gt;₹500</v>
      </c>
      <c r="K1322" s="1">
        <v>0.24</v>
      </c>
      <c r="L1322" s="1" t="str">
        <f t="shared" si="60"/>
        <v>&lt;50%</v>
      </c>
      <c r="M1322">
        <v>4.5</v>
      </c>
      <c r="N1322" s="2">
        <v>1408</v>
      </c>
      <c r="O1322" s="5">
        <f t="shared" si="61"/>
        <v>10137600</v>
      </c>
      <c r="P1322">
        <f>MAX(Table1[RATING COUNT])</f>
        <v>426973</v>
      </c>
    </row>
    <row r="1323" spans="1:16">
      <c r="A1323" t="s">
        <v>2817</v>
      </c>
      <c r="B1323" t="s">
        <v>1283</v>
      </c>
      <c r="D1323" t="s">
        <v>1416</v>
      </c>
      <c r="E1323" t="s">
        <v>1508</v>
      </c>
      <c r="F1323" t="s">
        <v>1509</v>
      </c>
      <c r="G1323" t="s">
        <v>1517</v>
      </c>
      <c r="H1323" s="7">
        <v>379</v>
      </c>
      <c r="I1323" s="7">
        <v>389</v>
      </c>
      <c r="J1323" s="7" t="str">
        <f t="shared" si="62"/>
        <v>₹200–₹500</v>
      </c>
      <c r="K1323" s="1">
        <v>0.03</v>
      </c>
      <c r="L1323" s="1" t="str">
        <f t="shared" si="60"/>
        <v>&lt;50%</v>
      </c>
      <c r="M1323">
        <v>4.2</v>
      </c>
      <c r="N1323" s="2">
        <v>3739</v>
      </c>
      <c r="O1323" s="5">
        <f t="shared" si="61"/>
        <v>1454471</v>
      </c>
      <c r="P1323">
        <f>MAX(Table1[RATING COUNT])</f>
        <v>426973</v>
      </c>
    </row>
    <row r="1324" spans="1:16">
      <c r="A1324" t="s">
        <v>2818</v>
      </c>
      <c r="B1324" t="s">
        <v>1284</v>
      </c>
      <c r="D1324" t="s">
        <v>1416</v>
      </c>
      <c r="E1324" t="s">
        <v>1508</v>
      </c>
      <c r="F1324" t="s">
        <v>1548</v>
      </c>
      <c r="G1324" t="s">
        <v>1558</v>
      </c>
      <c r="H1324" s="7">
        <v>8699</v>
      </c>
      <c r="I1324" s="7">
        <v>13049</v>
      </c>
      <c r="J1324" s="7" t="str">
        <f t="shared" si="62"/>
        <v>&gt;₹500</v>
      </c>
      <c r="K1324" s="1">
        <v>0.33</v>
      </c>
      <c r="L1324" s="1" t="str">
        <f t="shared" si="60"/>
        <v>&lt;50%</v>
      </c>
      <c r="M1324">
        <v>4.3</v>
      </c>
      <c r="N1324" s="2">
        <v>5891</v>
      </c>
      <c r="O1324" s="5">
        <f t="shared" si="61"/>
        <v>76871659</v>
      </c>
      <c r="P1324">
        <f>MAX(Table1[RATING COUNT])</f>
        <v>426973</v>
      </c>
    </row>
    <row r="1325" spans="1:16">
      <c r="A1325" t="s">
        <v>2819</v>
      </c>
      <c r="B1325" t="s">
        <v>1285</v>
      </c>
      <c r="D1325" t="s">
        <v>1416</v>
      </c>
      <c r="E1325" t="s">
        <v>1508</v>
      </c>
      <c r="F1325" t="s">
        <v>1509</v>
      </c>
      <c r="G1325" t="s">
        <v>1523</v>
      </c>
      <c r="H1325" s="7">
        <v>3041.67</v>
      </c>
      <c r="I1325" s="7">
        <v>5999</v>
      </c>
      <c r="J1325" s="7" t="str">
        <f t="shared" si="62"/>
        <v>&gt;₹500</v>
      </c>
      <c r="K1325" s="1">
        <v>0.49</v>
      </c>
      <c r="L1325" s="1" t="str">
        <f t="shared" si="60"/>
        <v>&lt;50%</v>
      </c>
      <c r="M1325">
        <v>4</v>
      </c>
      <c r="N1325" s="2">
        <v>777</v>
      </c>
      <c r="O1325" s="5">
        <f t="shared" si="61"/>
        <v>4661223</v>
      </c>
      <c r="P1325">
        <f>MAX(Table1[RATING COUNT])</f>
        <v>426973</v>
      </c>
    </row>
    <row r="1326" spans="1:16">
      <c r="A1326" t="s">
        <v>2820</v>
      </c>
      <c r="B1326" t="s">
        <v>1286</v>
      </c>
      <c r="D1326" t="s">
        <v>1416</v>
      </c>
      <c r="E1326" t="s">
        <v>1508</v>
      </c>
      <c r="F1326" t="s">
        <v>1509</v>
      </c>
      <c r="G1326" t="s">
        <v>1522</v>
      </c>
      <c r="H1326" s="7">
        <v>1745</v>
      </c>
      <c r="I1326" s="7">
        <v>2400</v>
      </c>
      <c r="J1326" s="7" t="str">
        <f t="shared" si="62"/>
        <v>&gt;₹500</v>
      </c>
      <c r="K1326" s="1">
        <v>0.27</v>
      </c>
      <c r="L1326" s="1" t="str">
        <f t="shared" si="60"/>
        <v>&lt;50%</v>
      </c>
      <c r="M1326">
        <v>4.2</v>
      </c>
      <c r="N1326" s="2">
        <v>14160</v>
      </c>
      <c r="O1326" s="5">
        <f t="shared" si="61"/>
        <v>33984000</v>
      </c>
      <c r="P1326">
        <f>MAX(Table1[RATING COUNT])</f>
        <v>426973</v>
      </c>
    </row>
    <row r="1327" spans="1:16">
      <c r="A1327" t="s">
        <v>2821</v>
      </c>
      <c r="B1327" t="s">
        <v>1287</v>
      </c>
      <c r="D1327" t="s">
        <v>1416</v>
      </c>
      <c r="E1327" t="s">
        <v>1508</v>
      </c>
      <c r="F1327" t="s">
        <v>1509</v>
      </c>
      <c r="G1327" t="s">
        <v>1521</v>
      </c>
      <c r="H1327" s="7">
        <v>3180</v>
      </c>
      <c r="I1327" s="7">
        <v>5295</v>
      </c>
      <c r="J1327" s="7" t="str">
        <f t="shared" si="62"/>
        <v>&gt;₹500</v>
      </c>
      <c r="K1327" s="1">
        <v>0.4</v>
      </c>
      <c r="L1327" s="1" t="str">
        <f t="shared" si="60"/>
        <v>&lt;50%</v>
      </c>
      <c r="M1327">
        <v>4.2</v>
      </c>
      <c r="N1327" s="2">
        <v>6919</v>
      </c>
      <c r="O1327" s="5">
        <f t="shared" si="61"/>
        <v>36636105</v>
      </c>
      <c r="P1327">
        <f>MAX(Table1[RATING COUNT])</f>
        <v>426973</v>
      </c>
    </row>
    <row r="1328" spans="1:16">
      <c r="A1328" t="s">
        <v>2822</v>
      </c>
      <c r="B1328" t="s">
        <v>1288</v>
      </c>
      <c r="D1328" t="s">
        <v>1416</v>
      </c>
      <c r="E1328" t="s">
        <v>1508</v>
      </c>
      <c r="F1328" t="s">
        <v>1548</v>
      </c>
      <c r="G1328" t="s">
        <v>1558</v>
      </c>
      <c r="H1328" s="7">
        <v>4999</v>
      </c>
      <c r="I1328" s="7">
        <v>24999</v>
      </c>
      <c r="J1328" s="7" t="str">
        <f t="shared" si="62"/>
        <v>&gt;₹500</v>
      </c>
      <c r="K1328" s="1">
        <v>0.8</v>
      </c>
      <c r="L1328" s="1" t="str">
        <f t="shared" si="60"/>
        <v>50% or More</v>
      </c>
      <c r="M1328">
        <v>4.5</v>
      </c>
      <c r="N1328" s="2">
        <v>287</v>
      </c>
      <c r="O1328" s="5">
        <f t="shared" si="61"/>
        <v>7174713</v>
      </c>
      <c r="P1328">
        <f>MAX(Table1[RATING COUNT])</f>
        <v>426973</v>
      </c>
    </row>
    <row r="1329" spans="1:16">
      <c r="A1329" t="s">
        <v>2823</v>
      </c>
      <c r="B1329" t="s">
        <v>1289</v>
      </c>
      <c r="D1329" t="s">
        <v>1416</v>
      </c>
      <c r="E1329" t="s">
        <v>1529</v>
      </c>
      <c r="F1329" t="s">
        <v>1530</v>
      </c>
      <c r="G1329" t="s">
        <v>1531</v>
      </c>
      <c r="H1329" s="7">
        <v>390</v>
      </c>
      <c r="I1329" s="7">
        <v>799</v>
      </c>
      <c r="J1329" s="7" t="str">
        <f t="shared" si="62"/>
        <v>&gt;₹500</v>
      </c>
      <c r="K1329" s="1">
        <v>0.51</v>
      </c>
      <c r="L1329" s="1" t="str">
        <f t="shared" si="60"/>
        <v>50% or More</v>
      </c>
      <c r="M1329">
        <v>3.8</v>
      </c>
      <c r="N1329" s="2">
        <v>287</v>
      </c>
      <c r="O1329" s="5">
        <f t="shared" si="61"/>
        <v>229313</v>
      </c>
      <c r="P1329">
        <f>MAX(Table1[RATING COUNT])</f>
        <v>426973</v>
      </c>
    </row>
    <row r="1330" spans="1:16">
      <c r="A1330" t="s">
        <v>2824</v>
      </c>
      <c r="B1330" t="s">
        <v>1290</v>
      </c>
      <c r="D1330" t="s">
        <v>1416</v>
      </c>
      <c r="E1330" t="s">
        <v>1508</v>
      </c>
      <c r="F1330" t="s">
        <v>1509</v>
      </c>
      <c r="G1330" t="s">
        <v>1583</v>
      </c>
      <c r="H1330" s="7">
        <v>1999</v>
      </c>
      <c r="I1330" s="7">
        <v>2999</v>
      </c>
      <c r="J1330" s="7" t="str">
        <f t="shared" si="62"/>
        <v>&gt;₹500</v>
      </c>
      <c r="K1330" s="1">
        <v>0.33</v>
      </c>
      <c r="L1330" s="1" t="str">
        <f t="shared" si="60"/>
        <v>&lt;50%</v>
      </c>
      <c r="M1330">
        <v>4.4000000000000004</v>
      </c>
      <c r="N1330" s="2">
        <v>388</v>
      </c>
      <c r="O1330" s="5">
        <f t="shared" si="61"/>
        <v>1163612</v>
      </c>
      <c r="P1330">
        <f>MAX(Table1[RATING COUNT])</f>
        <v>426973</v>
      </c>
    </row>
    <row r="1331" spans="1:16">
      <c r="A1331" t="s">
        <v>2825</v>
      </c>
      <c r="B1331" t="s">
        <v>1291</v>
      </c>
      <c r="D1331" t="s">
        <v>1416</v>
      </c>
      <c r="E1331" t="s">
        <v>1508</v>
      </c>
      <c r="F1331" t="s">
        <v>1509</v>
      </c>
      <c r="G1331" t="s">
        <v>1534</v>
      </c>
      <c r="H1331" s="7">
        <v>1624</v>
      </c>
      <c r="I1331" s="7">
        <v>2495</v>
      </c>
      <c r="J1331" s="7" t="str">
        <f t="shared" si="62"/>
        <v>&gt;₹500</v>
      </c>
      <c r="K1331" s="1">
        <v>0.35</v>
      </c>
      <c r="L1331" s="1" t="str">
        <f t="shared" si="60"/>
        <v>&lt;50%</v>
      </c>
      <c r="M1331">
        <v>4.0999999999999996</v>
      </c>
      <c r="N1331" s="2">
        <v>827</v>
      </c>
      <c r="O1331" s="5">
        <f t="shared" si="61"/>
        <v>2063365</v>
      </c>
      <c r="P1331">
        <f>MAX(Table1[RATING COUNT])</f>
        <v>426973</v>
      </c>
    </row>
    <row r="1332" spans="1:16">
      <c r="A1332" t="s">
        <v>2826</v>
      </c>
      <c r="B1332" t="s">
        <v>1292</v>
      </c>
      <c r="D1332" t="s">
        <v>1416</v>
      </c>
      <c r="E1332" t="s">
        <v>1508</v>
      </c>
      <c r="F1332" t="s">
        <v>1544</v>
      </c>
      <c r="G1332" t="s">
        <v>1581</v>
      </c>
      <c r="H1332" s="7">
        <v>184</v>
      </c>
      <c r="I1332" s="7">
        <v>450</v>
      </c>
      <c r="J1332" s="7" t="str">
        <f t="shared" si="62"/>
        <v>₹200–₹500</v>
      </c>
      <c r="K1332" s="1">
        <v>0.59</v>
      </c>
      <c r="L1332" s="1" t="str">
        <f t="shared" si="60"/>
        <v>50% or More</v>
      </c>
      <c r="M1332">
        <v>4.2</v>
      </c>
      <c r="N1332" s="2">
        <v>4971</v>
      </c>
      <c r="O1332" s="5">
        <f t="shared" si="61"/>
        <v>2236950</v>
      </c>
      <c r="P1332">
        <f>MAX(Table1[RATING COUNT])</f>
        <v>426973</v>
      </c>
    </row>
    <row r="1333" spans="1:16">
      <c r="A1333" t="s">
        <v>2827</v>
      </c>
      <c r="B1333" t="s">
        <v>1293</v>
      </c>
      <c r="D1333" t="s">
        <v>1416</v>
      </c>
      <c r="E1333" t="s">
        <v>1508</v>
      </c>
      <c r="F1333" t="s">
        <v>1515</v>
      </c>
      <c r="G1333" t="s">
        <v>1516</v>
      </c>
      <c r="H1333" s="7">
        <v>445</v>
      </c>
      <c r="I1333" s="7">
        <v>999</v>
      </c>
      <c r="J1333" s="7" t="str">
        <f t="shared" si="62"/>
        <v>&gt;₹500</v>
      </c>
      <c r="K1333" s="1">
        <v>0.55000000000000004</v>
      </c>
      <c r="L1333" s="1" t="str">
        <f t="shared" si="60"/>
        <v>50% or More</v>
      </c>
      <c r="M1333">
        <v>4.3</v>
      </c>
      <c r="N1333" s="2">
        <v>229</v>
      </c>
      <c r="O1333" s="5">
        <f t="shared" si="61"/>
        <v>228771</v>
      </c>
      <c r="P1333">
        <f>MAX(Table1[RATING COUNT])</f>
        <v>426973</v>
      </c>
    </row>
    <row r="1334" spans="1:16">
      <c r="A1334" t="s">
        <v>2828</v>
      </c>
      <c r="B1334" t="s">
        <v>1294</v>
      </c>
      <c r="D1334" t="s">
        <v>1416</v>
      </c>
      <c r="E1334" t="s">
        <v>1511</v>
      </c>
      <c r="F1334" t="s">
        <v>1584</v>
      </c>
      <c r="G1334" t="s">
        <v>1585</v>
      </c>
      <c r="H1334" s="7">
        <v>699</v>
      </c>
      <c r="I1334" s="7">
        <v>1690</v>
      </c>
      <c r="J1334" s="7" t="str">
        <f t="shared" si="62"/>
        <v>&gt;₹500</v>
      </c>
      <c r="K1334" s="1">
        <v>0.59</v>
      </c>
      <c r="L1334" s="1" t="str">
        <f t="shared" si="60"/>
        <v>50% or More</v>
      </c>
      <c r="M1334">
        <v>4.0999999999999996</v>
      </c>
      <c r="N1334" s="2">
        <v>3524</v>
      </c>
      <c r="O1334" s="5">
        <f t="shared" si="61"/>
        <v>5955560</v>
      </c>
      <c r="P1334">
        <f>MAX(Table1[RATING COUNT])</f>
        <v>426973</v>
      </c>
    </row>
    <row r="1335" spans="1:16">
      <c r="A1335" t="s">
        <v>2829</v>
      </c>
      <c r="B1335" t="s">
        <v>1295</v>
      </c>
      <c r="D1335" t="s">
        <v>1416</v>
      </c>
      <c r="E1335" t="s">
        <v>1508</v>
      </c>
      <c r="F1335" t="s">
        <v>1509</v>
      </c>
      <c r="G1335" t="s">
        <v>1521</v>
      </c>
      <c r="H1335" s="7">
        <v>1601</v>
      </c>
      <c r="I1335" s="7">
        <v>3890</v>
      </c>
      <c r="J1335" s="7" t="str">
        <f t="shared" si="62"/>
        <v>&gt;₹500</v>
      </c>
      <c r="K1335" s="1">
        <v>0.59</v>
      </c>
      <c r="L1335" s="1" t="str">
        <f t="shared" si="60"/>
        <v>50% or More</v>
      </c>
      <c r="M1335">
        <v>4.2</v>
      </c>
      <c r="N1335" s="2">
        <v>156</v>
      </c>
      <c r="O1335" s="5">
        <f t="shared" si="61"/>
        <v>606840</v>
      </c>
      <c r="P1335">
        <f>MAX(Table1[RATING COUNT])</f>
        <v>426973</v>
      </c>
    </row>
    <row r="1336" spans="1:16">
      <c r="A1336" t="s">
        <v>2830</v>
      </c>
      <c r="B1336" t="s">
        <v>1296</v>
      </c>
      <c r="D1336" t="s">
        <v>1416</v>
      </c>
      <c r="E1336" t="s">
        <v>1508</v>
      </c>
      <c r="F1336" t="s">
        <v>1548</v>
      </c>
      <c r="G1336" t="s">
        <v>1549</v>
      </c>
      <c r="H1336" s="7">
        <v>231</v>
      </c>
      <c r="I1336" s="7">
        <v>260</v>
      </c>
      <c r="J1336" s="7" t="str">
        <f t="shared" si="62"/>
        <v>₹200–₹500</v>
      </c>
      <c r="K1336" s="1">
        <v>0.11</v>
      </c>
      <c r="L1336" s="1" t="str">
        <f t="shared" si="60"/>
        <v>&lt;50%</v>
      </c>
      <c r="M1336">
        <v>4.0999999999999996</v>
      </c>
      <c r="N1336" s="2">
        <v>490</v>
      </c>
      <c r="O1336" s="5">
        <f t="shared" si="61"/>
        <v>127400</v>
      </c>
      <c r="P1336">
        <f>MAX(Table1[RATING COUNT])</f>
        <v>426973</v>
      </c>
    </row>
    <row r="1337" spans="1:16">
      <c r="A1337" t="s">
        <v>2831</v>
      </c>
      <c r="B1337" t="s">
        <v>1297</v>
      </c>
      <c r="D1337" t="s">
        <v>1416</v>
      </c>
      <c r="E1337" t="s">
        <v>1508</v>
      </c>
      <c r="F1337" t="s">
        <v>1515</v>
      </c>
      <c r="G1337" t="s">
        <v>1516</v>
      </c>
      <c r="H1337" s="7">
        <v>369</v>
      </c>
      <c r="I1337" s="7">
        <v>599</v>
      </c>
      <c r="J1337" s="7" t="str">
        <f t="shared" si="62"/>
        <v>&gt;₹500</v>
      </c>
      <c r="K1337" s="1">
        <v>0.38</v>
      </c>
      <c r="L1337" s="1" t="str">
        <f t="shared" si="60"/>
        <v>&lt;50%</v>
      </c>
      <c r="M1337">
        <v>3.9</v>
      </c>
      <c r="N1337" s="2">
        <v>82</v>
      </c>
      <c r="O1337" s="5">
        <f t="shared" si="61"/>
        <v>49118</v>
      </c>
      <c r="P1337">
        <f>MAX(Table1[RATING COUNT])</f>
        <v>426973</v>
      </c>
    </row>
    <row r="1338" spans="1:16">
      <c r="A1338" t="s">
        <v>2832</v>
      </c>
      <c r="B1338" t="s">
        <v>1298</v>
      </c>
      <c r="D1338" t="s">
        <v>1416</v>
      </c>
      <c r="E1338" t="s">
        <v>1508</v>
      </c>
      <c r="F1338" t="s">
        <v>1509</v>
      </c>
      <c r="G1338" t="s">
        <v>1510</v>
      </c>
      <c r="H1338" s="7">
        <v>809</v>
      </c>
      <c r="I1338" s="7">
        <v>1950</v>
      </c>
      <c r="J1338" s="7" t="str">
        <f t="shared" si="62"/>
        <v>&gt;₹500</v>
      </c>
      <c r="K1338" s="1">
        <v>0.59</v>
      </c>
      <c r="L1338" s="1" t="str">
        <f t="shared" si="60"/>
        <v>50% or More</v>
      </c>
      <c r="M1338">
        <v>3.9</v>
      </c>
      <c r="N1338" s="2">
        <v>710</v>
      </c>
      <c r="O1338" s="5">
        <f t="shared" si="61"/>
        <v>1384500</v>
      </c>
      <c r="P1338">
        <f>MAX(Table1[RATING COUNT])</f>
        <v>426973</v>
      </c>
    </row>
    <row r="1339" spans="1:16">
      <c r="A1339" t="s">
        <v>2833</v>
      </c>
      <c r="B1339" t="s">
        <v>1299</v>
      </c>
      <c r="D1339" t="s">
        <v>1416</v>
      </c>
      <c r="E1339" t="s">
        <v>1508</v>
      </c>
      <c r="F1339" t="s">
        <v>1509</v>
      </c>
      <c r="G1339" t="s">
        <v>1523</v>
      </c>
      <c r="H1339" s="7">
        <v>1199</v>
      </c>
      <c r="I1339" s="7">
        <v>2990</v>
      </c>
      <c r="J1339" s="7" t="str">
        <f t="shared" si="62"/>
        <v>&gt;₹500</v>
      </c>
      <c r="K1339" s="1">
        <v>0.6</v>
      </c>
      <c r="L1339" s="1" t="str">
        <f t="shared" si="60"/>
        <v>50% or More</v>
      </c>
      <c r="M1339">
        <v>3.8</v>
      </c>
      <c r="N1339" s="2">
        <v>133</v>
      </c>
      <c r="O1339" s="5">
        <f t="shared" si="61"/>
        <v>397670</v>
      </c>
      <c r="P1339">
        <f>MAX(Table1[RATING COUNT])</f>
        <v>426973</v>
      </c>
    </row>
    <row r="1340" spans="1:16">
      <c r="A1340" t="s">
        <v>2834</v>
      </c>
      <c r="B1340" t="s">
        <v>1300</v>
      </c>
      <c r="D1340" t="s">
        <v>1416</v>
      </c>
      <c r="E1340" t="s">
        <v>1508</v>
      </c>
      <c r="F1340" t="s">
        <v>1509</v>
      </c>
      <c r="G1340" t="s">
        <v>1523</v>
      </c>
      <c r="H1340" s="7">
        <v>6120</v>
      </c>
      <c r="I1340" s="7">
        <v>8073</v>
      </c>
      <c r="J1340" s="7" t="str">
        <f t="shared" si="62"/>
        <v>&gt;₹500</v>
      </c>
      <c r="K1340" s="1">
        <v>0.24</v>
      </c>
      <c r="L1340" s="1" t="str">
        <f t="shared" si="60"/>
        <v>&lt;50%</v>
      </c>
      <c r="M1340">
        <v>4.5999999999999996</v>
      </c>
      <c r="N1340" s="2">
        <v>2751</v>
      </c>
      <c r="O1340" s="5">
        <f t="shared" si="61"/>
        <v>22208823</v>
      </c>
      <c r="P1340">
        <f>MAX(Table1[RATING COUNT])</f>
        <v>426973</v>
      </c>
    </row>
    <row r="1341" spans="1:16">
      <c r="A1341" t="s">
        <v>2835</v>
      </c>
      <c r="B1341" t="s">
        <v>1301</v>
      </c>
      <c r="D1341" t="s">
        <v>1416</v>
      </c>
      <c r="E1341" t="s">
        <v>1508</v>
      </c>
      <c r="F1341" t="s">
        <v>1515</v>
      </c>
      <c r="G1341" t="s">
        <v>1516</v>
      </c>
      <c r="H1341" s="7">
        <v>1799</v>
      </c>
      <c r="I1341" s="7">
        <v>2599</v>
      </c>
      <c r="J1341" s="7" t="str">
        <f t="shared" si="62"/>
        <v>&gt;₹500</v>
      </c>
      <c r="K1341" s="1">
        <v>0.31</v>
      </c>
      <c r="L1341" s="1" t="str">
        <f t="shared" si="60"/>
        <v>&lt;50%</v>
      </c>
      <c r="M1341">
        <v>3.6</v>
      </c>
      <c r="N1341" s="2">
        <v>771</v>
      </c>
      <c r="O1341" s="5">
        <f t="shared" si="61"/>
        <v>2003829</v>
      </c>
      <c r="P1341">
        <f>MAX(Table1[RATING COUNT])</f>
        <v>426973</v>
      </c>
    </row>
    <row r="1342" spans="1:16">
      <c r="A1342" t="s">
        <v>2836</v>
      </c>
      <c r="B1342" t="s">
        <v>1302</v>
      </c>
      <c r="D1342" t="s">
        <v>1416</v>
      </c>
      <c r="E1342" t="s">
        <v>1508</v>
      </c>
      <c r="F1342" t="s">
        <v>1515</v>
      </c>
      <c r="G1342" t="s">
        <v>1533</v>
      </c>
      <c r="H1342" s="7">
        <v>18999</v>
      </c>
      <c r="I1342" s="7">
        <v>29999</v>
      </c>
      <c r="J1342" s="7" t="str">
        <f t="shared" si="62"/>
        <v>&gt;₹500</v>
      </c>
      <c r="K1342" s="1">
        <v>0.37</v>
      </c>
      <c r="L1342" s="1" t="str">
        <f t="shared" si="60"/>
        <v>&lt;50%</v>
      </c>
      <c r="M1342">
        <v>4.0999999999999996</v>
      </c>
      <c r="N1342" s="2">
        <v>2536</v>
      </c>
      <c r="O1342" s="5">
        <f t="shared" si="61"/>
        <v>76077464</v>
      </c>
      <c r="P1342">
        <f>MAX(Table1[RATING COUNT])</f>
        <v>426973</v>
      </c>
    </row>
    <row r="1343" spans="1:16">
      <c r="A1343" t="s">
        <v>2837</v>
      </c>
      <c r="B1343" t="s">
        <v>1303</v>
      </c>
      <c r="D1343" t="s">
        <v>1416</v>
      </c>
      <c r="E1343" t="s">
        <v>1511</v>
      </c>
      <c r="F1343" t="s">
        <v>1538</v>
      </c>
      <c r="G1343" t="s">
        <v>1546</v>
      </c>
      <c r="H1343" s="7">
        <v>1999</v>
      </c>
      <c r="I1343" s="7">
        <v>2360</v>
      </c>
      <c r="J1343" s="7" t="str">
        <f t="shared" si="62"/>
        <v>&gt;₹500</v>
      </c>
      <c r="K1343" s="1">
        <v>0.15</v>
      </c>
      <c r="L1343" s="1" t="str">
        <f t="shared" si="60"/>
        <v>&lt;50%</v>
      </c>
      <c r="M1343">
        <v>4.2</v>
      </c>
      <c r="N1343" s="2">
        <v>7801</v>
      </c>
      <c r="O1343" s="5">
        <f t="shared" si="61"/>
        <v>18410360</v>
      </c>
      <c r="P1343">
        <f>MAX(Table1[RATING COUNT])</f>
        <v>426973</v>
      </c>
    </row>
    <row r="1344" spans="1:16">
      <c r="A1344" t="s">
        <v>2838</v>
      </c>
      <c r="B1344" t="s">
        <v>1304</v>
      </c>
      <c r="D1344" t="s">
        <v>1416</v>
      </c>
      <c r="E1344" t="s">
        <v>1508</v>
      </c>
      <c r="F1344" t="s">
        <v>1509</v>
      </c>
      <c r="G1344" t="s">
        <v>1586</v>
      </c>
      <c r="H1344" s="7">
        <v>5999</v>
      </c>
      <c r="I1344" s="7">
        <v>11495</v>
      </c>
      <c r="J1344" s="7" t="str">
        <f t="shared" si="62"/>
        <v>&gt;₹500</v>
      </c>
      <c r="K1344" s="1">
        <v>0.48</v>
      </c>
      <c r="L1344" s="1" t="str">
        <f t="shared" si="60"/>
        <v>&lt;50%</v>
      </c>
      <c r="M1344">
        <v>4.3</v>
      </c>
      <c r="N1344" s="2">
        <v>534</v>
      </c>
      <c r="O1344" s="5">
        <f t="shared" si="61"/>
        <v>6138330</v>
      </c>
      <c r="P1344">
        <f>MAX(Table1[RATING COUNT])</f>
        <v>426973</v>
      </c>
    </row>
    <row r="1345" spans="1:16">
      <c r="A1345" t="s">
        <v>2839</v>
      </c>
      <c r="B1345" t="s">
        <v>1305</v>
      </c>
      <c r="D1345" t="s">
        <v>1416</v>
      </c>
      <c r="E1345" t="s">
        <v>1511</v>
      </c>
      <c r="F1345" t="s">
        <v>1538</v>
      </c>
      <c r="G1345" t="s">
        <v>1539</v>
      </c>
      <c r="H1345" s="7">
        <v>2599</v>
      </c>
      <c r="I1345" s="7">
        <v>4780</v>
      </c>
      <c r="J1345" s="7" t="str">
        <f t="shared" si="62"/>
        <v>&gt;₹500</v>
      </c>
      <c r="K1345" s="1">
        <v>0.46</v>
      </c>
      <c r="L1345" s="1" t="str">
        <f t="shared" si="60"/>
        <v>&lt;50%</v>
      </c>
      <c r="M1345">
        <v>3.9</v>
      </c>
      <c r="N1345" s="2">
        <v>898</v>
      </c>
      <c r="O1345" s="5">
        <f t="shared" si="61"/>
        <v>4292440</v>
      </c>
      <c r="P1345">
        <f>MAX(Table1[RATING COUNT])</f>
        <v>426973</v>
      </c>
    </row>
    <row r="1346" spans="1:16">
      <c r="A1346" t="s">
        <v>2840</v>
      </c>
      <c r="B1346" t="s">
        <v>1306</v>
      </c>
      <c r="D1346" t="s">
        <v>1416</v>
      </c>
      <c r="E1346" t="s">
        <v>1508</v>
      </c>
      <c r="F1346" t="s">
        <v>1509</v>
      </c>
      <c r="G1346" t="s">
        <v>1579</v>
      </c>
      <c r="H1346" s="7">
        <v>1199</v>
      </c>
      <c r="I1346" s="7">
        <v>2400</v>
      </c>
      <c r="J1346" s="7" t="str">
        <f t="shared" si="62"/>
        <v>&gt;₹500</v>
      </c>
      <c r="K1346" s="1">
        <v>0.5</v>
      </c>
      <c r="L1346" s="1" t="str">
        <f t="shared" ref="L1346:L1376" si="63">IF(K1346&gt;=50%,"50% or More","&lt;50%")</f>
        <v>50% or More</v>
      </c>
      <c r="M1346">
        <v>3.9</v>
      </c>
      <c r="N1346" s="2">
        <v>1202</v>
      </c>
      <c r="O1346" s="5">
        <f t="shared" ref="O1346:O1376" si="64">I1346*N1346</f>
        <v>2884800</v>
      </c>
      <c r="P1346">
        <f>MAX(Table1[RATING COUNT])</f>
        <v>426973</v>
      </c>
    </row>
    <row r="1347" spans="1:16">
      <c r="A1347" t="s">
        <v>2841</v>
      </c>
      <c r="B1347" t="s">
        <v>1307</v>
      </c>
      <c r="D1347" t="s">
        <v>1416</v>
      </c>
      <c r="E1347" t="s">
        <v>1529</v>
      </c>
      <c r="F1347" t="s">
        <v>1530</v>
      </c>
      <c r="G1347" t="s">
        <v>1531</v>
      </c>
      <c r="H1347" s="7">
        <v>219</v>
      </c>
      <c r="I1347" s="7">
        <v>249</v>
      </c>
      <c r="J1347" s="7" t="str">
        <f t="shared" ref="J1347:J1376" si="65">IF(I1347&lt;200, "&lt;₹200", IF(I1347&lt;=500, "₹200–₹500", "&gt;₹500"))</f>
        <v>₹200–₹500</v>
      </c>
      <c r="K1347" s="1">
        <v>0.12</v>
      </c>
      <c r="L1347" s="1" t="str">
        <f t="shared" si="63"/>
        <v>&lt;50%</v>
      </c>
      <c r="M1347">
        <v>4</v>
      </c>
      <c r="N1347" s="2">
        <v>1108</v>
      </c>
      <c r="O1347" s="5">
        <f t="shared" si="64"/>
        <v>275892</v>
      </c>
      <c r="P1347">
        <f>MAX(Table1[RATING COUNT])</f>
        <v>426973</v>
      </c>
    </row>
    <row r="1348" spans="1:16">
      <c r="A1348" t="s">
        <v>2842</v>
      </c>
      <c r="B1348" t="s">
        <v>1308</v>
      </c>
      <c r="D1348" t="s">
        <v>1416</v>
      </c>
      <c r="E1348" t="s">
        <v>1511</v>
      </c>
      <c r="F1348" t="s">
        <v>1512</v>
      </c>
      <c r="G1348" t="s">
        <v>1514</v>
      </c>
      <c r="H1348" s="7">
        <v>799</v>
      </c>
      <c r="I1348" s="7">
        <v>1199</v>
      </c>
      <c r="J1348" s="7" t="str">
        <f t="shared" si="65"/>
        <v>&gt;₹500</v>
      </c>
      <c r="K1348" s="1">
        <v>0.33</v>
      </c>
      <c r="L1348" s="1" t="str">
        <f t="shared" si="63"/>
        <v>&lt;50%</v>
      </c>
      <c r="M1348">
        <v>4.4000000000000004</v>
      </c>
      <c r="N1348" s="2">
        <v>17</v>
      </c>
      <c r="O1348" s="5">
        <f t="shared" si="64"/>
        <v>20383</v>
      </c>
      <c r="P1348">
        <f>MAX(Table1[RATING COUNT])</f>
        <v>426973</v>
      </c>
    </row>
    <row r="1349" spans="1:16">
      <c r="A1349" t="s">
        <v>2843</v>
      </c>
      <c r="B1349" t="s">
        <v>1309</v>
      </c>
      <c r="D1349" t="s">
        <v>1416</v>
      </c>
      <c r="E1349" t="s">
        <v>1508</v>
      </c>
      <c r="F1349" t="s">
        <v>1515</v>
      </c>
      <c r="G1349" t="s">
        <v>1533</v>
      </c>
      <c r="H1349" s="7">
        <v>6199</v>
      </c>
      <c r="I1349" s="7">
        <v>10999</v>
      </c>
      <c r="J1349" s="7" t="str">
        <f t="shared" si="65"/>
        <v>&gt;₹500</v>
      </c>
      <c r="K1349" s="1">
        <v>0.44</v>
      </c>
      <c r="L1349" s="1" t="str">
        <f t="shared" si="63"/>
        <v>&lt;50%</v>
      </c>
      <c r="M1349">
        <v>4.2</v>
      </c>
      <c r="N1349" s="2">
        <v>10429</v>
      </c>
      <c r="O1349" s="5">
        <f t="shared" si="64"/>
        <v>114708571</v>
      </c>
      <c r="P1349">
        <f>MAX(Table1[RATING COUNT])</f>
        <v>426973</v>
      </c>
    </row>
    <row r="1350" spans="1:16">
      <c r="A1350" t="s">
        <v>2844</v>
      </c>
      <c r="B1350" t="s">
        <v>1310</v>
      </c>
      <c r="D1350" t="s">
        <v>1416</v>
      </c>
      <c r="E1350" t="s">
        <v>1508</v>
      </c>
      <c r="F1350" t="s">
        <v>1509</v>
      </c>
      <c r="G1350" t="s">
        <v>1528</v>
      </c>
      <c r="H1350" s="7">
        <v>6790</v>
      </c>
      <c r="I1350" s="7">
        <v>10995</v>
      </c>
      <c r="J1350" s="7" t="str">
        <f t="shared" si="65"/>
        <v>&gt;₹500</v>
      </c>
      <c r="K1350" s="1">
        <v>0.38</v>
      </c>
      <c r="L1350" s="1" t="str">
        <f t="shared" si="63"/>
        <v>&lt;50%</v>
      </c>
      <c r="M1350">
        <v>4.5</v>
      </c>
      <c r="N1350" s="2">
        <v>3192</v>
      </c>
      <c r="O1350" s="5">
        <f t="shared" si="64"/>
        <v>35096040</v>
      </c>
      <c r="P1350">
        <f>MAX(Table1[RATING COUNT])</f>
        <v>426973</v>
      </c>
    </row>
    <row r="1351" spans="1:16">
      <c r="A1351" t="s">
        <v>2845</v>
      </c>
      <c r="B1351" t="s">
        <v>1311</v>
      </c>
      <c r="D1351" t="s">
        <v>1416</v>
      </c>
      <c r="E1351" t="s">
        <v>1511</v>
      </c>
      <c r="F1351" t="s">
        <v>1538</v>
      </c>
      <c r="G1351" t="s">
        <v>1587</v>
      </c>
      <c r="H1351" s="7">
        <v>1982.84</v>
      </c>
      <c r="I1351" s="7">
        <v>3300</v>
      </c>
      <c r="J1351" s="7" t="str">
        <f t="shared" si="65"/>
        <v>&gt;₹500</v>
      </c>
      <c r="K1351" s="1">
        <v>0.4</v>
      </c>
      <c r="L1351" s="1" t="str">
        <f t="shared" si="63"/>
        <v>&lt;50%</v>
      </c>
      <c r="M1351">
        <v>4.0999999999999996</v>
      </c>
      <c r="N1351" s="2">
        <v>5873</v>
      </c>
      <c r="O1351" s="5">
        <f t="shared" si="64"/>
        <v>19380900</v>
      </c>
      <c r="P1351">
        <f>MAX(Table1[RATING COUNT])</f>
        <v>426973</v>
      </c>
    </row>
    <row r="1352" spans="1:16">
      <c r="A1352" t="s">
        <v>2846</v>
      </c>
      <c r="B1352" t="s">
        <v>1312</v>
      </c>
      <c r="D1352" t="s">
        <v>1416</v>
      </c>
      <c r="E1352" t="s">
        <v>1508</v>
      </c>
      <c r="F1352" t="s">
        <v>1548</v>
      </c>
      <c r="G1352" t="s">
        <v>1549</v>
      </c>
      <c r="H1352" s="7">
        <v>199</v>
      </c>
      <c r="I1352" s="7">
        <v>400</v>
      </c>
      <c r="J1352" s="7" t="str">
        <f t="shared" si="65"/>
        <v>₹200–₹500</v>
      </c>
      <c r="K1352" s="1">
        <v>0.5</v>
      </c>
      <c r="L1352" s="1" t="str">
        <f t="shared" si="63"/>
        <v>50% or More</v>
      </c>
      <c r="M1352">
        <v>4.0999999999999996</v>
      </c>
      <c r="N1352" s="2">
        <v>1379</v>
      </c>
      <c r="O1352" s="5">
        <f t="shared" si="64"/>
        <v>551600</v>
      </c>
      <c r="P1352">
        <f>MAX(Table1[RATING COUNT])</f>
        <v>426973</v>
      </c>
    </row>
    <row r="1353" spans="1:16">
      <c r="A1353" t="s">
        <v>2847</v>
      </c>
      <c r="B1353" t="s">
        <v>1313</v>
      </c>
      <c r="D1353" t="s">
        <v>1416</v>
      </c>
      <c r="E1353" t="s">
        <v>1508</v>
      </c>
      <c r="F1353" t="s">
        <v>1509</v>
      </c>
      <c r="G1353" t="s">
        <v>1510</v>
      </c>
      <c r="H1353" s="7">
        <v>1180</v>
      </c>
      <c r="I1353" s="7">
        <v>1440</v>
      </c>
      <c r="J1353" s="7" t="str">
        <f t="shared" si="65"/>
        <v>&gt;₹500</v>
      </c>
      <c r="K1353" s="1">
        <v>0.18</v>
      </c>
      <c r="L1353" s="1" t="str">
        <f t="shared" si="63"/>
        <v>&lt;50%</v>
      </c>
      <c r="M1353">
        <v>4.2</v>
      </c>
      <c r="N1353" s="2">
        <v>1527</v>
      </c>
      <c r="O1353" s="5">
        <f t="shared" si="64"/>
        <v>2198880</v>
      </c>
      <c r="P1353">
        <f>MAX(Table1[RATING COUNT])</f>
        <v>426973</v>
      </c>
    </row>
    <row r="1354" spans="1:16">
      <c r="A1354" t="s">
        <v>2848</v>
      </c>
      <c r="B1354" t="s">
        <v>1314</v>
      </c>
      <c r="D1354" t="s">
        <v>1416</v>
      </c>
      <c r="E1354" t="s">
        <v>1511</v>
      </c>
      <c r="F1354" t="s">
        <v>1538</v>
      </c>
      <c r="G1354" t="s">
        <v>1539</v>
      </c>
      <c r="H1354" s="7">
        <v>2199</v>
      </c>
      <c r="I1354" s="7">
        <v>3045</v>
      </c>
      <c r="J1354" s="7" t="str">
        <f t="shared" si="65"/>
        <v>&gt;₹500</v>
      </c>
      <c r="K1354" s="1">
        <v>0.28000000000000003</v>
      </c>
      <c r="L1354" s="1" t="str">
        <f t="shared" si="63"/>
        <v>&lt;50%</v>
      </c>
      <c r="M1354">
        <v>4.2</v>
      </c>
      <c r="N1354" s="2">
        <v>2686</v>
      </c>
      <c r="O1354" s="5">
        <f t="shared" si="64"/>
        <v>8178870</v>
      </c>
      <c r="P1354">
        <f>MAX(Table1[RATING COUNT])</f>
        <v>426973</v>
      </c>
    </row>
    <row r="1355" spans="1:16">
      <c r="A1355" t="s">
        <v>2849</v>
      </c>
      <c r="B1355" t="s">
        <v>1315</v>
      </c>
      <c r="D1355" t="s">
        <v>1416</v>
      </c>
      <c r="E1355" t="s">
        <v>1508</v>
      </c>
      <c r="F1355" t="s">
        <v>1544</v>
      </c>
      <c r="G1355" t="s">
        <v>1547</v>
      </c>
      <c r="H1355" s="7">
        <v>2999</v>
      </c>
      <c r="I1355" s="7">
        <v>3595</v>
      </c>
      <c r="J1355" s="7" t="str">
        <f t="shared" si="65"/>
        <v>&gt;₹500</v>
      </c>
      <c r="K1355" s="1">
        <v>0.17</v>
      </c>
      <c r="L1355" s="1" t="str">
        <f t="shared" si="63"/>
        <v>&lt;50%</v>
      </c>
      <c r="M1355">
        <v>4</v>
      </c>
      <c r="N1355" s="2">
        <v>178</v>
      </c>
      <c r="O1355" s="5">
        <f t="shared" si="64"/>
        <v>639910</v>
      </c>
      <c r="P1355">
        <f>MAX(Table1[RATING COUNT])</f>
        <v>426973</v>
      </c>
    </row>
    <row r="1356" spans="1:16">
      <c r="A1356" t="s">
        <v>2850</v>
      </c>
      <c r="B1356" t="s">
        <v>1316</v>
      </c>
      <c r="D1356" t="s">
        <v>1416</v>
      </c>
      <c r="E1356" t="s">
        <v>1508</v>
      </c>
      <c r="F1356" t="s">
        <v>1515</v>
      </c>
      <c r="G1356" t="s">
        <v>1533</v>
      </c>
      <c r="H1356" s="7">
        <v>253</v>
      </c>
      <c r="I1356" s="7">
        <v>500</v>
      </c>
      <c r="J1356" s="7" t="str">
        <f t="shared" si="65"/>
        <v>₹200–₹500</v>
      </c>
      <c r="K1356" s="1">
        <v>0.49</v>
      </c>
      <c r="L1356" s="1" t="str">
        <f t="shared" si="63"/>
        <v>&lt;50%</v>
      </c>
      <c r="M1356">
        <v>4.3</v>
      </c>
      <c r="N1356" s="2">
        <v>2664</v>
      </c>
      <c r="O1356" s="5">
        <f t="shared" si="64"/>
        <v>1332000</v>
      </c>
      <c r="P1356">
        <f>MAX(Table1[RATING COUNT])</f>
        <v>426973</v>
      </c>
    </row>
    <row r="1357" spans="1:16">
      <c r="A1357" t="s">
        <v>2851</v>
      </c>
      <c r="B1357" t="s">
        <v>1317</v>
      </c>
      <c r="D1357" t="s">
        <v>1416</v>
      </c>
      <c r="E1357" t="s">
        <v>1511</v>
      </c>
      <c r="F1357" t="s">
        <v>1574</v>
      </c>
      <c r="H1357" s="7">
        <v>499</v>
      </c>
      <c r="I1357" s="7">
        <v>799</v>
      </c>
      <c r="J1357" s="7" t="str">
        <f t="shared" si="65"/>
        <v>&gt;₹500</v>
      </c>
      <c r="K1357" s="1">
        <v>0.38</v>
      </c>
      <c r="L1357" s="1" t="str">
        <f t="shared" si="63"/>
        <v>&lt;50%</v>
      </c>
      <c r="M1357">
        <v>3.6</v>
      </c>
      <c r="N1357" s="2">
        <v>212</v>
      </c>
      <c r="O1357" s="5">
        <f t="shared" si="64"/>
        <v>169388</v>
      </c>
      <c r="P1357">
        <f>MAX(Table1[RATING COUNT])</f>
        <v>426973</v>
      </c>
    </row>
    <row r="1358" spans="1:16">
      <c r="A1358" t="s">
        <v>2852</v>
      </c>
      <c r="B1358" t="s">
        <v>1318</v>
      </c>
      <c r="D1358" t="s">
        <v>1416</v>
      </c>
      <c r="E1358" t="s">
        <v>1511</v>
      </c>
      <c r="F1358" t="s">
        <v>1512</v>
      </c>
      <c r="G1358" t="s">
        <v>1513</v>
      </c>
      <c r="H1358" s="7">
        <v>1149</v>
      </c>
      <c r="I1358" s="7">
        <v>1899</v>
      </c>
      <c r="J1358" s="7" t="str">
        <f t="shared" si="65"/>
        <v>&gt;₹500</v>
      </c>
      <c r="K1358" s="1">
        <v>0.39</v>
      </c>
      <c r="L1358" s="1" t="str">
        <f t="shared" si="63"/>
        <v>&lt;50%</v>
      </c>
      <c r="M1358">
        <v>3.5</v>
      </c>
      <c r="N1358" s="2">
        <v>24</v>
      </c>
      <c r="O1358" s="5">
        <f t="shared" si="64"/>
        <v>45576</v>
      </c>
      <c r="P1358">
        <f>MAX(Table1[RATING COUNT])</f>
        <v>426973</v>
      </c>
    </row>
    <row r="1359" spans="1:16">
      <c r="A1359" t="s">
        <v>2853</v>
      </c>
      <c r="B1359" t="s">
        <v>1319</v>
      </c>
      <c r="D1359" t="s">
        <v>1416</v>
      </c>
      <c r="E1359" t="s">
        <v>1508</v>
      </c>
      <c r="F1359" t="s">
        <v>1515</v>
      </c>
      <c r="G1359" t="s">
        <v>1516</v>
      </c>
      <c r="H1359" s="7">
        <v>457</v>
      </c>
      <c r="I1359" s="7">
        <v>799</v>
      </c>
      <c r="J1359" s="7" t="str">
        <f t="shared" si="65"/>
        <v>&gt;₹500</v>
      </c>
      <c r="K1359" s="1">
        <v>0.43</v>
      </c>
      <c r="L1359" s="1" t="str">
        <f t="shared" si="63"/>
        <v>&lt;50%</v>
      </c>
      <c r="M1359">
        <v>4.3</v>
      </c>
      <c r="N1359" s="2">
        <v>1868</v>
      </c>
      <c r="O1359" s="5">
        <f t="shared" si="64"/>
        <v>1492532</v>
      </c>
      <c r="P1359">
        <f>MAX(Table1[RATING COUNT])</f>
        <v>426973</v>
      </c>
    </row>
    <row r="1360" spans="1:16">
      <c r="A1360" t="s">
        <v>2854</v>
      </c>
      <c r="B1360" t="s">
        <v>1320</v>
      </c>
      <c r="D1360" t="s">
        <v>1416</v>
      </c>
      <c r="E1360" t="s">
        <v>1508</v>
      </c>
      <c r="F1360" t="s">
        <v>1544</v>
      </c>
      <c r="G1360" t="s">
        <v>1573</v>
      </c>
      <c r="H1360" s="7">
        <v>229</v>
      </c>
      <c r="I1360" s="7">
        <v>399</v>
      </c>
      <c r="J1360" s="7" t="str">
        <f t="shared" si="65"/>
        <v>₹200–₹500</v>
      </c>
      <c r="K1360" s="1">
        <v>0.43</v>
      </c>
      <c r="L1360" s="1" t="str">
        <f t="shared" si="63"/>
        <v>&lt;50%</v>
      </c>
      <c r="M1360">
        <v>3.6</v>
      </c>
      <c r="N1360" s="2">
        <v>451</v>
      </c>
      <c r="O1360" s="5">
        <f t="shared" si="64"/>
        <v>179949</v>
      </c>
      <c r="P1360">
        <f>MAX(Table1[RATING COUNT])</f>
        <v>426973</v>
      </c>
    </row>
    <row r="1361" spans="1:16">
      <c r="A1361" t="s">
        <v>2855</v>
      </c>
      <c r="B1361" t="s">
        <v>1321</v>
      </c>
      <c r="D1361" t="s">
        <v>1416</v>
      </c>
      <c r="E1361" t="s">
        <v>1508</v>
      </c>
      <c r="F1361" t="s">
        <v>1548</v>
      </c>
      <c r="G1361" t="s">
        <v>1549</v>
      </c>
      <c r="H1361" s="7">
        <v>199</v>
      </c>
      <c r="I1361" s="7">
        <v>699</v>
      </c>
      <c r="J1361" s="7" t="str">
        <f t="shared" si="65"/>
        <v>&gt;₹500</v>
      </c>
      <c r="K1361" s="1">
        <v>0.72</v>
      </c>
      <c r="L1361" s="1" t="str">
        <f t="shared" si="63"/>
        <v>50% or More</v>
      </c>
      <c r="M1361">
        <v>2.9</v>
      </c>
      <c r="N1361" s="2">
        <v>159</v>
      </c>
      <c r="O1361" s="5">
        <f t="shared" si="64"/>
        <v>111141</v>
      </c>
      <c r="P1361">
        <f>MAX(Table1[RATING COUNT])</f>
        <v>426973</v>
      </c>
    </row>
    <row r="1362" spans="1:16">
      <c r="A1362" t="s">
        <v>2856</v>
      </c>
      <c r="B1362" t="s">
        <v>1322</v>
      </c>
      <c r="D1362" t="s">
        <v>1416</v>
      </c>
      <c r="E1362" t="s">
        <v>1508</v>
      </c>
      <c r="F1362" t="s">
        <v>1509</v>
      </c>
      <c r="G1362" t="s">
        <v>1579</v>
      </c>
      <c r="H1362" s="7">
        <v>899</v>
      </c>
      <c r="I1362" s="7">
        <v>1999</v>
      </c>
      <c r="J1362" s="7" t="str">
        <f t="shared" si="65"/>
        <v>&gt;₹500</v>
      </c>
      <c r="K1362" s="1">
        <v>0.55000000000000004</v>
      </c>
      <c r="L1362" s="1" t="str">
        <f t="shared" si="63"/>
        <v>50% or More</v>
      </c>
      <c r="M1362">
        <v>4.2</v>
      </c>
      <c r="N1362" s="2">
        <v>39</v>
      </c>
      <c r="O1362" s="5">
        <f t="shared" si="64"/>
        <v>77961</v>
      </c>
      <c r="P1362">
        <f>MAX(Table1[RATING COUNT])</f>
        <v>426973</v>
      </c>
    </row>
    <row r="1363" spans="1:16">
      <c r="A1363" t="s">
        <v>2857</v>
      </c>
      <c r="B1363" t="s">
        <v>1323</v>
      </c>
      <c r="D1363" t="s">
        <v>1416</v>
      </c>
      <c r="E1363" t="s">
        <v>1508</v>
      </c>
      <c r="F1363" t="s">
        <v>1509</v>
      </c>
      <c r="G1363" t="s">
        <v>1563</v>
      </c>
      <c r="H1363" s="7">
        <v>1499</v>
      </c>
      <c r="I1363" s="7">
        <v>2199</v>
      </c>
      <c r="J1363" s="7" t="str">
        <f t="shared" si="65"/>
        <v>&gt;₹500</v>
      </c>
      <c r="K1363" s="1">
        <v>0.32</v>
      </c>
      <c r="L1363" s="1" t="str">
        <f t="shared" si="63"/>
        <v>&lt;50%</v>
      </c>
      <c r="M1363">
        <v>4.4000000000000004</v>
      </c>
      <c r="N1363" s="2">
        <v>6531</v>
      </c>
      <c r="O1363" s="5">
        <f t="shared" si="64"/>
        <v>14361669</v>
      </c>
      <c r="P1363">
        <f>MAX(Table1[RATING COUNT])</f>
        <v>426973</v>
      </c>
    </row>
    <row r="1364" spans="1:16">
      <c r="A1364" t="s">
        <v>2858</v>
      </c>
      <c r="B1364" t="s">
        <v>1324</v>
      </c>
      <c r="D1364" t="s">
        <v>1416</v>
      </c>
      <c r="E1364" t="s">
        <v>1508</v>
      </c>
      <c r="F1364" t="s">
        <v>1509</v>
      </c>
      <c r="G1364" t="s">
        <v>1522</v>
      </c>
      <c r="H1364" s="7">
        <v>426</v>
      </c>
      <c r="I1364" s="7">
        <v>999</v>
      </c>
      <c r="J1364" s="7" t="str">
        <f t="shared" si="65"/>
        <v>&gt;₹500</v>
      </c>
      <c r="K1364" s="1">
        <v>0.56999999999999995</v>
      </c>
      <c r="L1364" s="1" t="str">
        <f t="shared" si="63"/>
        <v>50% or More</v>
      </c>
      <c r="M1364">
        <v>4.0999999999999996</v>
      </c>
      <c r="N1364" s="2">
        <v>222</v>
      </c>
      <c r="O1364" s="5">
        <f t="shared" si="64"/>
        <v>221778</v>
      </c>
      <c r="P1364">
        <f>MAX(Table1[RATING COUNT])</f>
        <v>426973</v>
      </c>
    </row>
    <row r="1365" spans="1:16">
      <c r="A1365" t="s">
        <v>2859</v>
      </c>
      <c r="B1365" t="s">
        <v>1325</v>
      </c>
      <c r="D1365" t="s">
        <v>1416</v>
      </c>
      <c r="E1365" t="s">
        <v>1511</v>
      </c>
      <c r="F1365" t="s">
        <v>1512</v>
      </c>
      <c r="G1365" t="s">
        <v>1514</v>
      </c>
      <c r="H1365" s="7">
        <v>2320</v>
      </c>
      <c r="I1365" s="7">
        <v>3290</v>
      </c>
      <c r="J1365" s="7" t="str">
        <f t="shared" si="65"/>
        <v>&gt;₹500</v>
      </c>
      <c r="K1365" s="1">
        <v>0.28999999999999998</v>
      </c>
      <c r="L1365" s="1" t="str">
        <f t="shared" si="63"/>
        <v>&lt;50%</v>
      </c>
      <c r="M1365">
        <v>3.8</v>
      </c>
      <c r="N1365" s="2">
        <v>195</v>
      </c>
      <c r="O1365" s="5">
        <f t="shared" si="64"/>
        <v>641550</v>
      </c>
      <c r="P1365">
        <f>MAX(Table1[RATING COUNT])</f>
        <v>426973</v>
      </c>
    </row>
    <row r="1366" spans="1:16">
      <c r="A1366" t="s">
        <v>2860</v>
      </c>
      <c r="B1366" t="s">
        <v>1326</v>
      </c>
      <c r="D1366" t="s">
        <v>1416</v>
      </c>
      <c r="E1366" t="s">
        <v>1508</v>
      </c>
      <c r="F1366" t="s">
        <v>1560</v>
      </c>
      <c r="G1366" t="s">
        <v>1561</v>
      </c>
      <c r="H1366" s="7">
        <v>1563</v>
      </c>
      <c r="I1366" s="7">
        <v>3098</v>
      </c>
      <c r="J1366" s="7" t="str">
        <f t="shared" si="65"/>
        <v>&gt;₹500</v>
      </c>
      <c r="K1366" s="1">
        <v>0.5</v>
      </c>
      <c r="L1366" s="1" t="str">
        <f t="shared" si="63"/>
        <v>50% or More</v>
      </c>
      <c r="M1366">
        <v>3.5</v>
      </c>
      <c r="N1366" s="2">
        <v>2283</v>
      </c>
      <c r="O1366" s="5">
        <f t="shared" si="64"/>
        <v>7072734</v>
      </c>
      <c r="P1366">
        <f>MAX(Table1[RATING COUNT])</f>
        <v>426973</v>
      </c>
    </row>
    <row r="1367" spans="1:16">
      <c r="A1367" t="s">
        <v>2861</v>
      </c>
      <c r="B1367" t="s">
        <v>1327</v>
      </c>
      <c r="D1367" t="s">
        <v>1416</v>
      </c>
      <c r="E1367" t="s">
        <v>1511</v>
      </c>
      <c r="F1367" t="s">
        <v>1512</v>
      </c>
      <c r="G1367" t="s">
        <v>1513</v>
      </c>
      <c r="H1367" s="7">
        <v>3487.77</v>
      </c>
      <c r="I1367" s="7">
        <v>4990</v>
      </c>
      <c r="J1367" s="7" t="str">
        <f t="shared" si="65"/>
        <v>&gt;₹500</v>
      </c>
      <c r="K1367" s="1">
        <v>0.3</v>
      </c>
      <c r="L1367" s="1" t="str">
        <f t="shared" si="63"/>
        <v>&lt;50%</v>
      </c>
      <c r="M1367">
        <v>4.0999999999999996</v>
      </c>
      <c r="N1367" s="2">
        <v>1127</v>
      </c>
      <c r="O1367" s="5">
        <f t="shared" si="64"/>
        <v>5623730</v>
      </c>
      <c r="P1367">
        <f>MAX(Table1[RATING COUNT])</f>
        <v>426973</v>
      </c>
    </row>
    <row r="1368" spans="1:16">
      <c r="A1368" t="s">
        <v>2862</v>
      </c>
      <c r="B1368" t="s">
        <v>1328</v>
      </c>
      <c r="D1368" t="s">
        <v>1416</v>
      </c>
      <c r="E1368" t="s">
        <v>1508</v>
      </c>
      <c r="F1368" t="s">
        <v>1509</v>
      </c>
      <c r="G1368" t="s">
        <v>1536</v>
      </c>
      <c r="H1368" s="7">
        <v>498</v>
      </c>
      <c r="I1368" s="7">
        <v>1200</v>
      </c>
      <c r="J1368" s="7" t="str">
        <f t="shared" si="65"/>
        <v>&gt;₹500</v>
      </c>
      <c r="K1368" s="1">
        <v>0.59</v>
      </c>
      <c r="L1368" s="1" t="str">
        <f t="shared" si="63"/>
        <v>50% or More</v>
      </c>
      <c r="M1368">
        <v>3.2</v>
      </c>
      <c r="N1368" s="2">
        <v>113</v>
      </c>
      <c r="O1368" s="5">
        <f t="shared" si="64"/>
        <v>135600</v>
      </c>
      <c r="P1368">
        <f>MAX(Table1[RATING COUNT])</f>
        <v>426973</v>
      </c>
    </row>
    <row r="1369" spans="1:16">
      <c r="A1369" t="s">
        <v>2863</v>
      </c>
      <c r="B1369" t="s">
        <v>1329</v>
      </c>
      <c r="D1369" t="s">
        <v>1416</v>
      </c>
      <c r="E1369" t="s">
        <v>1508</v>
      </c>
      <c r="F1369" t="s">
        <v>1509</v>
      </c>
      <c r="G1369" t="s">
        <v>1510</v>
      </c>
      <c r="H1369" s="7">
        <v>2695</v>
      </c>
      <c r="I1369" s="7">
        <v>2695</v>
      </c>
      <c r="J1369" s="7" t="str">
        <f t="shared" si="65"/>
        <v>&gt;₹500</v>
      </c>
      <c r="K1369" s="1">
        <v>0</v>
      </c>
      <c r="L1369" s="1" t="str">
        <f t="shared" si="63"/>
        <v>&lt;50%</v>
      </c>
      <c r="M1369">
        <v>4.4000000000000004</v>
      </c>
      <c r="N1369" s="2">
        <v>2518</v>
      </c>
      <c r="O1369" s="5">
        <f t="shared" si="64"/>
        <v>6786010</v>
      </c>
      <c r="P1369">
        <f>MAX(Table1[RATING COUNT])</f>
        <v>426973</v>
      </c>
    </row>
    <row r="1370" spans="1:16">
      <c r="A1370" t="s">
        <v>2864</v>
      </c>
      <c r="B1370" t="s">
        <v>1330</v>
      </c>
      <c r="D1370" t="s">
        <v>1416</v>
      </c>
      <c r="E1370" t="s">
        <v>1511</v>
      </c>
      <c r="F1370" t="s">
        <v>1512</v>
      </c>
      <c r="G1370" t="s">
        <v>1513</v>
      </c>
      <c r="H1370" s="7">
        <v>949</v>
      </c>
      <c r="I1370" s="7">
        <v>2299</v>
      </c>
      <c r="J1370" s="7" t="str">
        <f t="shared" si="65"/>
        <v>&gt;₹500</v>
      </c>
      <c r="K1370" s="1">
        <v>0.59</v>
      </c>
      <c r="L1370" s="1" t="str">
        <f t="shared" si="63"/>
        <v>50% or More</v>
      </c>
      <c r="M1370">
        <v>3.6</v>
      </c>
      <c r="N1370" s="2">
        <v>550</v>
      </c>
      <c r="O1370" s="5">
        <f t="shared" si="64"/>
        <v>1264450</v>
      </c>
      <c r="P1370">
        <f>MAX(Table1[RATING COUNT])</f>
        <v>426973</v>
      </c>
    </row>
    <row r="1371" spans="1:16">
      <c r="A1371" t="s">
        <v>2865</v>
      </c>
      <c r="B1371" t="s">
        <v>1331</v>
      </c>
      <c r="D1371" t="s">
        <v>1416</v>
      </c>
      <c r="E1371" t="s">
        <v>1508</v>
      </c>
      <c r="F1371" t="s">
        <v>1515</v>
      </c>
      <c r="G1371" t="s">
        <v>1516</v>
      </c>
      <c r="H1371" s="7">
        <v>199</v>
      </c>
      <c r="I1371" s="7">
        <v>999</v>
      </c>
      <c r="J1371" s="7" t="str">
        <f t="shared" si="65"/>
        <v>&gt;₹500</v>
      </c>
      <c r="K1371" s="1">
        <v>0.8</v>
      </c>
      <c r="L1371" s="1" t="str">
        <f t="shared" si="63"/>
        <v>50% or More</v>
      </c>
      <c r="M1371">
        <v>3.1</v>
      </c>
      <c r="N1371" s="2">
        <v>2</v>
      </c>
      <c r="O1371" s="5">
        <f t="shared" si="64"/>
        <v>1998</v>
      </c>
      <c r="P1371">
        <f>MAX(Table1[RATING COUNT])</f>
        <v>426973</v>
      </c>
    </row>
    <row r="1372" spans="1:16">
      <c r="A1372" t="s">
        <v>2866</v>
      </c>
      <c r="B1372" t="s">
        <v>1332</v>
      </c>
      <c r="D1372" t="s">
        <v>1416</v>
      </c>
      <c r="E1372" t="s">
        <v>1508</v>
      </c>
      <c r="F1372" t="s">
        <v>1548</v>
      </c>
      <c r="G1372" t="s">
        <v>1549</v>
      </c>
      <c r="H1372" s="7">
        <v>379</v>
      </c>
      <c r="I1372" s="7">
        <v>919</v>
      </c>
      <c r="J1372" s="7" t="str">
        <f t="shared" si="65"/>
        <v>&gt;₹500</v>
      </c>
      <c r="K1372" s="1">
        <v>0.59</v>
      </c>
      <c r="L1372" s="1" t="str">
        <f t="shared" si="63"/>
        <v>50% or More</v>
      </c>
      <c r="M1372">
        <v>4</v>
      </c>
      <c r="N1372" s="2">
        <v>1090</v>
      </c>
      <c r="O1372" s="5">
        <f t="shared" si="64"/>
        <v>1001710</v>
      </c>
      <c r="P1372">
        <f>MAX(Table1[RATING COUNT])</f>
        <v>426973</v>
      </c>
    </row>
    <row r="1373" spans="1:16">
      <c r="A1373" t="s">
        <v>2867</v>
      </c>
      <c r="B1373" t="s">
        <v>1333</v>
      </c>
      <c r="D1373" t="s">
        <v>1416</v>
      </c>
      <c r="E1373" t="s">
        <v>1508</v>
      </c>
      <c r="F1373" t="s">
        <v>1509</v>
      </c>
      <c r="G1373" t="s">
        <v>1551</v>
      </c>
      <c r="H1373" s="7">
        <v>2280</v>
      </c>
      <c r="I1373" s="7">
        <v>3045</v>
      </c>
      <c r="J1373" s="7" t="str">
        <f t="shared" si="65"/>
        <v>&gt;₹500</v>
      </c>
      <c r="K1373" s="1">
        <v>0.25</v>
      </c>
      <c r="L1373" s="1" t="str">
        <f t="shared" si="63"/>
        <v>&lt;50%</v>
      </c>
      <c r="M1373">
        <v>4.0999999999999996</v>
      </c>
      <c r="N1373" s="2">
        <v>4118</v>
      </c>
      <c r="O1373" s="5">
        <f t="shared" si="64"/>
        <v>12539310</v>
      </c>
      <c r="P1373">
        <f>MAX(Table1[RATING COUNT])</f>
        <v>426973</v>
      </c>
    </row>
    <row r="1374" spans="1:16">
      <c r="A1374" t="s">
        <v>2868</v>
      </c>
      <c r="B1374" t="s">
        <v>1334</v>
      </c>
      <c r="D1374" t="s">
        <v>1416</v>
      </c>
      <c r="E1374" t="s">
        <v>1511</v>
      </c>
      <c r="F1374" t="s">
        <v>1512</v>
      </c>
      <c r="G1374" t="s">
        <v>1543</v>
      </c>
      <c r="H1374" s="7">
        <v>2219</v>
      </c>
      <c r="I1374" s="7">
        <v>3080</v>
      </c>
      <c r="J1374" s="7" t="str">
        <f t="shared" si="65"/>
        <v>&gt;₹500</v>
      </c>
      <c r="K1374" s="1">
        <v>0.28000000000000003</v>
      </c>
      <c r="L1374" s="1" t="str">
        <f t="shared" si="63"/>
        <v>&lt;50%</v>
      </c>
      <c r="M1374">
        <v>3.6</v>
      </c>
      <c r="N1374" s="2">
        <v>468</v>
      </c>
      <c r="O1374" s="5">
        <f t="shared" si="64"/>
        <v>1441440</v>
      </c>
      <c r="P1374">
        <f>MAX(Table1[RATING COUNT])</f>
        <v>426973</v>
      </c>
    </row>
    <row r="1375" spans="1:16">
      <c r="A1375" t="s">
        <v>2869</v>
      </c>
      <c r="B1375" t="s">
        <v>1335</v>
      </c>
      <c r="D1375" t="s">
        <v>1416</v>
      </c>
      <c r="E1375" t="s">
        <v>1511</v>
      </c>
      <c r="F1375" t="s">
        <v>1538</v>
      </c>
      <c r="G1375" t="s">
        <v>1546</v>
      </c>
      <c r="H1375" s="7">
        <v>1399</v>
      </c>
      <c r="I1375" s="7">
        <v>1890</v>
      </c>
      <c r="J1375" s="7" t="str">
        <f t="shared" si="65"/>
        <v>&gt;₹500</v>
      </c>
      <c r="K1375" s="1">
        <v>0.26</v>
      </c>
      <c r="L1375" s="1" t="str">
        <f t="shared" si="63"/>
        <v>&lt;50%</v>
      </c>
      <c r="M1375">
        <v>4</v>
      </c>
      <c r="N1375" s="2">
        <v>8031</v>
      </c>
      <c r="O1375" s="5">
        <f t="shared" si="64"/>
        <v>15178590</v>
      </c>
      <c r="P1375">
        <f>MAX(Table1[RATING COUNT])</f>
        <v>426973</v>
      </c>
    </row>
    <row r="1376" spans="1:16">
      <c r="A1376" t="s">
        <v>2870</v>
      </c>
      <c r="B1376" t="s">
        <v>1336</v>
      </c>
      <c r="D1376" t="s">
        <v>1416</v>
      </c>
      <c r="E1376" t="s">
        <v>1508</v>
      </c>
      <c r="F1376" t="s">
        <v>1509</v>
      </c>
      <c r="G1376" t="s">
        <v>1535</v>
      </c>
      <c r="H1376" s="7">
        <v>2863</v>
      </c>
      <c r="I1376" s="7">
        <v>3690</v>
      </c>
      <c r="J1376" s="7" t="str">
        <f t="shared" si="65"/>
        <v>&gt;₹500</v>
      </c>
      <c r="K1376" s="1">
        <v>0.22</v>
      </c>
      <c r="L1376" s="1" t="str">
        <f t="shared" si="63"/>
        <v>&lt;50%</v>
      </c>
      <c r="M1376">
        <v>4.3</v>
      </c>
      <c r="N1376" s="2">
        <v>6987</v>
      </c>
      <c r="O1376" s="5">
        <f t="shared" si="64"/>
        <v>25782030</v>
      </c>
      <c r="P1376">
        <f>MAX(Table1[RATING COUNT])</f>
        <v>426973</v>
      </c>
    </row>
    <row r="1377" spans="1:15">
      <c r="A1377" t="s">
        <v>2871</v>
      </c>
      <c r="N1377"/>
    </row>
    <row r="1378" spans="1:15">
      <c r="A1378" t="s">
        <v>2872</v>
      </c>
      <c r="M1378">
        <f>AVERAGE(M2:M1376)</f>
        <v>4.0922852983988474</v>
      </c>
      <c r="N1378" s="5"/>
      <c r="O1378" s="5"/>
    </row>
    <row r="1379" spans="1:15">
      <c r="A1379" t="s">
        <v>2873</v>
      </c>
      <c r="N1379"/>
    </row>
    <row r="1380" spans="1:15">
      <c r="A1380" t="s">
        <v>2874</v>
      </c>
      <c r="N1380"/>
    </row>
    <row r="1381" spans="1:15">
      <c r="A1381" t="s">
        <v>2875</v>
      </c>
      <c r="N1381"/>
    </row>
    <row r="1382" spans="1:15">
      <c r="A1382" t="s">
        <v>2876</v>
      </c>
      <c r="N1382"/>
    </row>
    <row r="1383" spans="1:15">
      <c r="A1383" t="s">
        <v>2877</v>
      </c>
      <c r="N1383"/>
    </row>
    <row r="1384" spans="1:15">
      <c r="A1384" t="s">
        <v>2878</v>
      </c>
      <c r="N1384"/>
    </row>
    <row r="1385" spans="1:15">
      <c r="A1385" t="s">
        <v>2879</v>
      </c>
      <c r="N1385"/>
    </row>
    <row r="1386" spans="1:15">
      <c r="A1386" t="s">
        <v>2880</v>
      </c>
      <c r="N1386"/>
    </row>
    <row r="1387" spans="1:15">
      <c r="A1387" t="s">
        <v>2881</v>
      </c>
      <c r="N1387"/>
    </row>
    <row r="1388" spans="1:15">
      <c r="A1388" t="s">
        <v>2882</v>
      </c>
      <c r="N1388"/>
    </row>
    <row r="1389" spans="1:15">
      <c r="A1389" t="s">
        <v>2883</v>
      </c>
      <c r="N1389"/>
    </row>
    <row r="1390" spans="1:15">
      <c r="A1390" t="s">
        <v>2884</v>
      </c>
      <c r="N1390"/>
    </row>
    <row r="1391" spans="1:15">
      <c r="A1391" t="s">
        <v>2885</v>
      </c>
      <c r="N1391"/>
    </row>
    <row r="1392" spans="1:15">
      <c r="A1392" t="s">
        <v>2886</v>
      </c>
      <c r="N1392"/>
    </row>
    <row r="1393" spans="1:14">
      <c r="A1393" t="s">
        <v>2887</v>
      </c>
      <c r="N1393"/>
    </row>
    <row r="1394" spans="1:14">
      <c r="A1394" t="s">
        <v>2888</v>
      </c>
      <c r="N1394"/>
    </row>
    <row r="1395" spans="1:14">
      <c r="A1395" t="s">
        <v>2889</v>
      </c>
      <c r="N1395"/>
    </row>
    <row r="1396" spans="1:14">
      <c r="A1396" t="s">
        <v>2890</v>
      </c>
      <c r="N1396"/>
    </row>
    <row r="1397" spans="1:14">
      <c r="A1397" t="s">
        <v>2891</v>
      </c>
      <c r="N1397"/>
    </row>
    <row r="1398" spans="1:14">
      <c r="A1398" t="s">
        <v>2892</v>
      </c>
      <c r="N1398"/>
    </row>
    <row r="1399" spans="1:14">
      <c r="A1399" t="s">
        <v>2893</v>
      </c>
      <c r="N1399"/>
    </row>
    <row r="1400" spans="1:14">
      <c r="A1400" t="s">
        <v>2894</v>
      </c>
      <c r="N1400"/>
    </row>
    <row r="1401" spans="1:14">
      <c r="A1401" t="s">
        <v>2895</v>
      </c>
      <c r="N1401"/>
    </row>
    <row r="1402" spans="1:14">
      <c r="A1402" t="s">
        <v>2896</v>
      </c>
      <c r="N1402"/>
    </row>
    <row r="1403" spans="1:14">
      <c r="A1403" t="s">
        <v>2897</v>
      </c>
      <c r="N1403"/>
    </row>
    <row r="1404" spans="1:14">
      <c r="A1404" t="s">
        <v>2898</v>
      </c>
      <c r="N1404"/>
    </row>
    <row r="1405" spans="1:14">
      <c r="A1405" t="s">
        <v>2899</v>
      </c>
      <c r="N1405"/>
    </row>
    <row r="1406" spans="1:14">
      <c r="A1406" t="s">
        <v>2900</v>
      </c>
      <c r="N1406"/>
    </row>
    <row r="1407" spans="1:14">
      <c r="A1407" t="s">
        <v>2901</v>
      </c>
      <c r="N1407"/>
    </row>
    <row r="1408" spans="1:14">
      <c r="A1408" t="s">
        <v>2902</v>
      </c>
      <c r="N1408"/>
    </row>
    <row r="1409" spans="1:14">
      <c r="A1409" t="s">
        <v>2903</v>
      </c>
      <c r="N1409"/>
    </row>
    <row r="1410" spans="1:14">
      <c r="A1410" t="s">
        <v>2904</v>
      </c>
      <c r="N1410"/>
    </row>
    <row r="1411" spans="1:14">
      <c r="A1411" t="s">
        <v>2905</v>
      </c>
      <c r="N1411"/>
    </row>
    <row r="1412" spans="1:14">
      <c r="A1412" t="s">
        <v>2906</v>
      </c>
      <c r="N1412"/>
    </row>
    <row r="1413" spans="1:14">
      <c r="A1413" t="s">
        <v>2907</v>
      </c>
      <c r="N1413"/>
    </row>
    <row r="1414" spans="1:14">
      <c r="A1414" t="s">
        <v>2908</v>
      </c>
      <c r="N1414"/>
    </row>
    <row r="1415" spans="1:14">
      <c r="A1415" t="s">
        <v>2909</v>
      </c>
      <c r="N1415"/>
    </row>
    <row r="1416" spans="1:14">
      <c r="A1416" t="s">
        <v>2910</v>
      </c>
      <c r="N1416"/>
    </row>
    <row r="1417" spans="1:14">
      <c r="A1417" t="s">
        <v>2911</v>
      </c>
      <c r="N1417"/>
    </row>
    <row r="1418" spans="1:14">
      <c r="A1418" t="s">
        <v>2912</v>
      </c>
      <c r="N1418"/>
    </row>
    <row r="1419" spans="1:14">
      <c r="A1419" t="s">
        <v>2913</v>
      </c>
      <c r="N1419"/>
    </row>
    <row r="1420" spans="1:14">
      <c r="A1420" t="s">
        <v>2914</v>
      </c>
      <c r="N1420"/>
    </row>
    <row r="1421" spans="1:14">
      <c r="A1421" t="s">
        <v>2915</v>
      </c>
      <c r="N1421"/>
    </row>
    <row r="1422" spans="1:14">
      <c r="A1422" t="s">
        <v>2916</v>
      </c>
      <c r="N1422"/>
    </row>
    <row r="1423" spans="1:14">
      <c r="A1423" t="s">
        <v>2917</v>
      </c>
      <c r="N1423"/>
    </row>
    <row r="1424" spans="1:14">
      <c r="A1424" t="s">
        <v>2918</v>
      </c>
      <c r="N1424"/>
    </row>
    <row r="1425" spans="1:14">
      <c r="A1425" t="s">
        <v>2919</v>
      </c>
      <c r="N1425"/>
    </row>
    <row r="1426" spans="1:14">
      <c r="A1426" t="s">
        <v>2920</v>
      </c>
      <c r="N1426"/>
    </row>
    <row r="1427" spans="1:14">
      <c r="A1427" t="s">
        <v>2921</v>
      </c>
      <c r="N1427"/>
    </row>
    <row r="1428" spans="1:14">
      <c r="A1428" t="s">
        <v>2922</v>
      </c>
      <c r="N1428"/>
    </row>
    <row r="1429" spans="1:14">
      <c r="A1429" t="s">
        <v>2923</v>
      </c>
      <c r="N1429"/>
    </row>
    <row r="1430" spans="1:14">
      <c r="A1430" t="s">
        <v>2924</v>
      </c>
      <c r="N1430"/>
    </row>
    <row r="1431" spans="1:14">
      <c r="A1431" t="s">
        <v>2925</v>
      </c>
      <c r="N1431"/>
    </row>
    <row r="1432" spans="1:14">
      <c r="A1432" t="s">
        <v>2926</v>
      </c>
      <c r="N1432"/>
    </row>
    <row r="1433" spans="1:14">
      <c r="A1433" t="s">
        <v>2927</v>
      </c>
      <c r="N1433"/>
    </row>
    <row r="1434" spans="1:14">
      <c r="A1434" t="s">
        <v>2928</v>
      </c>
      <c r="N1434"/>
    </row>
    <row r="1435" spans="1:14">
      <c r="A1435" t="s">
        <v>2929</v>
      </c>
      <c r="N1435"/>
    </row>
    <row r="1436" spans="1:14">
      <c r="A1436" t="s">
        <v>2930</v>
      </c>
      <c r="N1436"/>
    </row>
    <row r="1437" spans="1:14">
      <c r="A1437" t="s">
        <v>2931</v>
      </c>
      <c r="N1437"/>
    </row>
    <row r="1438" spans="1:14">
      <c r="A1438" t="s">
        <v>2932</v>
      </c>
      <c r="N1438"/>
    </row>
    <row r="1439" spans="1:14">
      <c r="A1439" t="s">
        <v>2933</v>
      </c>
      <c r="N1439"/>
    </row>
    <row r="1440" spans="1:14">
      <c r="A1440" t="s">
        <v>2934</v>
      </c>
      <c r="N1440"/>
    </row>
    <row r="1441" spans="1:14">
      <c r="A1441" t="s">
        <v>2935</v>
      </c>
      <c r="N1441"/>
    </row>
    <row r="1442" spans="1:14">
      <c r="A1442" t="s">
        <v>2936</v>
      </c>
      <c r="N1442"/>
    </row>
    <row r="1443" spans="1:14">
      <c r="A1443" t="s">
        <v>2937</v>
      </c>
      <c r="N1443"/>
    </row>
    <row r="1444" spans="1:14">
      <c r="A1444" t="s">
        <v>2938</v>
      </c>
      <c r="N1444"/>
    </row>
    <row r="1445" spans="1:14">
      <c r="A1445" t="s">
        <v>2939</v>
      </c>
      <c r="N1445"/>
    </row>
    <row r="1446" spans="1:14">
      <c r="A1446" t="s">
        <v>2940</v>
      </c>
      <c r="N1446"/>
    </row>
    <row r="1447" spans="1:14">
      <c r="A1447" t="s">
        <v>2941</v>
      </c>
      <c r="N1447"/>
    </row>
    <row r="1448" spans="1:14">
      <c r="A1448" t="s">
        <v>2942</v>
      </c>
      <c r="N1448"/>
    </row>
    <row r="1449" spans="1:14">
      <c r="A1449" t="s">
        <v>2943</v>
      </c>
      <c r="N1449"/>
    </row>
    <row r="1450" spans="1:14">
      <c r="A1450" t="s">
        <v>2944</v>
      </c>
      <c r="N1450"/>
    </row>
    <row r="1451" spans="1:14">
      <c r="A1451" t="s">
        <v>2945</v>
      </c>
      <c r="N1451"/>
    </row>
    <row r="1452" spans="1:14">
      <c r="A1452" t="s">
        <v>2946</v>
      </c>
      <c r="N1452"/>
    </row>
    <row r="1453" spans="1:14">
      <c r="A1453" t="s">
        <v>2947</v>
      </c>
      <c r="N1453"/>
    </row>
    <row r="1454" spans="1:14">
      <c r="A1454" t="s">
        <v>2948</v>
      </c>
      <c r="N1454"/>
    </row>
    <row r="1455" spans="1:14">
      <c r="A1455" t="s">
        <v>2949</v>
      </c>
      <c r="N1455"/>
    </row>
    <row r="1456" spans="1:14">
      <c r="A1456" t="s">
        <v>2950</v>
      </c>
      <c r="N1456"/>
    </row>
    <row r="1457" spans="1:14">
      <c r="A1457" t="s">
        <v>2951</v>
      </c>
      <c r="N1457"/>
    </row>
    <row r="1458" spans="1:14">
      <c r="A1458" t="s">
        <v>2952</v>
      </c>
      <c r="N1458"/>
    </row>
    <row r="1459" spans="1:14">
      <c r="A1459" t="s">
        <v>2953</v>
      </c>
      <c r="N1459"/>
    </row>
    <row r="1460" spans="1:14">
      <c r="A1460" t="s">
        <v>2954</v>
      </c>
      <c r="N1460"/>
    </row>
    <row r="1461" spans="1:14">
      <c r="A1461" t="s">
        <v>2955</v>
      </c>
      <c r="N1461"/>
    </row>
    <row r="1462" spans="1:14">
      <c r="A1462" t="s">
        <v>2956</v>
      </c>
      <c r="N1462"/>
    </row>
    <row r="1463" spans="1:14">
      <c r="A1463" t="s">
        <v>2957</v>
      </c>
      <c r="N1463"/>
    </row>
    <row r="1464" spans="1:14">
      <c r="A1464" t="s">
        <v>2958</v>
      </c>
      <c r="N1464"/>
    </row>
    <row r="1465" spans="1:14">
      <c r="A1465" t="s">
        <v>2959</v>
      </c>
      <c r="N1465"/>
    </row>
    <row r="1466" spans="1:14">
      <c r="A1466" t="s">
        <v>2960</v>
      </c>
      <c r="N1466"/>
    </row>
  </sheetData>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 TABLE</vt:lpstr>
      <vt:lpstr>AMAZON DASHBOARD</vt:lpstr>
      <vt:lpstr>AMAZON  RAW 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Temidayo AYENI</dc:creator>
  <cp:lastModifiedBy>HP</cp:lastModifiedBy>
  <dcterms:created xsi:type="dcterms:W3CDTF">2025-05-26T18:46:29Z</dcterms:created>
  <dcterms:modified xsi:type="dcterms:W3CDTF">2025-07-18T21:55:06Z</dcterms:modified>
</cp:coreProperties>
</file>